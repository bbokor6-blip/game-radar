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936815e0b4d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e389b0df65a4a58"/>
    <x:sheet xmlns:r="http://schemas.openxmlformats.org/officeDocument/2006/relationships" name="Games" sheetId="2" r:id="R312f14bd4100422f"/>
    <x:sheet xmlns:r="http://schemas.openxmlformats.org/officeDocument/2006/relationships" name="Team Records" sheetId="3" r:id="R98847924fc4240e7"/>
    <x:sheet xmlns:r="http://schemas.openxmlformats.org/officeDocument/2006/relationships" name="Read Me" sheetId="4" r:id="Rd7000a1a944749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0"/>
    <x:numFmt numFmtId="202" formatCode="0.0"/>
    <x:numFmt numFmtId="203" formatCode="0%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0"/>
      <x:color rgb="FFD7E2E8"/>
      <x:name val="Carlito"/>
    </x:font>
    <x:font>
      <x:b/>
      <x:sz val="11"/>
      <x:color rgb="FF17232B"/>
      <x:name val="Carlito"/>
    </x:font>
    <x:font>
      <x:b/>
      <x:sz val="11"/>
      <x:color rgb="FF091821"/>
      <x:name val="Carlito"/>
    </x:font>
    <x:font>
      <x:sz val="11"/>
      <x:color rgb="FF17232B"/>
      <x:name val="Carlito"/>
    </x:font>
    <x:font>
      <x:b/>
      <x:sz val="11"/>
      <x:color rgb="FFFFFFFF"/>
      <x:name val="Carlito"/>
    </x:font>
    <x:font>
      <x:sz val="11"/>
      <x:color rgb="FF0563C1"/>
      <x:name val="Carlito"/>
    </x:font>
    <x:font>
      <x:b/>
      <x:sz val="18"/>
      <x:color rgb="FFFFFFFF"/>
      <x:name val="Carlito"/>
    </x:font>
    <x:font>
      <x:i/>
      <x:sz val="11"/>
      <x:color rgb="FFD7E2E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91821"/>
      </x:patternFill>
    </x:fill>
    <x:fill>
      <x:patternFill patternType="solid">
        <x:fgColor rgb="FF102733"/>
      </x:patternFill>
    </x:fill>
    <x:fill>
      <x:patternFill patternType="solid">
        <x:fgColor rgb="FFEAF1F5"/>
      </x:patternFill>
    </x:fill>
    <x:fill>
      <x:patternFill patternType="solid">
        <x:fgColor rgb="FFF5C84C"/>
      </x:patternFill>
    </x:fill>
    <x:fill>
      <x:patternFill patternType="solid">
        <x:fgColor rgb="FFFFF8DF"/>
      </x:patternFill>
    </x:fill>
  </x:fills>
  <x:borders count="10">
    <x:border/>
    <x:border>
      <x:left style="thin">
        <x:color rgb="FFCBD6DC"/>
      </x:left>
      <x:right style="thin">
        <x:color rgb="FFCBD6DC"/>
      </x:right>
      <x:top style="thin">
        <x:color rgb="FFCBD6DC"/>
      </x:top>
      <x:bottom style="thin">
        <x:color rgb="FFCBD6DC"/>
      </x:bottom>
    </x:border>
    <x:border>
      <x:left style="thin">
        <x:color rgb="FFF5C84C"/>
      </x:left>
      <x:top style="thin">
        <x:color rgb="FFF5C84C"/>
      </x:top>
    </x:border>
    <x:border>
      <x:top style="thin">
        <x:color rgb="FFF5C84C"/>
      </x:top>
    </x:border>
    <x:border>
      <x:right style="thin">
        <x:color rgb="FFF5C84C"/>
      </x:right>
      <x:top style="thin">
        <x:color rgb="FFF5C84C"/>
      </x:top>
    </x:border>
    <x:border>
      <x:left style="thin">
        <x:color rgb="FFF5C84C"/>
      </x:left>
    </x:border>
    <x:border>
      <x:right style="thin">
        <x:color rgb="FFF5C84C"/>
      </x:right>
    </x:border>
    <x:border>
      <x:left style="thin">
        <x:color rgb="FFF5C84C"/>
      </x:left>
      <x:bottom style="thin">
        <x:color rgb="FFF5C84C"/>
      </x:bottom>
    </x:border>
    <x:border>
      <x:bottom style="thin">
        <x:color rgb="FFF5C84C"/>
      </x:bottom>
    </x:border>
    <x:border>
      <x:right style="thin">
        <x:color rgb="FFF5C84C"/>
      </x:right>
      <x:bottom style="thin">
        <x:color rgb="FFF5C84C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9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A4D00"/>
      </x:font>
      <x:fill>
        <x:patternFill patternType="solid">
          <x:bgColor rgb="FFFFE8CC"/>
        </x:patternFill>
      </x:fill>
    </x:dxf>
    <x:dxf>
      <x:font>
        <x:b/>
        <x:color rgb="FF17633A"/>
      </x:font>
      <x:fill>
        <x:patternFill patternType="solid">
          <x:bgColor rgb="FFDDF4E5"/>
        </x:patternFill>
      </x:fill>
    </x:dxf>
    <x:dxf>
      <x:font>
        <x:b/>
        <x:color rgb="FF9A4D00"/>
      </x:font>
      <x:fill>
        <x:patternFill patternType="solid">
          <x:bgColor rgb="FFFFE8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20c467999a44c6" /><Relationship Type="http://schemas.openxmlformats.org/officeDocument/2006/relationships/theme" Target="/xl/theme/theme1.xml" Id="R6904dcf601d847f8" /><Relationship Type="http://schemas.microsoft.com/office/2022/11/relationships/FeaturePropertyBag" Target="/xl/featurePropertyBag/featurePropertyBag.xml" Id="Re706743e661f4a5c" /><Relationship Type="http://schemas.openxmlformats.org/officeDocument/2006/relationships/sharedStrings" Target="/xl/sharedStrings.xml" Id="R8f4e6905af9f424f" /><Relationship Type="http://schemas.openxmlformats.org/officeDocument/2006/relationships/worksheet" Target="/xl/worksheets/sheet1.xml" Id="R4e389b0df65a4a58" /><Relationship Type="http://schemas.openxmlformats.org/officeDocument/2006/relationships/worksheet" Target="/xl/worksheets/sheet2.xml" Id="R312f14bd4100422f" /><Relationship Type="http://schemas.openxmlformats.org/officeDocument/2006/relationships/worksheet" Target="/xl/worksheets/sheet3.xml" Id="R98847924fc4240e7" /><Relationship Type="http://schemas.openxmlformats.org/officeDocument/2006/relationships/worksheet" Target="/xl/worksheets/sheet4.xml" Id="Rd7000a1a944749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ootballGames" displayName="FootballGames" ref="A3:X1177" headerRowCount="1" totalsRowCount="0" totalsRowShown="0">
  <x:autoFilter ref="A3:X1177"/>
  <x:tableColumns count="24">
    <x:tableColumn id="1" name="League"/>
    <x:tableColumn id="2" name="Week"/>
    <x:tableColumn id="3" name="Kickoff UTC"/>
    <x:tableColumn id="4" name="State"/>
    <x:tableColumn id="5" name="Completed"/>
    <x:tableColumn id="6" name="Away Team"/>
    <x:tableColumn id="7" name="Away"/>
    <x:tableColumn id="8" name="Away Score"/>
    <x:tableColumn id="9" name="Away ESPN Record"/>
    <x:tableColumn id="10" name="Away Result"/>
    <x:tableColumn id="11" name="Home Team"/>
    <x:tableColumn id="12" name="Home"/>
    <x:tableColumn id="13" name="Home Score"/>
    <x:tableColumn id="14" name="Home ESPN Record"/>
    <x:tableColumn id="15" name="Home Result"/>
    <x:tableColumn id="16" name="Neutral"/>
    <x:tableColumn id="17" name="Conference Game"/>
    <x:tableColumn id="18" name="Venue"/>
    <x:tableColumn id="19" name="Broadcasts"/>
    <x:tableColumn id="20" name="Market Line"/>
    <x:tableColumn id="21" name="Spread"/>
    <x:tableColumn id="22" name="Total"/>
    <x:tableColumn id="23" name="Market Provider"/>
    <x:tableColumn id="24" name="ESPN Gam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amRecords" displayName="TeamRecords" ref="A3:M275" headerRowCount="1" totalsRowCount="0" totalsRowShown="0">
  <x:autoFilter ref="A3:M275"/>
  <x:tableColumns count="13">
    <x:tableColumn id="1" name="League"/>
    <x:tableColumn id="2" name="Team"/>
    <x:tableColumn id="3" name="Abbr"/>
    <x:tableColumn id="4" name="Games"/>
    <x:tableColumn id="5" name="Wins"/>
    <x:tableColumn id="6" name="Losses"/>
    <x:tableColumn id="7" name="Ties"/>
    <x:tableColumn id="8" name="Points For"/>
    <x:tableColumn id="9" name="Points Against"/>
    <x:tableColumn id="10" name="ESPN Record"/>
    <x:tableColumn id="11" name="Games With Line"/>
    <x:tableColumn id="12" name="Line Coverage"/>
    <x:tableColumn id="13" name="ATS Trend Eligi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8fecc0da5e49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fc3e02dcab47cb" /></Relationships>
</file>

<file path=xl/worksheets/sheet1.xml><?xml version="1.0" encoding="utf-8"?>
<x:worksheet xmlns:x="http://schemas.openxmlformats.org/spreadsheetml/2006/main">
  <x:sheetPr>
    <x:tabColor rgb="FFF5C84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GAME RADAR · FOOTBALL SOURCE OF TRUTH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Complete 2026 NFL and FBS schedules, records and scores pulled week-by-week from ESPN. Market fields are retained only when ESPN supplies them.</x:v>
      </x:c>
      <x:c r="B2" s="7"/>
      <x:c r="C2" s="7"/>
      <x:c r="D2" s="7"/>
      <x:c r="E2" s="7"/>
      <x:c r="F2" s="7"/>
      <x:c r="G2" s="7"/>
      <x:c r="H2" s="7"/>
    </x:row>
    <x:row r="3">
      <x:c r="A3" s="47"/>
      <x:c r="B3" s="47"/>
      <x:c r="C3" s="47"/>
      <x:c r="D3" s="47"/>
      <x:c r="E3" s="47"/>
      <x:c r="F3" s="47"/>
      <x:c r="G3" s="47"/>
      <x:c r="H3" s="47"/>
    </x:row>
    <x:row r="4">
      <x:c r="A4" s="48" t="str">
        <x:v>Snapshot generated</x:v>
      </x:c>
      <x:c r="B4" s="49" t="n">
        <x:v>46286.54286447917</x:v>
      </x:c>
      <x:c r="C4" s="47"/>
      <x:c r="D4" s="50" t="str">
        <x:v>How the app uses this file</x:v>
      </x:c>
      <x:c r="E4" s="50"/>
      <x:c r="F4" s="50"/>
      <x:c r="G4" s="50"/>
      <x:c r="H4" s="50"/>
    </x:row>
    <x:row r="5">
      <x:c r="A5" s="48" t="str">
        <x:v>Season</x:v>
      </x:c>
      <x:c r="B5" s="51" t="n">
        <x:v>2026</x:v>
      </x:c>
      <x:c r="C5" s="47"/>
      <x:c r="D5" s="52" t="str">
        <x:v>Scores and straight-up records use every completed game in this snapshot. Spread and total records are separate: they are calculated only when a verified historical market is present. If fewer than 75% of a team’s completed games have a verified line—or fewer than two games are available—the app labels the sample incomplete and excludes it from trend scoring.</x:v>
      </x:c>
      <x:c r="E5" s="53"/>
      <x:c r="F5" s="53"/>
      <x:c r="G5" s="53"/>
      <x:c r="H5" s="54"/>
    </x:row>
    <x:row r="6">
      <x:c r="A6" s="48" t="str">
        <x:v>NFL games</x:v>
      </x:c>
      <x:c r="B6" s="51" t="n">
        <x:f>COUNTIF(Games!$A$4:$A$1177,"NFL")</x:f>
        <x:v>272</x:v>
      </x:c>
      <x:c r="C6" s="47"/>
      <x:c r="D6" s="55"/>
      <x:c r="E6" s="56"/>
      <x:c r="F6" s="56"/>
      <x:c r="G6" s="56"/>
      <x:c r="H6" s="57"/>
    </x:row>
    <x:row r="7">
      <x:c r="A7" s="48" t="str">
        <x:v>FBS games</x:v>
      </x:c>
      <x:c r="B7" s="51" t="n">
        <x:f>COUNTIF(Games!$A$4:$A$1177,"CFB")</x:f>
        <x:v>902</x:v>
      </x:c>
      <x:c r="C7" s="47"/>
      <x:c r="D7" s="55"/>
      <x:c r="E7" s="56"/>
      <x:c r="F7" s="56"/>
      <x:c r="G7" s="56"/>
      <x:c r="H7" s="57"/>
    </x:row>
    <x:row r="8">
      <x:c r="A8" s="48" t="str">
        <x:v>Completed games</x:v>
      </x:c>
      <x:c r="B8" s="51" t="n">
        <x:f>COUNTIF(Games!$D$4:$D$1177,"post")</x:f>
        <x:v>291</x:v>
      </x:c>
      <x:c r="C8" s="47"/>
      <x:c r="D8" s="55"/>
      <x:c r="E8" s="56"/>
      <x:c r="F8" s="56"/>
      <x:c r="G8" s="56"/>
      <x:c r="H8" s="57"/>
    </x:row>
    <x:row r="9">
      <x:c r="A9" s="47"/>
      <x:c r="B9" s="47"/>
      <x:c r="C9" s="47"/>
      <x:c r="D9" s="58"/>
      <x:c r="E9" s="59"/>
      <x:c r="F9" s="59"/>
      <x:c r="G9" s="59"/>
      <x:c r="H9" s="60"/>
    </x:row>
    <x:row r="10">
      <x:c r="A10" s="47"/>
      <x:c r="B10" s="47"/>
      <x:c r="C10" s="47"/>
      <x:c r="D10" s="47"/>
      <x:c r="E10" s="47"/>
      <x:c r="F10" s="47"/>
      <x:c r="G10" s="47"/>
      <x:c r="H10" s="47"/>
    </x:row>
    <x:row r="11">
      <x:c r="A11" s="61" t="str">
        <x:v>Source pages</x:v>
      </x:c>
      <x:c r="B11" s="61"/>
      <x:c r="C11" s="61"/>
      <x:c r="D11" s="61"/>
      <x:c r="E11" s="61"/>
      <x:c r="F11" s="61"/>
      <x:c r="G11" s="61"/>
      <x:c r="H11" s="61"/>
    </x:row>
    <x:row r="12">
      <x:c r="A12" s="62" t="str">
        <x:v>NFL</x:v>
      </x:c>
      <x:c r="B12" s="63" t="str">
        <x:v>https://www.espn.com/nfl/scoreboard</x:v>
      </x:c>
      <x:c r="C12" s="63"/>
      <x:c r="D12" s="63"/>
      <x:c r="E12" s="63"/>
      <x:c r="F12" s="63"/>
      <x:c r="G12" s="63"/>
      <x:c r="H12" s="63"/>
    </x:row>
    <x:row r="13">
      <x:c r="A13" s="62" t="str">
        <x:v>College football</x:v>
      </x:c>
      <x:c r="B13" s="63" t="str">
        <x:v>https://www.espn.com/college-football/scoreboard</x:v>
      </x:c>
      <x:c r="C13" s="63"/>
      <x:c r="D13" s="63"/>
      <x:c r="E13" s="63"/>
      <x:c r="F13" s="63"/>
      <x:c r="G13" s="63"/>
      <x:c r="H13" s="63"/>
    </x:row>
    <x:row r="14">
      <x:c r="A14" s="47"/>
      <x:c r="B14" s="47"/>
      <x:c r="C14" s="47"/>
      <x:c r="D14" s="47"/>
      <x:c r="E14" s="47"/>
      <x:c r="F14" s="47"/>
      <x:c r="G14" s="47"/>
      <x:c r="H14" s="47"/>
    </x:row>
    <x:row r="15">
      <x:c r="A15" s="47"/>
      <x:c r="B15" s="47"/>
      <x:c r="C15" s="47"/>
      <x:c r="D15" s="47"/>
      <x:c r="E15" s="47"/>
      <x:c r="F15" s="47"/>
      <x:c r="G15" s="47"/>
      <x:c r="H15" s="47"/>
    </x:row>
  </x:sheetData>
  <x:mergeCells>
    <x:mergeCell ref="A1:H1"/>
    <x:mergeCell ref="A2:H2"/>
    <x:mergeCell ref="D4:H4"/>
    <x:mergeCell ref="D5:H9"/>
    <x:mergeCell ref="A11:H11"/>
    <x:mergeCell ref="B12:H12"/>
    <x:mergeCell ref="B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C9C69"/>
  </x:sheetPr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2" hidden="0" customWidth="1"/>
    <x:col min="5" max="5" width="12" hidden="0" customWidth="1"/>
    <x:col min="6" max="6" width="2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4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24" hidden="0" customWidth="1"/>
    <x:col min="19" max="19" width="18" hidden="0" customWidth="1"/>
    <x:col min="20" max="20" width="16" hidden="0" customWidth="1"/>
    <x:col min="21" max="21" width="12" hidden="0" customWidth="1"/>
    <x:col min="22" max="22" width="12" hidden="0" customWidth="1"/>
    <x:col min="23" max="23" width="18" hidden="0" customWidth="1"/>
    <x:col min="24" max="24" width="48" hidden="0" customWidth="1"/>
  </x:cols>
  <x:sheetData>
    <x:row r="1" ht="32" customHeight="1">
      <x:c r="A1" s="64" t="str">
        <x:v>ALL 2026 NFL + FBS GAMES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</x:row>
    <x:row r="2" ht="24" customHeight="1">
      <x:c r="A2" s="65" t="str">
        <x:v>ESPN snapshot 2026-09-21T13:01:43.491Z. Filter by league, week, team, state or completed status.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</x:row>
    <x:row r="3" ht="32" customHeight="1">
      <x:c r="A3" s="73" t="str">
        <x:v>League</x:v>
      </x:c>
      <x:c r="B3" s="73" t="str">
        <x:v>Week</x:v>
      </x:c>
      <x:c r="C3" s="73" t="str">
        <x:v>Kickoff UTC</x:v>
      </x:c>
      <x:c r="D3" s="73" t="str">
        <x:v>State</x:v>
      </x:c>
      <x:c r="E3" s="73" t="str">
        <x:v>Completed</x:v>
      </x:c>
      <x:c r="F3" s="73" t="str">
        <x:v>Away Team</x:v>
      </x:c>
      <x:c r="G3" s="73" t="str">
        <x:v>Away</x:v>
      </x:c>
      <x:c r="H3" s="73" t="str">
        <x:v>Away Score</x:v>
      </x:c>
      <x:c r="I3" s="73" t="str">
        <x:v>Away ESPN Record</x:v>
      </x:c>
      <x:c r="J3" s="73" t="str">
        <x:v>Away Result</x:v>
      </x:c>
      <x:c r="K3" s="73" t="str">
        <x:v>Home Team</x:v>
      </x:c>
      <x:c r="L3" s="73" t="str">
        <x:v>Home</x:v>
      </x:c>
      <x:c r="M3" s="73" t="str">
        <x:v>Home Score</x:v>
      </x:c>
      <x:c r="N3" s="73" t="str">
        <x:v>Home ESPN Record</x:v>
      </x:c>
      <x:c r="O3" s="73" t="str">
        <x:v>Home Result</x:v>
      </x:c>
      <x:c r="P3" s="73" t="str">
        <x:v>Neutral</x:v>
      </x:c>
      <x:c r="Q3" s="73" t="str">
        <x:v>Conference Game</x:v>
      </x:c>
      <x:c r="R3" s="73" t="str">
        <x:v>Venue</x:v>
      </x:c>
      <x:c r="S3" s="73" t="str">
        <x:v>Broadcasts</x:v>
      </x:c>
      <x:c r="T3" s="73" t="str">
        <x:v>Market Line</x:v>
      </x:c>
      <x:c r="U3" s="73" t="str">
        <x:v>Spread</x:v>
      </x:c>
      <x:c r="V3" s="73" t="str">
        <x:v>Total</x:v>
      </x:c>
      <x:c r="W3" s="73" t="str">
        <x:v>Market Provider</x:v>
      </x:c>
      <x:c r="X3" s="73" t="str">
        <x:v>ESPN Game URL</x:v>
      </x:c>
    </x:row>
    <x:row r="4">
      <x:c r="A4" s="47" t="str">
        <x:v>CFB</x:v>
      </x:c>
      <x:c r="B4" s="47" t="n">
        <x:v>1</x:v>
      </x:c>
      <x:c r="C4" s="74" t="n">
        <x:v>46263.666666666664</x:v>
      </x:c>
      <x:c r="D4" s="75" t="str">
        <x:v>post</x:v>
      </x:c>
      <x:c r="E4" s="76" t="b">
        <x:v>1</x:v>
      </x:c>
      <x:c r="F4" s="47" t="str">
        <x:v>North Carolina Tar Heels</x:v>
      </x:c>
      <x:c r="G4" s="47" t="str">
        <x:v>UNC</x:v>
      </x:c>
      <x:c r="H4" s="77" t="n">
        <x:v>15</x:v>
      </x:c>
      <x:c r="I4" s="47" t="str">
        <x:v>1-0</x:v>
      </x:c>
      <x:c r="J4" s="47" t="str">
        <x:f>IF(E4&lt;&gt;TRUE,"",IF(H4&gt;M4,"W",IF(H4&lt;M4,"L","T")))</x:f>
        <x:v>W</x:v>
      </x:c>
      <x:c r="K4" s="47" t="str">
        <x:v>TCU Horned Frogs</x:v>
      </x:c>
      <x:c r="L4" s="47" t="str">
        <x:v>TCU</x:v>
      </x:c>
      <x:c r="M4" s="77" t="n">
        <x:v>10</x:v>
      </x:c>
      <x:c r="N4" s="47" t="str">
        <x:v>0-1</x:v>
      </x:c>
      <x:c r="O4" s="47" t="str">
        <x:f>IF(E4&lt;&gt;TRUE,"",IF(M4&gt;H4,"W",IF(M4&lt;H4,"L","T")))</x:f>
        <x:v>L</x:v>
      </x:c>
      <x:c r="P4" s="78" t="b">
        <x:v>1</x:v>
      </x:c>
      <x:c r="Q4" s="78" t="b">
        <x:v>0</x:v>
      </x:c>
      <x:c r="R4" s="47" t="str">
        <x:v>Aviva Stadium</x:v>
      </x:c>
      <x:c r="S4" s="47" t="str">
        <x:v>ESPN / Disney+</x:v>
      </x:c>
      <x:c r="T4" s="47"/>
      <x:c r="U4" s="79"/>
      <x:c r="V4" s="79"/>
      <x:c r="W4" s="47"/>
      <x:c r="X4" s="47" t="str">
        <x:v>https://www.espn.com/college-football/game/_/gameId/401856766</x:v>
      </x:c>
    </x:row>
    <x:row r="5">
      <x:c r="A5" s="47" t="str">
        <x:v>CFB</x:v>
      </x:c>
      <x:c r="B5" s="47" t="n">
        <x:v>1</x:v>
      </x:c>
      <x:c r="C5" s="74" t="n">
        <x:v>46263.791666666664</x:v>
      </x:c>
      <x:c r="D5" s="75" t="str">
        <x:v>post</x:v>
      </x:c>
      <x:c r="E5" s="76" t="b">
        <x:v>1</x:v>
      </x:c>
      <x:c r="F5" s="47" t="str">
        <x:v>San José State Spartans</x:v>
      </x:c>
      <x:c r="G5" s="47" t="str">
        <x:v>SJSU</x:v>
      </x:c>
      <x:c r="H5" s="77" t="n">
        <x:v>26</x:v>
      </x:c>
      <x:c r="I5" s="47" t="str">
        <x:v>0-1</x:v>
      </x:c>
      <x:c r="J5" s="47" t="str">
        <x:f>IF(E5&lt;&gt;TRUE,"",IF(H5&gt;M5,"W",IF(H5&lt;M5,"L","T")))</x:f>
        <x:v>L</x:v>
      </x:c>
      <x:c r="K5" s="47" t="str">
        <x:v>USC Trojans</x:v>
      </x:c>
      <x:c r="L5" s="47" t="str">
        <x:v>USC</x:v>
      </x:c>
      <x:c r="M5" s="77" t="n">
        <x:v>42</x:v>
      </x:c>
      <x:c r="N5" s="47" t="str">
        <x:v>1-0</x:v>
      </x:c>
      <x:c r="O5" s="47" t="str">
        <x:f>IF(E5&lt;&gt;TRUE,"",IF(M5&gt;H5,"W",IF(M5&lt;H5,"L","T")))</x:f>
        <x:v>W</x:v>
      </x:c>
      <x:c r="P5" s="78" t="b">
        <x:v>0</x:v>
      </x:c>
      <x:c r="Q5" s="78" t="b">
        <x:v>0</x:v>
      </x:c>
      <x:c r="R5" s="47" t="str">
        <x:v>Los Angeles Memorial Coliseum</x:v>
      </x:c>
      <x:c r="S5" s="47" t="str">
        <x:v>NBC</x:v>
      </x:c>
      <x:c r="T5" s="47"/>
      <x:c r="U5" s="79"/>
      <x:c r="V5" s="79"/>
      <x:c r="W5" s="47"/>
      <x:c r="X5" s="47" t="str">
        <x:v>https://www.espn.com/college-football/game/_/gameId/401864494</x:v>
      </x:c>
    </x:row>
    <x:row r="6">
      <x:c r="A6" s="47" t="str">
        <x:v>CFB</x:v>
      </x:c>
      <x:c r="B6" s="47" t="n">
        <x:v>1</x:v>
      </x:c>
      <x:c r="C6" s="74" t="n">
        <x:v>46263.8125</x:v>
      </x:c>
      <x:c r="D6" s="75" t="str">
        <x:v>post</x:v>
      </x:c>
      <x:c r="E6" s="76" t="b">
        <x:v>1</x:v>
      </x:c>
      <x:c r="F6" s="47" t="str">
        <x:v>NC State Wolfpack</x:v>
      </x:c>
      <x:c r="G6" s="47" t="str">
        <x:v>NCSU</x:v>
      </x:c>
      <x:c r="H6" s="77" t="n">
        <x:v>8</x:v>
      </x:c>
      <x:c r="I6" s="47" t="str">
        <x:v>0-1</x:v>
      </x:c>
      <x:c r="J6" s="47" t="str">
        <x:f>IF(E6&lt;&gt;TRUE,"",IF(H6&gt;M6,"W",IF(H6&lt;M6,"L","T")))</x:f>
        <x:v>L</x:v>
      </x:c>
      <x:c r="K6" s="47" t="str">
        <x:v>Virginia Cavaliers</x:v>
      </x:c>
      <x:c r="L6" s="47" t="str">
        <x:v>UVA</x:v>
      </x:c>
      <x:c r="M6" s="77" t="n">
        <x:v>34</x:v>
      </x:c>
      <x:c r="N6" s="47" t="str">
        <x:v>1-0</x:v>
      </x:c>
      <x:c r="O6" s="47" t="str">
        <x:f>IF(E6&lt;&gt;TRUE,"",IF(M6&gt;H6,"W",IF(M6&lt;H6,"L","T")))</x:f>
        <x:v>W</x:v>
      </x:c>
      <x:c r="P6" s="78" t="b">
        <x:v>0</x:v>
      </x:c>
      <x:c r="Q6" s="78" t="b">
        <x:v>1</x:v>
      </x:c>
      <x:c r="R6" s="47" t="str">
        <x:v>Scott Stadium</x:v>
      </x:c>
      <x:c r="S6" s="47" t="str">
        <x:v>ESPN</x:v>
      </x:c>
      <x:c r="T6" s="47"/>
      <x:c r="U6" s="79"/>
      <x:c r="V6" s="79"/>
      <x:c r="W6" s="47"/>
      <x:c r="X6" s="47" t="str">
        <x:v>https://www.espn.com/college-football/game/_/gameId/401858202</x:v>
      </x:c>
    </x:row>
    <x:row r="7">
      <x:c r="A7" s="47" t="str">
        <x:v>CFB</x:v>
      </x:c>
      <x:c r="B7" s="47" t="n">
        <x:v>1</x:v>
      </x:c>
      <x:c r="C7" s="74" t="n">
        <x:v>46263.895833333336</x:v>
      </x:c>
      <x:c r="D7" s="75" t="str">
        <x:v>post</x:v>
      </x:c>
      <x:c r="E7" s="76" t="b">
        <x:v>1</x:v>
      </x:c>
      <x:c r="F7" s="47" t="str">
        <x:v>Jacksonville State Gamecocks</x:v>
      </x:c>
      <x:c r="G7" s="47" t="str">
        <x:v>JXST</x:v>
      </x:c>
      <x:c r="H7" s="77" t="n">
        <x:v>7</x:v>
      </x:c>
      <x:c r="I7" s="47" t="str">
        <x:v>0-1</x:v>
      </x:c>
      <x:c r="J7" s="47" t="str">
        <x:f>IF(E7&lt;&gt;TRUE,"",IF(H7&gt;M7,"W",IF(H7&lt;M7,"L","T")))</x:f>
        <x:v>L</x:v>
      </x:c>
      <x:c r="K7" s="47" t="str">
        <x:v>North Dakota State Bison</x:v>
      </x:c>
      <x:c r="L7" s="47" t="str">
        <x:v>NDSU</x:v>
      </x:c>
      <x:c r="M7" s="77" t="n">
        <x:v>33</x:v>
      </x:c>
      <x:c r="N7" s="47" t="str">
        <x:v>1-0</x:v>
      </x:c>
      <x:c r="O7" s="47" t="str">
        <x:f>IF(E7&lt;&gt;TRUE,"",IF(M7&gt;H7,"W",IF(M7&lt;H7,"L","T")))</x:f>
        <x:v>W</x:v>
      </x:c>
      <x:c r="P7" s="78" t="b">
        <x:v>0</x:v>
      </x:c>
      <x:c r="Q7" s="78" t="b">
        <x:v>0</x:v>
      </x:c>
      <x:c r="R7" s="47" t="str">
        <x:v>Fargodome</x:v>
      </x:c>
      <x:c r="S7" s="47" t="str">
        <x:v>CBSSN</x:v>
      </x:c>
      <x:c r="T7" s="47"/>
      <x:c r="U7" s="79"/>
      <x:c r="V7" s="79"/>
      <x:c r="W7" s="47"/>
      <x:c r="X7" s="47" t="str">
        <x:v>https://www.espn.com/college-football/game/_/gameId/401864577</x:v>
      </x:c>
    </x:row>
    <x:row r="8">
      <x:c r="A8" s="47" t="str">
        <x:v>CFB</x:v>
      </x:c>
      <x:c r="B8" s="47" t="n">
        <x:v>1</x:v>
      </x:c>
      <x:c r="C8" s="74" t="n">
        <x:v>46263.9375</x:v>
      </x:c>
      <x:c r="D8" s="75" t="str">
        <x:v>post</x:v>
      </x:c>
      <x:c r="E8" s="76" t="b">
        <x:v>1</x:v>
      </x:c>
      <x:c r="F8" s="47" t="str">
        <x:v>Sacramento State Hornets</x:v>
      </x:c>
      <x:c r="G8" s="47" t="str">
        <x:v>SAC</x:v>
      </x:c>
      <x:c r="H8" s="77" t="n">
        <x:v>17</x:v>
      </x:c>
      <x:c r="I8" s="47" t="str">
        <x:v>0-1</x:v>
      </x:c>
      <x:c r="J8" s="47" t="str">
        <x:f>IF(E8&lt;&gt;TRUE,"",IF(H8&gt;M8,"W",IF(H8&lt;M8,"L","T")))</x:f>
        <x:v>L</x:v>
      </x:c>
      <x:c r="K8" s="47" t="str">
        <x:v>Eastern Michigan Eagles</x:v>
      </x:c>
      <x:c r="L8" s="47" t="str">
        <x:v>EMU</x:v>
      </x:c>
      <x:c r="M8" s="77" t="n">
        <x:v>28</x:v>
      </x:c>
      <x:c r="N8" s="47" t="str">
        <x:v>1-0</x:v>
      </x:c>
      <x:c r="O8" s="47" t="str">
        <x:f>IF(E8&lt;&gt;TRUE,"",IF(M8&gt;H8,"W",IF(M8&lt;H8,"L","T")))</x:f>
        <x:v>W</x:v>
      </x:c>
      <x:c r="P8" s="78" t="b">
        <x:v>0</x:v>
      </x:c>
      <x:c r="Q8" s="78" t="b">
        <x:v>1</x:v>
      </x:c>
      <x:c r="R8" s="47" t="str">
        <x:v>Rynearson Stadium</x:v>
      </x:c>
      <x:c r="S8" s="47" t="str">
        <x:v>ESPN+</x:v>
      </x:c>
      <x:c r="T8" s="47"/>
      <x:c r="U8" s="79"/>
      <x:c r="V8" s="79"/>
      <x:c r="W8" s="47"/>
      <x:c r="X8" s="47" t="str">
        <x:v>https://www.espn.com/college-football/game/_/gameId/401866408</x:v>
      </x:c>
    </x:row>
    <x:row r="9">
      <x:c r="A9" s="47" t="str">
        <x:v>CFB</x:v>
      </x:c>
      <x:c r="B9" s="47" t="n">
        <x:v>1</x:v>
      </x:c>
      <x:c r="C9" s="74" t="n">
        <x:v>46263.958333333336</x:v>
      </x:c>
      <x:c r="D9" s="75" t="str">
        <x:v>post</x:v>
      </x:c>
      <x:c r="E9" s="76" t="b">
        <x:v>1</x:v>
      </x:c>
      <x:c r="F9" s="47" t="str">
        <x:v>Hawai'i Rainbow Warriors</x:v>
      </x:c>
      <x:c r="G9" s="47" t="str">
        <x:v>HAW</x:v>
      </x:c>
      <x:c r="H9" s="77" t="n">
        <x:v>27</x:v>
      </x:c>
      <x:c r="I9" s="47" t="str">
        <x:v>0-1</x:v>
      </x:c>
      <x:c r="J9" s="47" t="str">
        <x:f>IF(E9&lt;&gt;TRUE,"",IF(H9&gt;M9,"W",IF(H9&lt;M9,"L","T")))</x:f>
        <x:v>L</x:v>
      </x:c>
      <x:c r="K9" s="47" t="str">
        <x:v>Stanford Cardinal</x:v>
      </x:c>
      <x:c r="L9" s="47" t="str">
        <x:v>STAN</x:v>
      </x:c>
      <x:c r="M9" s="77" t="n">
        <x:v>37</x:v>
      </x:c>
      <x:c r="N9" s="47" t="str">
        <x:v>1-0</x:v>
      </x:c>
      <x:c r="O9" s="47" t="str">
        <x:f>IF(E9&lt;&gt;TRUE,"",IF(M9&gt;H9,"W",IF(M9&lt;H9,"L","T")))</x:f>
        <x:v>W</x:v>
      </x:c>
      <x:c r="P9" s="78" t="b">
        <x:v>0</x:v>
      </x:c>
      <x:c r="Q9" s="78" t="b">
        <x:v>0</x:v>
      </x:c>
      <x:c r="R9" s="47" t="str">
        <x:v>Stanford Stadium</x:v>
      </x:c>
      <x:c r="S9" s="47" t="str">
        <x:v>ACC Network</x:v>
      </x:c>
      <x:c r="T9" s="47"/>
      <x:c r="U9" s="79"/>
      <x:c r="V9" s="79"/>
      <x:c r="W9" s="47"/>
      <x:c r="X9" s="47" t="str">
        <x:v>https://www.espn.com/college-football/game/_/gameId/401858201</x:v>
      </x:c>
    </x:row>
    <x:row r="10">
      <x:c r="A10" s="47" t="str">
        <x:v>CFB</x:v>
      </x:c>
      <x:c r="B10" s="47" t="n">
        <x:v>1</x:v>
      </x:c>
      <x:c r="C10" s="74" t="n">
        <x:v>46263.958333333336</x:v>
      </x:c>
      <x:c r="D10" s="75" t="str">
        <x:v>post</x:v>
      </x:c>
      <x:c r="E10" s="76" t="b">
        <x:v>1</x:v>
      </x:c>
      <x:c r="F10" s="47" t="str">
        <x:v>New Mexico State Aggies</x:v>
      </x:c>
      <x:c r="G10" s="47" t="str">
        <x:v>NMSU</x:v>
      </x:c>
      <x:c r="H10" s="77" t="n">
        <x:v>17</x:v>
      </x:c>
      <x:c r="I10" s="47" t="str">
        <x:v>0-1</x:v>
      </x:c>
      <x:c r="J10" s="47" t="str">
        <x:f>IF(E10&lt;&gt;TRUE,"",IF(H10&gt;M10,"W",IF(H10&lt;M10,"L","T")))</x:f>
        <x:v>L</x:v>
      </x:c>
      <x:c r="K10" s="47" t="str">
        <x:v>Florida State Seminoles</x:v>
      </x:c>
      <x:c r="L10" s="47" t="str">
        <x:v>FSU</x:v>
      </x:c>
      <x:c r="M10" s="77" t="n">
        <x:v>34</x:v>
      </x:c>
      <x:c r="N10" s="47" t="str">
        <x:v>1-0</x:v>
      </x:c>
      <x:c r="O10" s="47" t="str">
        <x:f>IF(E10&lt;&gt;TRUE,"",IF(M10&gt;H10,"W",IF(M10&lt;H10,"L","T")))</x:f>
        <x:v>W</x:v>
      </x:c>
      <x:c r="P10" s="78" t="b">
        <x:v>0</x:v>
      </x:c>
      <x:c r="Q10" s="78" t="b">
        <x:v>0</x:v>
      </x:c>
      <x:c r="R10" s="47" t="str">
        <x:v>Doak Campbell Stadium</x:v>
      </x:c>
      <x:c r="S10" s="47" t="str">
        <x:v>CW</x:v>
      </x:c>
      <x:c r="T10" s="47"/>
      <x:c r="U10" s="79"/>
      <x:c r="V10" s="79"/>
      <x:c r="W10" s="47"/>
      <x:c r="X10" s="47" t="str">
        <x:v>https://www.espn.com/college-football/game/_/gameId/401864570</x:v>
      </x:c>
    </x:row>
    <x:row r="11">
      <x:c r="A11" s="47" t="str">
        <x:v>CFB</x:v>
      </x:c>
      <x:c r="B11" s="47" t="n">
        <x:v>1</x:v>
      </x:c>
      <x:c r="C11" s="74" t="n">
        <x:v>46264.083333333336</x:v>
      </x:c>
      <x:c r="D11" s="75" t="str">
        <x:v>post</x:v>
      </x:c>
      <x:c r="E11" s="76" t="b">
        <x:v>1</x:v>
      </x:c>
      <x:c r="F11" s="47" t="str">
        <x:v>Memphis Tigers</x:v>
      </x:c>
      <x:c r="G11" s="47" t="str">
        <x:v>MEM</x:v>
      </x:c>
      <x:c r="H11" s="77" t="n">
        <x:v>27</x:v>
      </x:c>
      <x:c r="I11" s="47" t="str">
        <x:v>1-0</x:v>
      </x:c>
      <x:c r="J11" s="47" t="str">
        <x:f>IF(E11&lt;&gt;TRUE,"",IF(H11&gt;M11,"W",IF(H11&lt;M11,"L","T")))</x:f>
        <x:v>W</x:v>
      </x:c>
      <x:c r="K11" s="47" t="str">
        <x:v>UNLV Rebels</x:v>
      </x:c>
      <x:c r="L11" s="47" t="str">
        <x:v>UNLV</x:v>
      </x:c>
      <x:c r="M11" s="77" t="n">
        <x:v>21</x:v>
      </x:c>
      <x:c r="N11" s="47" t="str">
        <x:v>0-1</x:v>
      </x:c>
      <x:c r="O11" s="47" t="str">
        <x:f>IF(E11&lt;&gt;TRUE,"",IF(M11&gt;H11,"W",IF(M11&lt;H11,"L","T")))</x:f>
        <x:v>L</x:v>
      </x:c>
      <x:c r="P11" s="78" t="b">
        <x:v>0</x:v>
      </x:c>
      <x:c r="Q11" s="78" t="b">
        <x:v>0</x:v>
      </x:c>
      <x:c r="R11" s="47" t="str">
        <x:v>Allegiant Stadium</x:v>
      </x:c>
      <x:c r="S11" s="47" t="str">
        <x:v>FOX</x:v>
      </x:c>
      <x:c r="T11" s="47"/>
      <x:c r="U11" s="79"/>
      <x:c r="V11" s="79"/>
      <x:c r="W11" s="47"/>
      <x:c r="X11" s="47" t="str">
        <x:v>https://www.espn.com/college-football/game/_/gameId/401862693</x:v>
      </x:c>
    </x:row>
    <x:row r="12">
      <x:c r="A12" s="47" t="str">
        <x:v>CFB</x:v>
      </x:c>
      <x:c r="B12" s="47" t="n">
        <x:v>1</x:v>
      </x:c>
      <x:c r="C12" s="74" t="n">
        <x:v>46268.916666666664</x:v>
      </x:c>
      <x:c r="D12" s="75" t="str">
        <x:v>post</x:v>
      </x:c>
      <x:c r="E12" s="76" t="b">
        <x:v>1</x:v>
      </x:c>
      <x:c r="F12" s="47" t="str">
        <x:v>Massachusetts Minutemen</x:v>
      </x:c>
      <x:c r="G12" s="47" t="str">
        <x:v>MASS</x:v>
      </x:c>
      <x:c r="H12" s="77" t="n">
        <x:v>37</x:v>
      </x:c>
      <x:c r="I12" s="47" t="str">
        <x:v>1-0</x:v>
      </x:c>
      <x:c r="J12" s="47" t="str">
        <x:f>IF(E12&lt;&gt;TRUE,"",IF(H12&gt;M12,"W",IF(H12&lt;M12,"L","T")))</x:f>
        <x:v>W</x:v>
      </x:c>
      <x:c r="K12" s="47" t="str">
        <x:v>Rutgers Scarlet Knights</x:v>
      </x:c>
      <x:c r="L12" s="47" t="str">
        <x:v>RUTG</x:v>
      </x:c>
      <x:c r="M12" s="77" t="n">
        <x:v>21</x:v>
      </x:c>
      <x:c r="N12" s="47" t="str">
        <x:v>0-1</x:v>
      </x:c>
      <x:c r="O12" s="47" t="str">
        <x:f>IF(E12&lt;&gt;TRUE,"",IF(M12&gt;H12,"W",IF(M12&lt;H12,"L","T")))</x:f>
        <x:v>L</x:v>
      </x:c>
      <x:c r="P12" s="78" t="b">
        <x:v>0</x:v>
      </x:c>
      <x:c r="Q12" s="78" t="b">
        <x:v>0</x:v>
      </x:c>
      <x:c r="R12" s="47" t="str">
        <x:v>SHI Stadium</x:v>
      </x:c>
      <x:c r="S12" s="47" t="str">
        <x:v>BTN</x:v>
      </x:c>
      <x:c r="T12" s="47"/>
      <x:c r="U12" s="79"/>
      <x:c r="V12" s="79"/>
      <x:c r="W12" s="47"/>
      <x:c r="X12" s="47" t="str">
        <x:v>https://www.espn.com/college-football/game/_/gameId/401858423</x:v>
      </x:c>
    </x:row>
    <x:row r="13">
      <x:c r="A13" s="47" t="str">
        <x:v>CFB</x:v>
      </x:c>
      <x:c r="B13" s="47" t="n">
        <x:v>1</x:v>
      </x:c>
      <x:c r="C13" s="74" t="n">
        <x:v>46268.958333333336</x:v>
      </x:c>
      <x:c r="D13" s="75" t="str">
        <x:v>post</x:v>
      </x:c>
      <x:c r="E13" s="76" t="b">
        <x:v>1</x:v>
      </x:c>
      <x:c r="F13" s="47" t="str">
        <x:v>Bethune-Cookman Wildcats</x:v>
      </x:c>
      <x:c r="G13" s="47" t="str">
        <x:v>BCU</x:v>
      </x:c>
      <x:c r="H13" s="77" t="n">
        <x:v>6</x:v>
      </x:c>
      <x:c r="I13" s="47" t="str">
        <x:v>0-1</x:v>
      </x:c>
      <x:c r="J13" s="47" t="str">
        <x:f>IF(E13&lt;&gt;TRUE,"",IF(H13&gt;M13,"W",IF(H13&lt;M13,"L","T")))</x:f>
        <x:v>L</x:v>
      </x:c>
      <x:c r="K13" s="47" t="str">
        <x:v>UCF Knights</x:v>
      </x:c>
      <x:c r="L13" s="47" t="str">
        <x:v>UCF</x:v>
      </x:c>
      <x:c r="M13" s="77" t="n">
        <x:v>73</x:v>
      </x:c>
      <x:c r="N13" s="47" t="str">
        <x:v>1-0</x:v>
      </x:c>
      <x:c r="O13" s="47" t="str">
        <x:f>IF(E13&lt;&gt;TRUE,"",IF(M13&gt;H13,"W",IF(M13&lt;H13,"L","T")))</x:f>
        <x:v>W</x:v>
      </x:c>
      <x:c r="P13" s="78" t="b">
        <x:v>0</x:v>
      </x:c>
      <x:c r="Q13" s="78" t="b">
        <x:v>0</x:v>
      </x:c>
      <x:c r="R13" s="47" t="str">
        <x:v>Acrisure Bounce House</x:v>
      </x:c>
      <x:c r="S13" s="47" t="str">
        <x:v>ESPN+</x:v>
      </x:c>
      <x:c r="T13" s="47"/>
      <x:c r="U13" s="79"/>
      <x:c r="V13" s="79"/>
      <x:c r="W13" s="47"/>
      <x:c r="X13" s="47" t="str">
        <x:v>https://www.espn.com/college-football/game/_/gameId/401856767</x:v>
      </x:c>
    </x:row>
    <x:row r="14">
      <x:c r="A14" s="47" t="str">
        <x:v>CFB</x:v>
      </x:c>
      <x:c r="B14" s="47" t="n">
        <x:v>1</x:v>
      </x:c>
      <x:c r="C14" s="74" t="n">
        <x:v>46268.958333333336</x:v>
      </x:c>
      <x:c r="D14" s="75" t="str">
        <x:v>post</x:v>
      </x:c>
      <x:c r="E14" s="76" t="b">
        <x:v>1</x:v>
      </x:c>
      <x:c r="F14" s="47" t="str">
        <x:v>Akron Zips</x:v>
      </x:c>
      <x:c r="G14" s="47" t="str">
        <x:v>AKR</x:v>
      </x:c>
      <x:c r="H14" s="77" t="n">
        <x:v>16</x:v>
      </x:c>
      <x:c r="I14" s="47" t="str">
        <x:v>0-1</x:v>
      </x:c>
      <x:c r="J14" s="47" t="str">
        <x:f>IF(E14&lt;&gt;TRUE,"",IF(H14&gt;M14,"W",IF(H14&lt;M14,"L","T")))</x:f>
        <x:v>L</x:v>
      </x:c>
      <x:c r="K14" s="47" t="str">
        <x:v>Wake Forest Demon Deacons</x:v>
      </x:c>
      <x:c r="L14" s="47" t="str">
        <x:v>WAKE</x:v>
      </x:c>
      <x:c r="M14" s="77" t="n">
        <x:v>38</x:v>
      </x:c>
      <x:c r="N14" s="47" t="str">
        <x:v>1-0</x:v>
      </x:c>
      <x:c r="O14" s="47" t="str">
        <x:f>IF(E14&lt;&gt;TRUE,"",IF(M14&gt;H14,"W",IF(M14&lt;H14,"L","T")))</x:f>
        <x:v>W</x:v>
      </x:c>
      <x:c r="P14" s="78" t="b">
        <x:v>0</x:v>
      </x:c>
      <x:c r="Q14" s="78" t="b">
        <x:v>0</x:v>
      </x:c>
      <x:c r="R14" s="47" t="str">
        <x:v>Allegacy Federal Credit Union Stadium</x:v>
      </x:c>
      <x:c r="S14" s="47" t="str">
        <x:v>ACC Network</x:v>
      </x:c>
      <x:c r="T14" s="47"/>
      <x:c r="U14" s="79"/>
      <x:c r="V14" s="79"/>
      <x:c r="W14" s="47"/>
      <x:c r="X14" s="47" t="str">
        <x:v>https://www.espn.com/college-football/game/_/gameId/401858204</x:v>
      </x:c>
    </x:row>
    <x:row r="15">
      <x:c r="A15" s="47" t="str">
        <x:v>CFB</x:v>
      </x:c>
      <x:c r="B15" s="47" t="n">
        <x:v>1</x:v>
      </x:c>
      <x:c r="C15" s="74" t="n">
        <x:v>46268.958333333336</x:v>
      </x:c>
      <x:c r="D15" s="75" t="str">
        <x:v>post</x:v>
      </x:c>
      <x:c r="E15" s="76" t="b">
        <x:v>1</x:v>
      </x:c>
      <x:c r="F15" s="47" t="str">
        <x:v>Merrimack Warriors</x:v>
      </x:c>
      <x:c r="G15" s="47" t="str">
        <x:v>MRMK</x:v>
      </x:c>
      <x:c r="H15" s="77" t="n">
        <x:v>7</x:v>
      </x:c>
      <x:c r="I15" s="47" t="str">
        <x:v>0-2</x:v>
      </x:c>
      <x:c r="J15" s="47" t="str">
        <x:f>IF(E15&lt;&gt;TRUE,"",IF(H15&gt;M15,"W",IF(H15&lt;M15,"L","T")))</x:f>
        <x:v>L</x:v>
      </x:c>
      <x:c r="K15" s="47" t="str">
        <x:v>Delaware Blue Hens</x:v>
      </x:c>
      <x:c r="L15" s="47" t="str">
        <x:v>DEL</x:v>
      </x:c>
      <x:c r="M15" s="77" t="n">
        <x:v>42</x:v>
      </x:c>
      <x:c r="N15" s="47" t="str">
        <x:v>1-0</x:v>
      </x:c>
      <x:c r="O15" s="47" t="str">
        <x:f>IF(E15&lt;&gt;TRUE,"",IF(M15&gt;H15,"W",IF(M15&lt;H15,"L","T")))</x:f>
        <x:v>W</x:v>
      </x:c>
      <x:c r="P15" s="78" t="b">
        <x:v>0</x:v>
      </x:c>
      <x:c r="Q15" s="78" t="b">
        <x:v>0</x:v>
      </x:c>
      <x:c r="R15" s="47" t="str">
        <x:v>Delaware Stadium</x:v>
      </x:c>
      <x:c r="S15" s="47" t="str">
        <x:v>ESPN+</x:v>
      </x:c>
      <x:c r="T15" s="47"/>
      <x:c r="U15" s="79"/>
      <x:c r="V15" s="79"/>
      <x:c r="W15" s="47"/>
      <x:c r="X15" s="47" t="str">
        <x:v>https://www.espn.com/college-football/game/_/gameId/401864424</x:v>
      </x:c>
    </x:row>
    <x:row r="16">
      <x:c r="A16" s="47" t="str">
        <x:v>CFB</x:v>
      </x:c>
      <x:c r="B16" s="47" t="n">
        <x:v>1</x:v>
      </x:c>
      <x:c r="C16" s="74" t="n">
        <x:v>46268.958333333336</x:v>
      </x:c>
      <x:c r="D16" s="75" t="str">
        <x:v>post</x:v>
      </x:c>
      <x:c r="E16" s="76" t="b">
        <x:v>1</x:v>
      </x:c>
      <x:c r="F16" s="47" t="str">
        <x:v>West Georgia Wolves</x:v>
      </x:c>
      <x:c r="G16" s="47" t="str">
        <x:v>WES</x:v>
      </x:c>
      <x:c r="H16" s="77" t="n">
        <x:v>0</x:v>
      </x:c>
      <x:c r="I16" s="47" t="str">
        <x:v>0-2</x:v>
      </x:c>
      <x:c r="J16" s="47" t="str">
        <x:f>IF(E16&lt;&gt;TRUE,"",IF(H16&gt;M16,"W",IF(H16&lt;M16,"L","T")))</x:f>
        <x:v>L</x:v>
      </x:c>
      <x:c r="K16" s="47" t="str">
        <x:v>Kennesaw State Owls</x:v>
      </x:c>
      <x:c r="L16" s="47" t="str">
        <x:v>KENN</x:v>
      </x:c>
      <x:c r="M16" s="77" t="n">
        <x:v>47</x:v>
      </x:c>
      <x:c r="N16" s="47" t="str">
        <x:v>1-0</x:v>
      </x:c>
      <x:c r="O16" s="47" t="str">
        <x:f>IF(E16&lt;&gt;TRUE,"",IF(M16&gt;H16,"W",IF(M16&lt;H16,"L","T")))</x:f>
        <x:v>W</x:v>
      </x:c>
      <x:c r="P16" s="78" t="b">
        <x:v>0</x:v>
      </x:c>
      <x:c r="Q16" s="78" t="b">
        <x:v>0</x:v>
      </x:c>
      <x:c r="R16" s="47" t="str">
        <x:v>Walens Family Field at Fifth Third Stadium</x:v>
      </x:c>
      <x:c r="S16" s="47" t="str">
        <x:v>ESPN+</x:v>
      </x:c>
      <x:c r="T16" s="47"/>
      <x:c r="U16" s="79"/>
      <x:c r="V16" s="79"/>
      <x:c r="W16" s="47"/>
      <x:c r="X16" s="47" t="str">
        <x:v>https://www.espn.com/college-football/game/_/gameId/401864425</x:v>
      </x:c>
    </x:row>
    <x:row r="17">
      <x:c r="A17" s="47" t="str">
        <x:v>CFB</x:v>
      </x:c>
      <x:c r="B17" s="47" t="n">
        <x:v>1</x:v>
      </x:c>
      <x:c r="C17" s="74" t="n">
        <x:v>46268.958333333336</x:v>
      </x:c>
      <x:c r="D17" s="75" t="str">
        <x:v>post</x:v>
      </x:c>
      <x:c r="E17" s="76" t="b">
        <x:v>1</x:v>
      </x:c>
      <x:c r="F17" s="47" t="str">
        <x:v>UAlbany Great Danes</x:v>
      </x:c>
      <x:c r="G17" s="47" t="str">
        <x:v>ALB</x:v>
      </x:c>
      <x:c r="H17" s="77" t="n">
        <x:v>17</x:v>
      </x:c>
      <x:c r="I17" s="47" t="str">
        <x:v>1-1</x:v>
      </x:c>
      <x:c r="J17" s="47" t="str">
        <x:f>IF(E17&lt;&gt;TRUE,"",IF(H17&gt;M17,"W",IF(H17&lt;M17,"L","T")))</x:f>
        <x:v>L</x:v>
      </x:c>
      <x:c r="K17" s="47" t="str">
        <x:v>Buffalo Bulls</x:v>
      </x:c>
      <x:c r="L17" s="47" t="str">
        <x:v>BUFF</x:v>
      </x:c>
      <x:c r="M17" s="77" t="n">
        <x:v>21</x:v>
      </x:c>
      <x:c r="N17" s="47" t="str">
        <x:v>1-0</x:v>
      </x:c>
      <x:c r="O17" s="47" t="str">
        <x:f>IF(E17&lt;&gt;TRUE,"",IF(M17&gt;H17,"W",IF(M17&lt;H17,"L","T")))</x:f>
        <x:v>W</x:v>
      </x:c>
      <x:c r="P17" s="78" t="b">
        <x:v>0</x:v>
      </x:c>
      <x:c r="Q17" s="78" t="b">
        <x:v>0</x:v>
      </x:c>
      <x:c r="R17" s="47" t="str">
        <x:v>Broadview Stadium</x:v>
      </x:c>
      <x:c r="S17" s="47" t="str">
        <x:v>ESPN+</x:v>
      </x:c>
      <x:c r="T17" s="47"/>
      <x:c r="U17" s="79"/>
      <x:c r="V17" s="79"/>
      <x:c r="W17" s="47"/>
      <x:c r="X17" s="47" t="str">
        <x:v>https://www.espn.com/college-football/game/_/gameId/401866409</x:v>
      </x:c>
    </x:row>
    <x:row r="18">
      <x:c r="A18" s="47" t="str">
        <x:v>CFB</x:v>
      </x:c>
      <x:c r="B18" s="47" t="n">
        <x:v>1</x:v>
      </x:c>
      <x:c r="C18" s="74" t="n">
        <x:v>46269</x:v>
      </x:c>
      <x:c r="D18" s="75" t="str">
        <x:v>post</x:v>
      </x:c>
      <x:c r="E18" s="76" t="b">
        <x:v>1</x:v>
      </x:c>
      <x:c r="F18" s="47" t="str">
        <x:v>Arkansas-Pine Bluff Golden Lions</x:v>
      </x:c>
      <x:c r="G18" s="47" t="str">
        <x:v>UAPB</x:v>
      </x:c>
      <x:c r="H18" s="77" t="n">
        <x:v>14</x:v>
      </x:c>
      <x:c r="I18" s="47" t="str">
        <x:v>1-1</x:v>
      </x:c>
      <x:c r="J18" s="47" t="str">
        <x:f>IF(E18&lt;&gt;TRUE,"",IF(H18&gt;M18,"W",IF(H18&lt;M18,"L","T")))</x:f>
        <x:v>L</x:v>
      </x:c>
      <x:c r="K18" s="47" t="str">
        <x:v>Missouri Tigers</x:v>
      </x:c>
      <x:c r="L18" s="47" t="str">
        <x:v>MIZ</x:v>
      </x:c>
      <x:c r="M18" s="77" t="n">
        <x:v>54</x:v>
      </x:c>
      <x:c r="N18" s="47" t="str">
        <x:v>1-0</x:v>
      </x:c>
      <x:c r="O18" s="47" t="str">
        <x:f>IF(E18&lt;&gt;TRUE,"",IF(M18&gt;H18,"W",IF(M18&lt;H18,"L","T")))</x:f>
        <x:v>W</x:v>
      </x:c>
      <x:c r="P18" s="78" t="b">
        <x:v>0</x:v>
      </x:c>
      <x:c r="Q18" s="78" t="b">
        <x:v>0</x:v>
      </x:c>
      <x:c r="R18" s="47" t="str">
        <x:v>Memorial Stadium</x:v>
      </x:c>
      <x:c r="S18" s="47" t="str">
        <x:v>SEC Network</x:v>
      </x:c>
      <x:c r="T18" s="47"/>
      <x:c r="U18" s="79"/>
      <x:c r="V18" s="79"/>
      <x:c r="W18" s="47"/>
      <x:c r="X18" s="47" t="str">
        <x:v>https://www.espn.com/college-football/game/_/gameId/401856663</x:v>
      </x:c>
    </x:row>
    <x:row r="19">
      <x:c r="A19" s="47" t="str">
        <x:v>CFB</x:v>
      </x:c>
      <x:c r="B19" s="47" t="n">
        <x:v>1</x:v>
      </x:c>
      <x:c r="C19" s="74" t="n">
        <x:v>46269</x:v>
      </x:c>
      <x:c r="D19" s="75" t="str">
        <x:v>post</x:v>
      </x:c>
      <x:c r="E19" s="76" t="b">
        <x:v>1</x:v>
      </x:c>
      <x:c r="F19" s="47" t="str">
        <x:v>Colorado Buffaloes</x:v>
      </x:c>
      <x:c r="G19" s="47" t="str">
        <x:v>COLO</x:v>
      </x:c>
      <x:c r="H19" s="77" t="n">
        <x:v>14</x:v>
      </x:c>
      <x:c r="I19" s="47" t="str">
        <x:v>1-0</x:v>
      </x:c>
      <x:c r="J19" s="47" t="str">
        <x:f>IF(E19&lt;&gt;TRUE,"",IF(H19&gt;M19,"W",IF(H19&lt;M19,"L","T")))</x:f>
        <x:v>W</x:v>
      </x:c>
      <x:c r="K19" s="47" t="str">
        <x:v>Georgia Tech Yellow Jackets</x:v>
      </x:c>
      <x:c r="L19" s="47" t="str">
        <x:v>GT</x:v>
      </x:c>
      <x:c r="M19" s="77" t="n">
        <x:v>13</x:v>
      </x:c>
      <x:c r="N19" s="47" t="str">
        <x:v>0-1</x:v>
      </x:c>
      <x:c r="O19" s="47" t="str">
        <x:f>IF(E19&lt;&gt;TRUE,"",IF(M19&gt;H19,"W",IF(M19&lt;H19,"L","T")))</x:f>
        <x:v>L</x:v>
      </x:c>
      <x:c r="P19" s="78" t="b">
        <x:v>0</x:v>
      </x:c>
      <x:c r="Q19" s="78" t="b">
        <x:v>0</x:v>
      </x:c>
      <x:c r="R19" s="47" t="str">
        <x:v>Bobby Dodd Stadium</x:v>
      </x:c>
      <x:c r="S19" s="47" t="str">
        <x:v>ESPN</x:v>
      </x:c>
      <x:c r="T19" s="47"/>
      <x:c r="U19" s="79"/>
      <x:c r="V19" s="79"/>
      <x:c r="W19" s="47"/>
      <x:c r="X19" s="47" t="str">
        <x:v>https://www.espn.com/college-football/game/_/gameId/401856776</x:v>
      </x:c>
    </x:row>
    <x:row r="20">
      <x:c r="A20" s="47" t="str">
        <x:v>CFB</x:v>
      </x:c>
      <x:c r="B20" s="47" t="n">
        <x:v>1</x:v>
      </x:c>
      <x:c r="C20" s="74" t="n">
        <x:v>46269</x:v>
      </x:c>
      <x:c r="D20" s="75" t="str">
        <x:v>post</x:v>
      </x:c>
      <x:c r="E20" s="76" t="b">
        <x:v>1</x:v>
      </x:c>
      <x:c r="F20" s="47" t="str">
        <x:v>Eastern Illinois Panthers</x:v>
      </x:c>
      <x:c r="G20" s="47" t="str">
        <x:v>EIU</x:v>
      </x:c>
      <x:c r="H20" s="77" t="n">
        <x:v>7</x:v>
      </x:c>
      <x:c r="I20" s="47" t="str">
        <x:v>0-1</x:v>
      </x:c>
      <x:c r="J20" s="47" t="str">
        <x:f>IF(E20&lt;&gt;TRUE,"",IF(H20&gt;M20,"W",IF(H20&lt;M20,"L","T")))</x:f>
        <x:v>L</x:v>
      </x:c>
      <x:c r="K20" s="47" t="str">
        <x:v>Minnesota Golden Gophers</x:v>
      </x:c>
      <x:c r="L20" s="47" t="str">
        <x:v>MINN</x:v>
      </x:c>
      <x:c r="M20" s="77" t="n">
        <x:v>59</x:v>
      </x:c>
      <x:c r="N20" s="47" t="str">
        <x:v>1-0</x:v>
      </x:c>
      <x:c r="O20" s="47" t="str">
        <x:f>IF(E20&lt;&gt;TRUE,"",IF(M20&gt;H20,"W",IF(M20&lt;H20,"L","T")))</x:f>
        <x:v>W</x:v>
      </x:c>
      <x:c r="P20" s="78" t="b">
        <x:v>0</x:v>
      </x:c>
      <x:c r="Q20" s="78" t="b">
        <x:v>0</x:v>
      </x:c>
      <x:c r="R20" s="47" t="str">
        <x:v>Huntington Bank Stadium</x:v>
      </x:c>
      <x:c r="S20" s="47" t="str">
        <x:v>Peacock</x:v>
      </x:c>
      <x:c r="T20" s="47"/>
      <x:c r="U20" s="79"/>
      <x:c r="V20" s="79"/>
      <x:c r="W20" s="47"/>
      <x:c r="X20" s="47" t="str">
        <x:v>https://www.espn.com/college-football/game/_/gameId/401858422</x:v>
      </x:c>
    </x:row>
    <x:row r="21">
      <x:c r="A21" s="47" t="str">
        <x:v>CFB</x:v>
      </x:c>
      <x:c r="B21" s="47" t="n">
        <x:v>1</x:v>
      </x:c>
      <x:c r="C21" s="74" t="n">
        <x:v>46269.041666666664</x:v>
      </x:c>
      <x:c r="D21" s="75" t="str">
        <x:v>post</x:v>
      </x:c>
      <x:c r="E21" s="76" t="b">
        <x:v>1</x:v>
      </x:c>
      <x:c r="F21" s="47" t="str">
        <x:v>Idaho Vandals</x:v>
      </x:c>
      <x:c r="G21" s="47" t="str">
        <x:v>IDHO</x:v>
      </x:c>
      <x:c r="H21" s="77" t="n">
        <x:v>14</x:v>
      </x:c>
      <x:c r="I21" s="47" t="str">
        <x:v>0-2</x:v>
      </x:c>
      <x:c r="J21" s="47" t="str">
        <x:f>IF(E21&lt;&gt;TRUE,"",IF(H21&gt;M21,"W",IF(H21&lt;M21,"L","T")))</x:f>
        <x:v>L</x:v>
      </x:c>
      <x:c r="K21" s="47" t="str">
        <x:v>Utah Utes</x:v>
      </x:c>
      <x:c r="L21" s="47" t="str">
        <x:v>UTAH</x:v>
      </x:c>
      <x:c r="M21" s="77" t="n">
        <x:v>66</x:v>
      </x:c>
      <x:c r="N21" s="47" t="str">
        <x:v>1-0</x:v>
      </x:c>
      <x:c r="O21" s="47" t="str">
        <x:f>IF(E21&lt;&gt;TRUE,"",IF(M21&gt;H21,"W",IF(M21&lt;H21,"L","T")))</x:f>
        <x:v>W</x:v>
      </x:c>
      <x:c r="P21" s="78" t="b">
        <x:v>0</x:v>
      </x:c>
      <x:c r="Q21" s="78" t="b">
        <x:v>0</x:v>
      </x:c>
      <x:c r="R21" s="47" t="str">
        <x:v>Rice-Eccles Stadium</x:v>
      </x:c>
      <x:c r="S21" s="47" t="str">
        <x:v>ESPNU</x:v>
      </x:c>
      <x:c r="T21" s="47"/>
      <x:c r="U21" s="79"/>
      <x:c r="V21" s="79"/>
      <x:c r="W21" s="47"/>
      <x:c r="X21" s="47" t="str">
        <x:v>https://www.espn.com/college-football/game/_/gameId/401856768</x:v>
      </x:c>
    </x:row>
    <x:row r="22">
      <x:c r="A22" s="47" t="str">
        <x:v>CFB</x:v>
      </x:c>
      <x:c r="B22" s="47" t="n">
        <x:v>1</x:v>
      </x:c>
      <x:c r="C22" s="74" t="n">
        <x:v>46269.041666666664</x:v>
      </x:c>
      <x:c r="D22" s="75" t="str">
        <x:v>post</x:v>
      </x:c>
      <x:c r="E22" s="76" t="b">
        <x:v>1</x:v>
      </x:c>
      <x:c r="F22" s="47" t="str">
        <x:v>UAB Blazers</x:v>
      </x:c>
      <x:c r="G22" s="47" t="str">
        <x:v>UAB</x:v>
      </x:c>
      <x:c r="H22" s="77" t="n">
        <x:v>23</x:v>
      </x:c>
      <x:c r="I22" s="47" t="str">
        <x:v>0-1</x:v>
      </x:c>
      <x:c r="J22" s="47" t="str">
        <x:f>IF(E22&lt;&gt;TRUE,"",IF(H22&gt;M22,"W",IF(H22&lt;M22,"L","T")))</x:f>
        <x:v>L</x:v>
      </x:c>
      <x:c r="K22" s="47" t="str">
        <x:v>Illinois Fighting Illini</x:v>
      </x:c>
      <x:c r="L22" s="47" t="str">
        <x:v>ILL</x:v>
      </x:c>
      <x:c r="M22" s="77" t="n">
        <x:v>42</x:v>
      </x:c>
      <x:c r="N22" s="47" t="str">
        <x:v>1-0</x:v>
      </x:c>
      <x:c r="O22" s="47" t="str">
        <x:f>IF(E22&lt;&gt;TRUE,"",IF(M22&gt;H22,"W",IF(M22&lt;H22,"L","T")))</x:f>
        <x:v>W</x:v>
      </x:c>
      <x:c r="P22" s="78" t="b">
        <x:v>0</x:v>
      </x:c>
      <x:c r="Q22" s="78" t="b">
        <x:v>0</x:v>
      </x:c>
      <x:c r="R22" s="47" t="str">
        <x:v>Gies Memorial Stadium</x:v>
      </x:c>
      <x:c r="S22" s="47" t="str">
        <x:v>BTN</x:v>
      </x:c>
      <x:c r="T22" s="47"/>
      <x:c r="U22" s="79"/>
      <x:c r="V22" s="79"/>
      <x:c r="W22" s="47"/>
      <x:c r="X22" s="47" t="str">
        <x:v>https://www.espn.com/college-football/game/_/gameId/401858424</x:v>
      </x:c>
    </x:row>
    <x:row r="23">
      <x:c r="A23" s="47" t="str">
        <x:v>CFB</x:v>
      </x:c>
      <x:c r="B23" s="47" t="n">
        <x:v>1</x:v>
      </x:c>
      <x:c r="C23" s="74" t="n">
        <x:v>46269.9375</x:v>
      </x:c>
      <x:c r="D23" s="75" t="str">
        <x:v>post</x:v>
      </x:c>
      <x:c r="E23" s="76" t="b">
        <x:v>1</x:v>
      </x:c>
      <x:c r="F23" s="47" t="str">
        <x:v>San José State Spartans</x:v>
      </x:c>
      <x:c r="G23" s="47" t="str">
        <x:v>SJSU</x:v>
      </x:c>
      <x:c r="H23" s="77" t="n">
        <x:v>27</x:v>
      </x:c>
      <x:c r="I23" s="47" t="str">
        <x:v>1-1</x:v>
      </x:c>
      <x:c r="J23" s="47" t="str">
        <x:f>IF(E23&lt;&gt;TRUE,"",IF(H23&gt;M23,"W",IF(H23&lt;M23,"L","T")))</x:f>
        <x:v>W</x:v>
      </x:c>
      <x:c r="K23" s="47" t="str">
        <x:v>Eastern Michigan Eagles</x:v>
      </x:c>
      <x:c r="L23" s="47" t="str">
        <x:v>EMU</x:v>
      </x:c>
      <x:c r="M23" s="77" t="n">
        <x:v>21</x:v>
      </x:c>
      <x:c r="N23" s="47" t="str">
        <x:v>1-1</x:v>
      </x:c>
      <x:c r="O23" s="47" t="str">
        <x:f>IF(E23&lt;&gt;TRUE,"",IF(M23&gt;H23,"W",IF(M23&lt;H23,"L","T")))</x:f>
        <x:v>L</x:v>
      </x:c>
      <x:c r="P23" s="78" t="b">
        <x:v>0</x:v>
      </x:c>
      <x:c r="Q23" s="78" t="b">
        <x:v>0</x:v>
      </x:c>
      <x:c r="R23" s="47" t="str">
        <x:v>Rynearson Stadium</x:v>
      </x:c>
      <x:c r="S23" s="47" t="str">
        <x:v>ESPN+</x:v>
      </x:c>
      <x:c r="T23" s="47"/>
      <x:c r="U23" s="79"/>
      <x:c r="V23" s="79"/>
      <x:c r="W23" s="47"/>
      <x:c r="X23" s="47" t="str">
        <x:v>https://www.espn.com/college-football/game/_/gameId/401864495</x:v>
      </x:c>
    </x:row>
    <x:row r="24">
      <x:c r="A24" s="47" t="str">
        <x:v>CFB</x:v>
      </x:c>
      <x:c r="B24" s="47" t="n">
        <x:v>1</x:v>
      </x:c>
      <x:c r="C24" s="74" t="n">
        <x:v>46269.958333333336</x:v>
      </x:c>
      <x:c r="D24" s="75" t="str">
        <x:v>post</x:v>
      </x:c>
      <x:c r="E24" s="76" t="b">
        <x:v>1</x:v>
      </x:c>
      <x:c r="F24" s="47" t="str">
        <x:v>Indiana State Sycamores</x:v>
      </x:c>
      <x:c r="G24" s="47" t="str">
        <x:v>INST</x:v>
      </x:c>
      <x:c r="H24" s="77" t="n">
        <x:v>19</x:v>
      </x:c>
      <x:c r="I24" s="47" t="str">
        <x:v>0-2</x:v>
      </x:c>
      <x:c r="J24" s="47" t="str">
        <x:f>IF(E24&lt;&gt;TRUE,"",IF(H24&gt;M24,"W",IF(H24&lt;M24,"L","T")))</x:f>
        <x:v>L</x:v>
      </x:c>
      <x:c r="K24" s="47" t="str">
        <x:v>Purdue Boilermakers</x:v>
      </x:c>
      <x:c r="L24" s="47" t="str">
        <x:v>PUR</x:v>
      </x:c>
      <x:c r="M24" s="77" t="n">
        <x:v>44</x:v>
      </x:c>
      <x:c r="N24" s="47" t="str">
        <x:v>1-0</x:v>
      </x:c>
      <x:c r="O24" s="47" t="str">
        <x:f>IF(E24&lt;&gt;TRUE,"",IF(M24&gt;H24,"W",IF(M24&lt;H24,"L","T")))</x:f>
        <x:v>W</x:v>
      </x:c>
      <x:c r="P24" s="78" t="b">
        <x:v>0</x:v>
      </x:c>
      <x:c r="Q24" s="78" t="b">
        <x:v>0</x:v>
      </x:c>
      <x:c r="R24" s="47" t="str">
        <x:v>Ross-Ade Stadium</x:v>
      </x:c>
      <x:c r="S24" s="47" t="str">
        <x:v>BTN</x:v>
      </x:c>
      <x:c r="T24" s="47"/>
      <x:c r="U24" s="79"/>
      <x:c r="V24" s="79"/>
      <x:c r="W24" s="47"/>
      <x:c r="X24" s="47" t="str">
        <x:v>https://www.espn.com/college-football/game/_/gameId/401858435</x:v>
      </x:c>
    </x:row>
    <x:row r="25">
      <x:c r="A25" s="47" t="str">
        <x:v>CFB</x:v>
      </x:c>
      <x:c r="B25" s="47" t="n">
        <x:v>1</x:v>
      </x:c>
      <x:c r="C25" s="74" t="n">
        <x:v>46269.958333333336</x:v>
      </x:c>
      <x:c r="D25" s="75" t="str">
        <x:v>post</x:v>
      </x:c>
      <x:c r="E25" s="76" t="b">
        <x:v>1</x:v>
      </x:c>
      <x:c r="F25" s="47" t="str">
        <x:v>North Carolina A&amp;T Aggies</x:v>
      </x:c>
      <x:c r="G25" s="47" t="str">
        <x:v>NCAT</x:v>
      </x:c>
      <x:c r="H25" s="77" t="n">
        <x:v>10</x:v>
      </x:c>
      <x:c r="I25" s="47" t="str">
        <x:v>0-2</x:v>
      </x:c>
      <x:c r="J25" s="47" t="str">
        <x:f>IF(E25&lt;&gt;TRUE,"",IF(H25&gt;M25,"W",IF(H25&lt;M25,"L","T")))</x:f>
        <x:v>L</x:v>
      </x:c>
      <x:c r="K25" s="47" t="str">
        <x:v>Georgia State Panthers</x:v>
      </x:c>
      <x:c r="L25" s="47" t="str">
        <x:v>GAST</x:v>
      </x:c>
      <x:c r="M25" s="77" t="n">
        <x:v>59</x:v>
      </x:c>
      <x:c r="N25" s="47" t="str">
        <x:v>1-0</x:v>
      </x:c>
      <x:c r="O25" s="47" t="str">
        <x:f>IF(E25&lt;&gt;TRUE,"",IF(M25&gt;H25,"W",IF(M25&lt;H25,"L","T")))</x:f>
        <x:v>W</x:v>
      </x:c>
      <x:c r="P25" s="78" t="b">
        <x:v>0</x:v>
      </x:c>
      <x:c r="Q25" s="78" t="b">
        <x:v>0</x:v>
      </x:c>
      <x:c r="R25" s="47" t="str">
        <x:v>Center Parc Stadium</x:v>
      </x:c>
      <x:c r="S25" s="47" t="str">
        <x:v>ESPN+</x:v>
      </x:c>
      <x:c r="T25" s="47"/>
      <x:c r="U25" s="79"/>
      <x:c r="V25" s="79"/>
      <x:c r="W25" s="47"/>
      <x:c r="X25" s="47" t="str">
        <x:v>https://www.espn.com/college-football/game/_/gameId/401866623</x:v>
      </x:c>
    </x:row>
    <x:row r="26">
      <x:c r="A26" s="47" t="str">
        <x:v>CFB</x:v>
      </x:c>
      <x:c r="B26" s="47" t="n">
        <x:v>1</x:v>
      </x:c>
      <x:c r="C26" s="74" t="n">
        <x:v>46270</x:v>
      </x:c>
      <x:c r="D26" s="75" t="str">
        <x:v>post</x:v>
      </x:c>
      <x:c r="E26" s="76" t="b">
        <x:v>1</x:v>
      </x:c>
      <x:c r="F26" s="47" t="str">
        <x:v>UTEP Miners</x:v>
      </x:c>
      <x:c r="G26" s="47" t="str">
        <x:v>UTEP</x:v>
      </x:c>
      <x:c r="H26" s="77" t="n">
        <x:v>0</x:v>
      </x:c>
      <x:c r="I26" s="47" t="str">
        <x:v>0-1</x:v>
      </x:c>
      <x:c r="J26" s="47" t="str">
        <x:f>IF(E26&lt;&gt;TRUE,"",IF(H26&gt;M26,"W",IF(H26&lt;M26,"L","T")))</x:f>
        <x:v>L</x:v>
      </x:c>
      <x:c r="K26" s="47" t="str">
        <x:v>Oklahoma Sooners</x:v>
      </x:c>
      <x:c r="L26" s="47" t="str">
        <x:v>OU</x:v>
      </x:c>
      <x:c r="M26" s="77" t="n">
        <x:v>51</x:v>
      </x:c>
      <x:c r="N26" s="47" t="str">
        <x:v>1-0</x:v>
      </x:c>
      <x:c r="O26" s="47" t="str">
        <x:f>IF(E26&lt;&gt;TRUE,"",IF(M26&gt;H26,"W",IF(M26&lt;H26,"L","T")))</x:f>
        <x:v>W</x:v>
      </x:c>
      <x:c r="P26" s="78" t="b">
        <x:v>0</x:v>
      </x:c>
      <x:c r="Q26" s="78" t="b">
        <x:v>0</x:v>
      </x:c>
      <x:c r="R26" s="47" t="str">
        <x:v>Memorial Stadium (Norman, OK)</x:v>
      </x:c>
      <x:c r="S26" s="47" t="str">
        <x:v>SECN+</x:v>
      </x:c>
      <x:c r="T26" s="47"/>
      <x:c r="U26" s="79"/>
      <x:c r="V26" s="79"/>
      <x:c r="W26" s="47"/>
      <x:c r="X26" s="47" t="str">
        <x:v>https://www.espn.com/college-football/game/_/gameId/401856664</x:v>
      </x:c>
    </x:row>
    <x:row r="27">
      <x:c r="A27" s="47" t="str">
        <x:v>CFB</x:v>
      </x:c>
      <x:c r="B27" s="47" t="n">
        <x:v>1</x:v>
      </x:c>
      <x:c r="C27" s="74" t="n">
        <x:v>46270</x:v>
      </x:c>
      <x:c r="D27" s="75" t="str">
        <x:v>post</x:v>
      </x:c>
      <x:c r="E27" s="76" t="b">
        <x:v>1</x:v>
      </x:c>
      <x:c r="F27" s="47" t="str">
        <x:v>Long Island University Sharks</x:v>
      </x:c>
      <x:c r="G27" s="47" t="str">
        <x:v>LIU</x:v>
      </x:c>
      <x:c r="H27" s="77" t="n">
        <x:v>6</x:v>
      </x:c>
      <x:c r="I27" s="47" t="str">
        <x:v>0-2</x:v>
      </x:c>
      <x:c r="J27" s="47" t="str">
        <x:f>IF(E27&lt;&gt;TRUE,"",IF(H27&gt;M27,"W",IF(H27&lt;M27,"L","T")))</x:f>
        <x:v>L</x:v>
      </x:c>
      <x:c r="K27" s="47" t="str">
        <x:v>Kansas Jayhawks</x:v>
      </x:c>
      <x:c r="L27" s="47" t="str">
        <x:v>KU</x:v>
      </x:c>
      <x:c r="M27" s="77" t="n">
        <x:v>51</x:v>
      </x:c>
      <x:c r="N27" s="47" t="str">
        <x:v>1-0</x:v>
      </x:c>
      <x:c r="O27" s="47" t="str">
        <x:f>IF(E27&lt;&gt;TRUE,"",IF(M27&gt;H27,"W",IF(M27&lt;H27,"L","T")))</x:f>
        <x:v>W</x:v>
      </x:c>
      <x:c r="P27" s="78" t="b">
        <x:v>0</x:v>
      </x:c>
      <x:c r="Q27" s="78" t="b">
        <x:v>0</x:v>
      </x:c>
      <x:c r="R27" s="47" t="str">
        <x:v>David Booth Kansas Memorial Stadium</x:v>
      </x:c>
      <x:c r="S27" s="47" t="str">
        <x:v>ESPNU</x:v>
      </x:c>
      <x:c r="T27" s="47"/>
      <x:c r="U27" s="79"/>
      <x:c r="V27" s="79"/>
      <x:c r="W27" s="47"/>
      <x:c r="X27" s="47" t="str">
        <x:v>https://www.espn.com/college-football/game/_/gameId/401856769</x:v>
      </x:c>
    </x:row>
    <x:row r="28">
      <x:c r="A28" s="47" t="str">
        <x:v>CFB</x:v>
      </x:c>
      <x:c r="B28" s="47" t="n">
        <x:v>1</x:v>
      </x:c>
      <x:c r="C28" s="74" t="n">
        <x:v>46270</x:v>
      </x:c>
      <x:c r="D28" s="75" t="str">
        <x:v>post</x:v>
      </x:c>
      <x:c r="E28" s="76" t="b">
        <x:v>1</x:v>
      </x:c>
      <x:c r="F28" s="47" t="str">
        <x:v>Toledo Rockets</x:v>
      </x:c>
      <x:c r="G28" s="47" t="str">
        <x:v>TOL</x:v>
      </x:c>
      <x:c r="H28" s="77" t="n">
        <x:v>20</x:v>
      </x:c>
      <x:c r="I28" s="47" t="str">
        <x:v>0-1</x:v>
      </x:c>
      <x:c r="J28" s="47" t="str">
        <x:f>IF(E28&lt;&gt;TRUE,"",IF(H28&gt;M28,"W",IF(H28&lt;M28,"L","T")))</x:f>
        <x:v>L</x:v>
      </x:c>
      <x:c r="K28" s="47" t="str">
        <x:v>Michigan State Spartans</x:v>
      </x:c>
      <x:c r="L28" s="47" t="str">
        <x:v>MSU</x:v>
      </x:c>
      <x:c r="M28" s="77" t="n">
        <x:v>30</x:v>
      </x:c>
      <x:c r="N28" s="47" t="str">
        <x:v>1-0</x:v>
      </x:c>
      <x:c r="O28" s="47" t="str">
        <x:f>IF(E28&lt;&gt;TRUE,"",IF(M28&gt;H28,"W",IF(M28&lt;H28,"L","T")))</x:f>
        <x:v>W</x:v>
      </x:c>
      <x:c r="P28" s="78" t="b">
        <x:v>0</x:v>
      </x:c>
      <x:c r="Q28" s="78" t="b">
        <x:v>0</x:v>
      </x:c>
      <x:c r="R28" s="47" t="str">
        <x:v>Spartan Stadium</x:v>
      </x:c>
      <x:c r="S28" s="47" t="str">
        <x:v>FS1</x:v>
      </x:c>
      <x:c r="T28" s="47"/>
      <x:c r="U28" s="79"/>
      <x:c r="V28" s="79"/>
      <x:c r="W28" s="47"/>
      <x:c r="X28" s="47" t="str">
        <x:v>https://www.espn.com/college-football/game/_/gameId/401858429</x:v>
      </x:c>
    </x:row>
    <x:row r="29">
      <x:c r="A29" s="47" t="str">
        <x:v>CFB</x:v>
      </x:c>
      <x:c r="B29" s="47" t="n">
        <x:v>1</x:v>
      </x:c>
      <x:c r="C29" s="74" t="n">
        <x:v>46270.041666666664</x:v>
      </x:c>
      <x:c r="D29" s="75" t="str">
        <x:v>post</x:v>
      </x:c>
      <x:c r="E29" s="76" t="b">
        <x:v>1</x:v>
      </x:c>
      <x:c r="F29" s="47" t="str">
        <x:v>Miami Hurricanes</x:v>
      </x:c>
      <x:c r="G29" s="47" t="str">
        <x:v>MIA</x:v>
      </x:c>
      <x:c r="H29" s="77" t="n">
        <x:v>45</x:v>
      </x:c>
      <x:c r="I29" s="47" t="str">
        <x:v>1-0</x:v>
      </x:c>
      <x:c r="J29" s="47" t="str">
        <x:f>IF(E29&lt;&gt;TRUE,"",IF(H29&gt;M29,"W",IF(H29&lt;M29,"L","T")))</x:f>
        <x:v>W</x:v>
      </x:c>
      <x:c r="K29" s="47" t="str">
        <x:v>Stanford Cardinal</x:v>
      </x:c>
      <x:c r="L29" s="47" t="str">
        <x:v>STAN</x:v>
      </x:c>
      <x:c r="M29" s="77" t="n">
        <x:v>6</x:v>
      </x:c>
      <x:c r="N29" s="47" t="str">
        <x:v>1-1</x:v>
      </x:c>
      <x:c r="O29" s="47" t="str">
        <x:f>IF(E29&lt;&gt;TRUE,"",IF(M29&gt;H29,"W",IF(M29&lt;H29,"L","T")))</x:f>
        <x:v>L</x:v>
      </x:c>
      <x:c r="P29" s="78" t="b">
        <x:v>0</x:v>
      </x:c>
      <x:c r="Q29" s="78" t="b">
        <x:v>1</x:v>
      </x:c>
      <x:c r="R29" s="47" t="str">
        <x:v>Stanford Stadium</x:v>
      </x:c>
      <x:c r="S29" s="47" t="str">
        <x:v>ESPN</x:v>
      </x:c>
      <x:c r="T29" s="47"/>
      <x:c r="U29" s="79"/>
      <x:c r="V29" s="79"/>
      <x:c r="W29" s="47"/>
      <x:c r="X29" s="47" t="str">
        <x:v>https://www.espn.com/college-football/game/_/gameId/401858206</x:v>
      </x:c>
    </x:row>
    <x:row r="30">
      <x:c r="A30" s="47" t="str">
        <x:v>CFB</x:v>
      </x:c>
      <x:c r="B30" s="47" t="n">
        <x:v>1</x:v>
      </x:c>
      <x:c r="C30" s="74" t="n">
        <x:v>46270.041666666664</x:v>
      </x:c>
      <x:c r="D30" s="75" t="str">
        <x:v>post</x:v>
      </x:c>
      <x:c r="E30" s="76" t="b">
        <x:v>1</x:v>
      </x:c>
      <x:c r="F30" s="47" t="str">
        <x:v>Fresno State Bulldogs</x:v>
      </x:c>
      <x:c r="G30" s="47" t="str">
        <x:v>FRES</x:v>
      </x:c>
      <x:c r="H30" s="77" t="n">
        <x:v>0</x:v>
      </x:c>
      <x:c r="I30" s="47" t="str">
        <x:v>0-1</x:v>
      </x:c>
      <x:c r="J30" s="47" t="str">
        <x:f>IF(E30&lt;&gt;TRUE,"",IF(H30&gt;M30,"W",IF(H30&lt;M30,"L","T")))</x:f>
        <x:v>L</x:v>
      </x:c>
      <x:c r="K30" s="47" t="str">
        <x:v>USC Trojans</x:v>
      </x:c>
      <x:c r="L30" s="47" t="str">
        <x:v>USC</x:v>
      </x:c>
      <x:c r="M30" s="77" t="n">
        <x:v>39</x:v>
      </x:c>
      <x:c r="N30" s="47" t="str">
        <x:v>2-0</x:v>
      </x:c>
      <x:c r="O30" s="47" t="str">
        <x:f>IF(E30&lt;&gt;TRUE,"",IF(M30&gt;H30,"W",IF(M30&lt;H30,"L","T")))</x:f>
        <x:v>W</x:v>
      </x:c>
      <x:c r="P30" s="78" t="b">
        <x:v>0</x:v>
      </x:c>
      <x:c r="Q30" s="78" t="b">
        <x:v>0</x:v>
      </x:c>
      <x:c r="R30" s="47" t="str">
        <x:v>Los Angeles Memorial Coliseum</x:v>
      </x:c>
      <x:c r="S30" s="47" t="str">
        <x:v>FOX</x:v>
      </x:c>
      <x:c r="T30" s="47"/>
      <x:c r="U30" s="79"/>
      <x:c r="V30" s="79"/>
      <x:c r="W30" s="47"/>
      <x:c r="X30" s="47" t="str">
        <x:v>https://www.espn.com/college-football/game/_/gameId/401858436</x:v>
      </x:c>
    </x:row>
    <x:row r="31">
      <x:c r="A31" s="47" t="str">
        <x:v>CFB</x:v>
      </x:c>
      <x:c r="B31" s="47" t="n">
        <x:v>1</x:v>
      </x:c>
      <x:c r="C31" s="74" t="n">
        <x:v>46270.666666666664</x:v>
      </x:c>
      <x:c r="D31" s="75" t="str">
        <x:v>post</x:v>
      </x:c>
      <x:c r="E31" s="76" t="b">
        <x:v>1</x:v>
      </x:c>
      <x:c r="F31" s="47" t="str">
        <x:v>East Carolina Pirates</x:v>
      </x:c>
      <x:c r="G31" s="47" t="str">
        <x:v>ECU</x:v>
      </x:c>
      <x:c r="H31" s="77" t="n">
        <x:v>10</x:v>
      </x:c>
      <x:c r="I31" s="47" t="str">
        <x:v>0-1</x:v>
      </x:c>
      <x:c r="J31" s="47" t="str">
        <x:f>IF(E31&lt;&gt;TRUE,"",IF(H31&gt;M31,"W",IF(H31&lt;M31,"L","T")))</x:f>
        <x:v>L</x:v>
      </x:c>
      <x:c r="K31" s="47" t="str">
        <x:v>Alabama Crimson Tide</x:v>
      </x:c>
      <x:c r="L31" s="47" t="str">
        <x:v>ALA</x:v>
      </x:c>
      <x:c r="M31" s="77" t="n">
        <x:v>48</x:v>
      </x:c>
      <x:c r="N31" s="47" t="str">
        <x:v>1-0</x:v>
      </x:c>
      <x:c r="O31" s="47" t="str">
        <x:f>IF(E31&lt;&gt;TRUE,"",IF(M31&gt;H31,"W",IF(M31&lt;H31,"L","T")))</x:f>
        <x:v>W</x:v>
      </x:c>
      <x:c r="P31" s="78" t="b">
        <x:v>0</x:v>
      </x:c>
      <x:c r="Q31" s="78" t="b">
        <x:v>0</x:v>
      </x:c>
      <x:c r="R31" s="47" t="str">
        <x:v>Bryant-Denny Stadium</x:v>
      </x:c>
      <x:c r="S31" s="47" t="str">
        <x:v>ABC</x:v>
      </x:c>
      <x:c r="T31" s="47"/>
      <x:c r="U31" s="79"/>
      <x:c r="V31" s="79"/>
      <x:c r="W31" s="47"/>
      <x:c r="X31" s="47" t="str">
        <x:v>https://www.espn.com/college-football/game/_/gameId/401856634</x:v>
      </x:c>
    </x:row>
    <x:row r="32">
      <x:c r="A32" s="47" t="str">
        <x:v>CFB</x:v>
      </x:c>
      <x:c r="B32" s="47" t="n">
        <x:v>1</x:v>
      </x:c>
      <x:c r="C32" s="74" t="n">
        <x:v>46270.666666666664</x:v>
      </x:c>
      <x:c r="D32" s="75" t="str">
        <x:v>post</x:v>
      </x:c>
      <x:c r="E32" s="76" t="b">
        <x:v>1</x:v>
      </x:c>
      <x:c r="F32" s="47" t="str">
        <x:v>Oregon State Beavers</x:v>
      </x:c>
      <x:c r="G32" s="47" t="str">
        <x:v>ORST</x:v>
      </x:c>
      <x:c r="H32" s="77" t="n">
        <x:v>20</x:v>
      </x:c>
      <x:c r="I32" s="47" t="str">
        <x:v>0-1</x:v>
      </x:c>
      <x:c r="J32" s="47" t="str">
        <x:f>IF(E32&lt;&gt;TRUE,"",IF(H32&gt;M32,"W",IF(H32&lt;M32,"L","T")))</x:f>
        <x:v>L</x:v>
      </x:c>
      <x:c r="K32" s="47" t="str">
        <x:v>Houston Cougars</x:v>
      </x:c>
      <x:c r="L32" s="47" t="str">
        <x:v>HOU</x:v>
      </x:c>
      <x:c r="M32" s="77" t="n">
        <x:v>33</x:v>
      </x:c>
      <x:c r="N32" s="47" t="str">
        <x:v>1-0</x:v>
      </x:c>
      <x:c r="O32" s="47" t="str">
        <x:f>IF(E32&lt;&gt;TRUE,"",IF(M32&gt;H32,"W",IF(M32&lt;H32,"L","T")))</x:f>
        <x:v>W</x:v>
      </x:c>
      <x:c r="P32" s="78" t="b">
        <x:v>0</x:v>
      </x:c>
      <x:c r="Q32" s="78" t="b">
        <x:v>0</x:v>
      </x:c>
      <x:c r="R32" s="47" t="str">
        <x:v>TDECU Stadium</x:v>
      </x:c>
      <x:c r="S32" s="47" t="str">
        <x:v>ESPNEWS / Disney+</x:v>
      </x:c>
      <x:c r="T32" s="47"/>
      <x:c r="U32" s="79"/>
      <x:c r="V32" s="79"/>
      <x:c r="W32" s="47"/>
      <x:c r="X32" s="47" t="str">
        <x:v>https://www.espn.com/college-football/game/_/gameId/401856778</x:v>
      </x:c>
    </x:row>
    <x:row r="33">
      <x:c r="A33" s="47" t="str">
        <x:v>CFB</x:v>
      </x:c>
      <x:c r="B33" s="47" t="n">
        <x:v>1</x:v>
      </x:c>
      <x:c r="C33" s="74" t="n">
        <x:v>46270.666666666664</x:v>
      </x:c>
      <x:c r="D33" s="75" t="str">
        <x:v>post</x:v>
      </x:c>
      <x:c r="E33" s="76" t="b">
        <x:v>1</x:v>
      </x:c>
      <x:c r="F33" s="47" t="str">
        <x:v>Coastal Carolina Chanticleers</x:v>
      </x:c>
      <x:c r="G33" s="47" t="str">
        <x:v>CCU</x:v>
      </x:c>
      <x:c r="H33" s="77" t="n">
        <x:v>24</x:v>
      </x:c>
      <x:c r="I33" s="47" t="str">
        <x:v>0-1</x:v>
      </x:c>
      <x:c r="J33" s="47" t="str">
        <x:f>IF(E33&lt;&gt;TRUE,"",IF(H33&gt;M33,"W",IF(H33&lt;M33,"L","T")))</x:f>
        <x:v>L</x:v>
      </x:c>
      <x:c r="K33" s="47" t="str">
        <x:v>West Virginia Mountaineers</x:v>
      </x:c>
      <x:c r="L33" s="47" t="str">
        <x:v>WVU</x:v>
      </x:c>
      <x:c r="M33" s="77" t="n">
        <x:v>31</x:v>
      </x:c>
      <x:c r="N33" s="47" t="str">
        <x:v>1-0</x:v>
      </x:c>
      <x:c r="O33" s="47" t="str">
        <x:f>IF(E33&lt;&gt;TRUE,"",IF(M33&gt;H33,"W",IF(M33&lt;H33,"L","T")))</x:f>
        <x:v>W</x:v>
      </x:c>
      <x:c r="P33" s="78" t="b">
        <x:v>0</x:v>
      </x:c>
      <x:c r="Q33" s="78" t="b">
        <x:v>0</x:v>
      </x:c>
      <x:c r="R33" s="47" t="str">
        <x:v>Milan Puskar Stadium</x:v>
      </x:c>
      <x:c r="S33" s="47" t="str">
        <x:v>TNT</x:v>
      </x:c>
      <x:c r="T33" s="47"/>
      <x:c r="U33" s="79"/>
      <x:c r="V33" s="79"/>
      <x:c r="W33" s="47"/>
      <x:c r="X33" s="47" t="str">
        <x:v>https://www.espn.com/college-football/game/_/gameId/401856780</x:v>
      </x:c>
    </x:row>
    <x:row r="34">
      <x:c r="A34" s="47" t="str">
        <x:v>CFB</x:v>
      </x:c>
      <x:c r="B34" s="47" t="n">
        <x:v>1</x:v>
      </x:c>
      <x:c r="C34" s="74" t="n">
        <x:v>46270.666666666664</x:v>
      </x:c>
      <x:c r="D34" s="75" t="str">
        <x:v>post</x:v>
      </x:c>
      <x:c r="E34" s="76" t="b">
        <x:v>1</x:v>
      </x:c>
      <x:c r="F34" s="47" t="str">
        <x:v>New Hampshire Wildcats</x:v>
      </x:c>
      <x:c r="G34" s="47" t="str">
        <x:v>UNH</x:v>
      </x:c>
      <x:c r="H34" s="77" t="n">
        <x:v>3</x:v>
      </x:c>
      <x:c r="I34" s="47" t="str">
        <x:v>0-2</x:v>
      </x:c>
      <x:c r="J34" s="47" t="str">
        <x:f>IF(E34&lt;&gt;TRUE,"",IF(H34&gt;M34,"W",IF(H34&lt;M34,"L","T")))</x:f>
        <x:v>L</x:v>
      </x:c>
      <x:c r="K34" s="47" t="str">
        <x:v>Syracuse Orange</x:v>
      </x:c>
      <x:c r="L34" s="47" t="str">
        <x:v>SYR</x:v>
      </x:c>
      <x:c r="M34" s="77" t="n">
        <x:v>66</x:v>
      </x:c>
      <x:c r="N34" s="47" t="str">
        <x:v>1-0</x:v>
      </x:c>
      <x:c r="O34" s="47" t="str">
        <x:f>IF(E34&lt;&gt;TRUE,"",IF(M34&gt;H34,"W",IF(M34&lt;H34,"L","T")))</x:f>
        <x:v>W</x:v>
      </x:c>
      <x:c r="P34" s="78" t="b">
        <x:v>0</x:v>
      </x:c>
      <x:c r="Q34" s="78" t="b">
        <x:v>0</x:v>
      </x:c>
      <x:c r="R34" s="47" t="str">
        <x:v>JMA Wireless Dome</x:v>
      </x:c>
      <x:c r="S34" s="47" t="str">
        <x:v>ACC Network / ACCNX</x:v>
      </x:c>
      <x:c r="T34" s="47"/>
      <x:c r="U34" s="79"/>
      <x:c r="V34" s="79"/>
      <x:c r="W34" s="47"/>
      <x:c r="X34" s="47" t="str">
        <x:v>https://www.espn.com/college-football/game/_/gameId/401858208</x:v>
      </x:c>
    </x:row>
    <x:row r="35">
      <x:c r="A35" s="47" t="str">
        <x:v>CFB</x:v>
      </x:c>
      <x:c r="B35" s="47" t="n">
        <x:v>1</x:v>
      </x:c>
      <x:c r="C35" s="74" t="n">
        <x:v>46270.666666666664</x:v>
      </x:c>
      <x:c r="D35" s="75" t="str">
        <x:v>post</x:v>
      </x:c>
      <x:c r="E35" s="76" t="b">
        <x:v>1</x:v>
      </x:c>
      <x:c r="F35" s="47" t="str">
        <x:v>North Texas Mean Green</x:v>
      </x:c>
      <x:c r="G35" s="47" t="str">
        <x:v>UNT</x:v>
      </x:c>
      <x:c r="H35" s="77" t="n">
        <x:v>16</x:v>
      </x:c>
      <x:c r="I35" s="47" t="str">
        <x:v>0-1</x:v>
      </x:c>
      <x:c r="J35" s="47" t="str">
        <x:f>IF(E35&lt;&gt;TRUE,"",IF(H35&gt;M35,"W",IF(H35&lt;M35,"L","T")))</x:f>
        <x:v>L</x:v>
      </x:c>
      <x:c r="K35" s="47" t="str">
        <x:v>Indiana Hoosiers</x:v>
      </x:c>
      <x:c r="L35" s="47" t="str">
        <x:v>IU</x:v>
      </x:c>
      <x:c r="M35" s="77" t="n">
        <x:v>52</x:v>
      </x:c>
      <x:c r="N35" s="47" t="str">
        <x:v>1-0</x:v>
      </x:c>
      <x:c r="O35" s="47" t="str">
        <x:f>IF(E35&lt;&gt;TRUE,"",IF(M35&gt;H35,"W",IF(M35&lt;H35,"L","T")))</x:f>
        <x:v>W</x:v>
      </x:c>
      <x:c r="P35" s="78" t="b">
        <x:v>0</x:v>
      </x:c>
      <x:c r="Q35" s="78" t="b">
        <x:v>0</x:v>
      </x:c>
      <x:c r="R35" s="47" t="str">
        <x:v>Memorial Stadium (Bloomington, IN)</x:v>
      </x:c>
      <x:c r="S35" s="47" t="str">
        <x:v>FOX</x:v>
      </x:c>
      <x:c r="T35" s="47"/>
      <x:c r="U35" s="79"/>
      <x:c r="V35" s="79"/>
      <x:c r="W35" s="47"/>
      <x:c r="X35" s="47" t="str">
        <x:v>https://www.espn.com/college-football/game/_/gameId/401858425</x:v>
      </x:c>
    </x:row>
    <x:row r="36">
      <x:c r="A36" s="47" t="str">
        <x:v>CFB</x:v>
      </x:c>
      <x:c r="B36" s="47" t="n">
        <x:v>1</x:v>
      </x:c>
      <x:c r="C36" s="74" t="n">
        <x:v>46270.666666666664</x:v>
      </x:c>
      <x:c r="D36" s="75" t="str">
        <x:v>post</x:v>
      </x:c>
      <x:c r="E36" s="76" t="b">
        <x:v>1</x:v>
      </x:c>
      <x:c r="F36" s="47" t="str">
        <x:v>Ohio Bobcats</x:v>
      </x:c>
      <x:c r="G36" s="47" t="str">
        <x:v>OHIO</x:v>
      </x:c>
      <x:c r="H36" s="77" t="n">
        <x:v>21</x:v>
      </x:c>
      <x:c r="I36" s="47" t="str">
        <x:v>0-1</x:v>
      </x:c>
      <x:c r="J36" s="47" t="str">
        <x:f>IF(E36&lt;&gt;TRUE,"",IF(H36&gt;M36,"W",IF(H36&lt;M36,"L","T")))</x:f>
        <x:v>L</x:v>
      </x:c>
      <x:c r="K36" s="47" t="str">
        <x:v>Nebraska Cornhuskers</x:v>
      </x:c>
      <x:c r="L36" s="47" t="str">
        <x:v>NEB</x:v>
      </x:c>
      <x:c r="M36" s="77" t="n">
        <x:v>49</x:v>
      </x:c>
      <x:c r="N36" s="47" t="str">
        <x:v>1-0</x:v>
      </x:c>
      <x:c r="O36" s="47" t="str">
        <x:f>IF(E36&lt;&gt;TRUE,"",IF(M36&gt;H36,"W",IF(M36&lt;H36,"L","T")))</x:f>
        <x:v>W</x:v>
      </x:c>
      <x:c r="P36" s="78" t="b">
        <x:v>0</x:v>
      </x:c>
      <x:c r="Q36" s="78" t="b">
        <x:v>0</x:v>
      </x:c>
      <x:c r="R36" s="47" t="str">
        <x:v>Memorial Stadium (Lincoln, NE)</x:v>
      </x:c>
      <x:c r="S36" s="47" t="str">
        <x:v>FS1</x:v>
      </x:c>
      <x:c r="T36" s="47"/>
      <x:c r="U36" s="79"/>
      <x:c r="V36" s="79"/>
      <x:c r="W36" s="47"/>
      <x:c r="X36" s="47" t="str">
        <x:v>https://www.espn.com/college-football/game/_/gameId/401858430</x:v>
      </x:c>
    </x:row>
    <x:row r="37">
      <x:c r="A37" s="47" t="str">
        <x:v>CFB</x:v>
      </x:c>
      <x:c r="B37" s="47" t="n">
        <x:v>1</x:v>
      </x:c>
      <x:c r="C37" s="74" t="n">
        <x:v>46270.666666666664</x:v>
      </x:c>
      <x:c r="D37" s="75" t="str">
        <x:v>post</x:v>
      </x:c>
      <x:c r="E37" s="76" t="b">
        <x:v>1</x:v>
      </x:c>
      <x:c r="F37" s="47" t="str">
        <x:v>Lafayette Leopards</x:v>
      </x:c>
      <x:c r="G37" s="47" t="str">
        <x:v>LAF</x:v>
      </x:c>
      <x:c r="H37" s="77" t="n">
        <x:v>7</x:v>
      </x:c>
      <x:c r="I37" s="47" t="str">
        <x:v>0-1</x:v>
      </x:c>
      <x:c r="J37" s="47" t="str">
        <x:f>IF(E37&lt;&gt;TRUE,"",IF(H37&gt;M37,"W",IF(H37&lt;M37,"L","T")))</x:f>
        <x:v>L</x:v>
      </x:c>
      <x:c r="K37" s="47" t="str">
        <x:v>UConn Huskies</x:v>
      </x:c>
      <x:c r="L37" s="47" t="str">
        <x:v>CONN</x:v>
      </x:c>
      <x:c r="M37" s="77" t="n">
        <x:v>56</x:v>
      </x:c>
      <x:c r="N37" s="47" t="str">
        <x:v>1-0</x:v>
      </x:c>
      <x:c r="O37" s="47" t="str">
        <x:f>IF(E37&lt;&gt;TRUE,"",IF(M37&gt;H37,"W",IF(M37&lt;H37,"L","T")))</x:f>
        <x:v>W</x:v>
      </x:c>
      <x:c r="P37" s="78" t="b">
        <x:v>0</x:v>
      </x:c>
      <x:c r="Q37" s="78" t="b">
        <x:v>0</x:v>
      </x:c>
      <x:c r="R37" s="47" t="str">
        <x:v>Pratt &amp; Whitney Stadium</x:v>
      </x:c>
      <x:c r="S37" s="47" t="str">
        <x:v>UConn+</x:v>
      </x:c>
      <x:c r="T37" s="47"/>
      <x:c r="U37" s="79"/>
      <x:c r="V37" s="79"/>
      <x:c r="W37" s="47"/>
      <x:c r="X37" s="47" t="str">
        <x:v>https://www.espn.com/college-football/game/_/gameId/401861962</x:v>
      </x:c>
    </x:row>
    <x:row r="38">
      <x:c r="A38" s="47" t="str">
        <x:v>CFB</x:v>
      </x:c>
      <x:c r="B38" s="47" t="n">
        <x:v>1</x:v>
      </x:c>
      <x:c r="C38" s="74" t="n">
        <x:v>46270.666666666664</x:v>
      </x:c>
      <x:c r="D38" s="75" t="str">
        <x:v>post</x:v>
      </x:c>
      <x:c r="E38" s="76" t="b">
        <x:v>1</x:v>
      </x:c>
      <x:c r="F38" s="47" t="str">
        <x:v>Bryant Bulldogs</x:v>
      </x:c>
      <x:c r="G38" s="47" t="str">
        <x:v>BRY</x:v>
      </x:c>
      <x:c r="H38" s="77" t="n">
        <x:v>3</x:v>
      </x:c>
      <x:c r="I38" s="47" t="str">
        <x:v>1-1</x:v>
      </x:c>
      <x:c r="J38" s="47" t="str">
        <x:f>IF(E38&lt;&gt;TRUE,"",IF(H38&gt;M38,"W",IF(H38&lt;M38,"L","T")))</x:f>
        <x:v>L</x:v>
      </x:c>
      <x:c r="K38" s="47" t="str">
        <x:v>Army Black Knights</x:v>
      </x:c>
      <x:c r="L38" s="47" t="str">
        <x:v>ARMY</x:v>
      </x:c>
      <x:c r="M38" s="77" t="n">
        <x:v>59</x:v>
      </x:c>
      <x:c r="N38" s="47" t="str">
        <x:v>1-0</x:v>
      </x:c>
      <x:c r="O38" s="47" t="str">
        <x:f>IF(E38&lt;&gt;TRUE,"",IF(M38&gt;H38,"W",IF(M38&lt;H38,"L","T")))</x:f>
        <x:v>W</x:v>
      </x:c>
      <x:c r="P38" s="78" t="b">
        <x:v>0</x:v>
      </x:c>
      <x:c r="Q38" s="78" t="b">
        <x:v>0</x:v>
      </x:c>
      <x:c r="R38" s="47" t="str">
        <x:v>Michie Stadium</x:v>
      </x:c>
      <x:c r="S38" s="47" t="str">
        <x:v>CBSSN</x:v>
      </x:c>
      <x:c r="T38" s="47"/>
      <x:c r="U38" s="79"/>
      <x:c r="V38" s="79"/>
      <x:c r="W38" s="47"/>
      <x:c r="X38" s="47" t="str">
        <x:v>https://www.espn.com/college-football/game/_/gameId/401862701</x:v>
      </x:c>
    </x:row>
    <x:row r="39">
      <x:c r="A39" s="47" t="str">
        <x:v>CFB</x:v>
      </x:c>
      <x:c r="B39" s="47" t="n">
        <x:v>1</x:v>
      </x:c>
      <x:c r="C39" s="74" t="n">
        <x:v>46270.666666666664</x:v>
      </x:c>
      <x:c r="D39" s="75" t="str">
        <x:v>post</x:v>
      </x:c>
      <x:c r="E39" s="76" t="b">
        <x:v>1</x:v>
      </x:c>
      <x:c r="F39" s="47" t="str">
        <x:v>Tarleton State Texans</x:v>
      </x:c>
      <x:c r="G39" s="47" t="str">
        <x:v>TAR</x:v>
      </x:c>
      <x:c r="H39" s="77" t="n">
        <x:v>20</x:v>
      </x:c>
      <x:c r="I39" s="47" t="str">
        <x:v>2-0</x:v>
      </x:c>
      <x:c r="J39" s="47" t="str">
        <x:f>IF(E39&lt;&gt;TRUE,"",IF(H39&gt;M39,"W",IF(H39&lt;M39,"L","T")))</x:f>
        <x:v>W</x:v>
      </x:c>
      <x:c r="K39" s="47" t="str">
        <x:v>Bowling Green Falcons</x:v>
      </x:c>
      <x:c r="L39" s="47" t="str">
        <x:v>BGSU</x:v>
      </x:c>
      <x:c r="M39" s="77" t="n">
        <x:v>13</x:v>
      </x:c>
      <x:c r="N39" s="47" t="str">
        <x:v>0-1</x:v>
      </x:c>
      <x:c r="O39" s="47" t="str">
        <x:f>IF(E39&lt;&gt;TRUE,"",IF(M39&gt;H39,"W",IF(M39&lt;H39,"L","T")))</x:f>
        <x:v>L</x:v>
      </x:c>
      <x:c r="P39" s="78" t="b">
        <x:v>0</x:v>
      </x:c>
      <x:c r="Q39" s="78" t="b">
        <x:v>0</x:v>
      </x:c>
      <x:c r="R39" s="47" t="str">
        <x:v>Doyt L. Perry Stadium</x:v>
      </x:c>
      <x:c r="S39" s="47" t="str">
        <x:v>ESPN+</x:v>
      </x:c>
      <x:c r="T39" s="47"/>
      <x:c r="U39" s="79"/>
      <x:c r="V39" s="79"/>
      <x:c r="W39" s="47"/>
      <x:c r="X39" s="47" t="str">
        <x:v>https://www.espn.com/college-football/game/_/gameId/401866410</x:v>
      </x:c>
    </x:row>
    <x:row r="40">
      <x:c r="A40" s="47" t="str">
        <x:v>CFB</x:v>
      </x:c>
      <x:c r="B40" s="47" t="n">
        <x:v>1</x:v>
      </x:c>
      <x:c r="C40" s="74" t="n">
        <x:v>46270.666666666664</x:v>
      </x:c>
      <x:c r="D40" s="75" t="str">
        <x:v>post</x:v>
      </x:c>
      <x:c r="E40" s="76" t="b">
        <x:v>1</x:v>
      </x:c>
      <x:c r="F40" s="47" t="str">
        <x:v>Liberty Flames</x:v>
      </x:c>
      <x:c r="G40" s="47" t="str">
        <x:v>LIB</x:v>
      </x:c>
      <x:c r="H40" s="77" t="n">
        <x:v>13</x:v>
      </x:c>
      <x:c r="I40" s="47" t="str">
        <x:v>0-1</x:v>
      </x:c>
      <x:c r="J40" s="47" t="str">
        <x:f>IF(E40&lt;&gt;TRUE,"",IF(H40&gt;M40,"W",IF(H40&lt;M40,"L","T")))</x:f>
        <x:v>L</x:v>
      </x:c>
      <x:c r="K40" s="47" t="str">
        <x:v>James Madison Dukes</x:v>
      </x:c>
      <x:c r="L40" s="47" t="str">
        <x:v>JMU</x:v>
      </x:c>
      <x:c r="M40" s="77" t="n">
        <x:v>20</x:v>
      </x:c>
      <x:c r="N40" s="47" t="str">
        <x:v>1-0</x:v>
      </x:c>
      <x:c r="O40" s="47" t="str">
        <x:f>IF(E40&lt;&gt;TRUE,"",IF(M40&gt;H40,"W",IF(M40&lt;H40,"L","T")))</x:f>
        <x:v>W</x:v>
      </x:c>
      <x:c r="P40" s="78" t="b">
        <x:v>0</x:v>
      </x:c>
      <x:c r="Q40" s="78" t="b">
        <x:v>0</x:v>
      </x:c>
      <x:c r="R40" s="47" t="str">
        <x:v>Bridgeforth Stadium</x:v>
      </x:c>
      <x:c r="S40" s="47" t="str">
        <x:v>ESPNU</x:v>
      </x:c>
      <x:c r="T40" s="47"/>
      <x:c r="U40" s="79"/>
      <x:c r="V40" s="79"/>
      <x:c r="W40" s="47"/>
      <x:c r="X40" s="47" t="str">
        <x:v>https://www.espn.com/college-football/game/_/gameId/401869960</x:v>
      </x:c>
    </x:row>
    <x:row r="41">
      <x:c r="A41" t="str">
        <x:v>CFB</x:v>
      </x:c>
      <x:c r="B41" t="n">
        <x:v>1</x:v>
      </x:c>
      <x:c r="C41" s="68" t="n">
        <x:v>46270.6875</x:v>
      </x:c>
      <x:c r="D41" s="71" t="str">
        <x:v>post</x:v>
      </x:c>
      <x:c r="E41" s="72" t="b">
        <x:v>1</x:v>
      </x:c>
      <x:c r="F41" t="str">
        <x:v>Miami (OH) RedHawks</x:v>
      </x:c>
      <x:c r="G41" t="str">
        <x:v>M-OH</x:v>
      </x:c>
      <x:c r="H41" s="69" t="n">
        <x:v>14</x:v>
      </x:c>
      <x:c r="I41" t="str">
        <x:v>0-1</x:v>
      </x:c>
      <x:c r="J41" t="str">
        <x:f>IF(E41&lt;&gt;TRUE,"",IF(H41&gt;M41,"W",IF(H41&lt;M41,"L","T")))</x:f>
        <x:v>L</x:v>
      </x:c>
      <x:c r="K41" t="str">
        <x:v>Pittsburgh Panthers</x:v>
      </x:c>
      <x:c r="L41" t="str">
        <x:v>PITT</x:v>
      </x:c>
      <x:c r="M41" s="69" t="n">
        <x:v>59</x:v>
      </x:c>
      <x:c r="N41" t="str">
        <x:v>1-0</x:v>
      </x:c>
      <x:c r="O41" t="str">
        <x:f>IF(E41&lt;&gt;TRUE,"",IF(M41&gt;H41,"W",IF(M41&lt;H41,"L","T")))</x:f>
        <x:v>W</x:v>
      </x:c>
      <x:c r="P41" s="66" t="b">
        <x:v>0</x:v>
      </x:c>
      <x:c r="Q41" s="66" t="b">
        <x:v>0</x:v>
      </x:c>
      <x:c r="R41" t="str">
        <x:v>Acrisure Stadium</x:v>
      </x:c>
      <x:c r="S41" t="str">
        <x:v>CW</x:v>
      </x:c>
      <x:c r="T41"/>
      <x:c r="U41" s="70"/>
      <x:c r="V41" s="70"/>
      <x:c r="W41"/>
      <x:c r="X41" t="str">
        <x:v>https://www.espn.com/college-football/game/_/gameId/401858207</x:v>
      </x:c>
    </x:row>
    <x:row r="42">
      <x:c r="A42" t="str">
        <x:v>CFB</x:v>
      </x:c>
      <x:c r="B42" t="n">
        <x:v>1</x:v>
      </x:c>
      <x:c r="C42" s="68" t="n">
        <x:v>46270.6875</x:v>
      </x:c>
      <x:c r="D42" s="71" t="str">
        <x:v>post</x:v>
      </x:c>
      <x:c r="E42" s="72" t="b">
        <x:v>1</x:v>
      </x:c>
      <x:c r="F42" t="str">
        <x:v>Ball State Cardinals</x:v>
      </x:c>
      <x:c r="G42" t="str">
        <x:v>BALL</x:v>
      </x:c>
      <x:c r="H42" s="69" t="n">
        <x:v>3</x:v>
      </x:c>
      <x:c r="I42" t="str">
        <x:v>0-1</x:v>
      </x:c>
      <x:c r="J42" t="str">
        <x:f>IF(E42&lt;&gt;TRUE,"",IF(H42&gt;M42,"W",IF(H42&lt;M42,"L","T")))</x:f>
        <x:v>L</x:v>
      </x:c>
      <x:c r="K42" t="str">
        <x:v>Ohio State Buckeyes</x:v>
      </x:c>
      <x:c r="L42" t="str">
        <x:v>OSU</x:v>
      </x:c>
      <x:c r="M42" s="69" t="n">
        <x:v>56</x:v>
      </x:c>
      <x:c r="N42" t="str">
        <x:v>1-0</x:v>
      </x:c>
      <x:c r="O42" t="str">
        <x:f>IF(E42&lt;&gt;TRUE,"",IF(M42&gt;H42,"W",IF(M42&lt;H42,"L","T")))</x:f>
        <x:v>W</x:v>
      </x:c>
      <x:c r="P42" s="66" t="b">
        <x:v>0</x:v>
      </x:c>
      <x:c r="Q42" s="66" t="b">
        <x:v>0</x:v>
      </x:c>
      <x:c r="R42" t="str">
        <x:v>Ohio Stadium</x:v>
      </x:c>
      <x:c r="S42" t="str">
        <x:v>BTN</x:v>
      </x:c>
      <x:c r="T42"/>
      <x:c r="U42" s="70"/>
      <x:c r="V42" s="70"/>
      <x:c r="W42"/>
      <x:c r="X42" t="str">
        <x:v>https://www.espn.com/college-football/game/_/gameId/401858432</x:v>
      </x:c>
    </x:row>
    <x:row r="43">
      <x:c r="A43" t="str">
        <x:v>CFB</x:v>
      </x:c>
      <x:c r="B43" t="n">
        <x:v>1</x:v>
      </x:c>
      <x:c r="C43" s="68" t="n">
        <x:v>46270.697916666664</x:v>
      </x:c>
      <x:c r="D43" s="71" t="str">
        <x:v>post</x:v>
      </x:c>
      <x:c r="E43" s="72" t="b">
        <x:v>1</x:v>
      </x:c>
      <x:c r="F43" t="str">
        <x:v>Kent State Golden Flashes</x:v>
      </x:c>
      <x:c r="G43" t="str">
        <x:v>KENT</x:v>
      </x:c>
      <x:c r="H43" s="69" t="n">
        <x:v>0</x:v>
      </x:c>
      <x:c r="I43" t="str">
        <x:v>0-1</x:v>
      </x:c>
      <x:c r="J43" t="str">
        <x:f>IF(E43&lt;&gt;TRUE,"",IF(H43&gt;M43,"W",IF(H43&lt;M43,"L","T")))</x:f>
        <x:v>L</x:v>
      </x:c>
      <x:c r="K43" t="str">
        <x:v>South Carolina Gamecocks</x:v>
      </x:c>
      <x:c r="L43" t="str">
        <x:v>SC</x:v>
      </x:c>
      <x:c r="M43" s="69" t="n">
        <x:v>57</x:v>
      </x:c>
      <x:c r="N43" t="str">
        <x:v>1-0</x:v>
      </x:c>
      <x:c r="O43" t="str">
        <x:f>IF(E43&lt;&gt;TRUE,"",IF(M43&gt;H43,"W",IF(M43&lt;H43,"L","T")))</x:f>
        <x:v>W</x:v>
      </x:c>
      <x:c r="P43" s="66" t="b">
        <x:v>0</x:v>
      </x:c>
      <x:c r="Q43" s="66" t="b">
        <x:v>0</x:v>
      </x:c>
      <x:c r="R43" t="str">
        <x:v>Williams-Brice Stadium</x:v>
      </x:c>
      <x:c r="S43" t="str">
        <x:v>SEC Network</x:v>
      </x:c>
      <x:c r="T43"/>
      <x:c r="U43" s="70"/>
      <x:c r="V43" s="70"/>
      <x:c r="W43"/>
      <x:c r="X43" t="str">
        <x:v>https://www.espn.com/college-football/game/_/gameId/401856665</x:v>
      </x:c>
    </x:row>
    <x:row r="44">
      <x:c r="A44" t="str">
        <x:v>CFB</x:v>
      </x:c>
      <x:c r="B44" t="n">
        <x:v>1</x:v>
      </x:c>
      <x:c r="C44" s="68" t="n">
        <x:v>46270.708333333336</x:v>
      </x:c>
      <x:c r="D44" s="71" t="str">
        <x:v>post</x:v>
      </x:c>
      <x:c r="E44" s="72" t="b">
        <x:v>1</x:v>
      </x:c>
      <x:c r="F44" t="str">
        <x:v>Youngstown State Penguins</x:v>
      </x:c>
      <x:c r="G44" t="str">
        <x:v>YSU</x:v>
      </x:c>
      <x:c r="H44" s="69" t="n">
        <x:v>13</x:v>
      </x:c>
      <x:c r="I44" t="str">
        <x:v>1-1</x:v>
      </x:c>
      <x:c r="J44" t="str">
        <x:f>IF(E44&lt;&gt;TRUE,"",IF(H44&gt;M44,"W",IF(H44&lt;M44,"L","T")))</x:f>
        <x:v>L</x:v>
      </x:c>
      <x:c r="K44" t="str">
        <x:v>Kentucky Wildcats</x:v>
      </x:c>
      <x:c r="L44" t="str">
        <x:v>UK</x:v>
      </x:c>
      <x:c r="M44" s="69" t="n">
        <x:v>45</x:v>
      </x:c>
      <x:c r="N44" t="str">
        <x:v>1-0</x:v>
      </x:c>
      <x:c r="O44" t="str">
        <x:f>IF(E44&lt;&gt;TRUE,"",IF(M44&gt;H44,"W",IF(M44&lt;H44,"L","T")))</x:f>
        <x:v>W</x:v>
      </x:c>
      <x:c r="P44" s="66" t="b">
        <x:v>0</x:v>
      </x:c>
      <x:c r="Q44" s="66" t="b">
        <x:v>0</x:v>
      </x:c>
      <x:c r="R44" t="str">
        <x:v>Kroger Field</x:v>
      </x:c>
      <x:c r="S44" t="str">
        <x:v>SECN+</x:v>
      </x:c>
      <x:c r="T44"/>
      <x:c r="U44" s="70"/>
      <x:c r="V44" s="70"/>
      <x:c r="W44"/>
      <x:c r="X44" t="str">
        <x:v>https://www.espn.com/college-football/game/_/gameId/401856659</x:v>
      </x:c>
    </x:row>
    <x:row r="45">
      <x:c r="A45" t="str">
        <x:v>CFB</x:v>
      </x:c>
      <x:c r="B45" t="n">
        <x:v>1</x:v>
      </x:c>
      <x:c r="C45" s="68" t="n">
        <x:v>46270.708333333336</x:v>
      </x:c>
      <x:c r="D45" s="71" t="str">
        <x:v>post</x:v>
      </x:c>
      <x:c r="E45" s="72" t="b">
        <x:v>1</x:v>
      </x:c>
      <x:c r="F45" t="str">
        <x:v>Southeast Missouri State Redhawks</x:v>
      </x:c>
      <x:c r="G45" t="str">
        <x:v>SEMO</x:v>
      </x:c>
      <x:c r="H45" s="69" t="n">
        <x:v>10</x:v>
      </x:c>
      <x:c r="I45" t="str">
        <x:v>1-1</x:v>
      </x:c>
      <x:c r="J45" t="str">
        <x:f>IF(E45&lt;&gt;TRUE,"",IF(H45&gt;M45,"W",IF(H45&lt;M45,"L","T")))</x:f>
        <x:v>L</x:v>
      </x:c>
      <x:c r="K45" t="str">
        <x:v>Iowa State Cyclones</x:v>
      </x:c>
      <x:c r="L45" t="str">
        <x:v>ISU</x:v>
      </x:c>
      <x:c r="M45" s="69" t="n">
        <x:v>38</x:v>
      </x:c>
      <x:c r="N45" t="str">
        <x:v>1-0</x:v>
      </x:c>
      <x:c r="O45" t="str">
        <x:f>IF(E45&lt;&gt;TRUE,"",IF(M45&gt;H45,"W",IF(M45&lt;H45,"L","T")))</x:f>
        <x:v>W</x:v>
      </x:c>
      <x:c r="P45" s="66" t="b">
        <x:v>0</x:v>
      </x:c>
      <x:c r="Q45" s="66" t="b">
        <x:v>0</x:v>
      </x:c>
      <x:c r="R45" t="str">
        <x:v>Jack Trice Stadium</x:v>
      </x:c>
      <x:c r="S45" t="str">
        <x:v>ESPN+</x:v>
      </x:c>
      <x:c r="T45"/>
      <x:c r="U45" s="70"/>
      <x:c r="V45" s="70"/>
      <x:c r="W45"/>
      <x:c r="X45" t="str">
        <x:v>https://www.espn.com/college-football/game/_/gameId/401856779</x:v>
      </x:c>
    </x:row>
    <x:row r="46">
      <x:c r="A46" t="str">
        <x:v>CFB</x:v>
      </x:c>
      <x:c r="B46" t="n">
        <x:v>1</x:v>
      </x:c>
      <x:c r="C46" s="68" t="n">
        <x:v>46270.708333333336</x:v>
      </x:c>
      <x:c r="D46" s="71" t="str">
        <x:v>post</x:v>
      </x:c>
      <x:c r="E46" s="72" t="b">
        <x:v>1</x:v>
      </x:c>
      <x:c r="F46" t="str">
        <x:v>Duquesne Dukes</x:v>
      </x:c>
      <x:c r="G46" t="str">
        <x:v>DUQ</x:v>
      </x:c>
      <x:c r="H46" s="69" t="n">
        <x:v>0</x:v>
      </x:c>
      <x:c r="I46" t="str">
        <x:v>0-1</x:v>
      </x:c>
      <x:c r="J46" t="str">
        <x:f>IF(E46&lt;&gt;TRUE,"",IF(H46&gt;M46,"W",IF(H46&lt;M46,"L","T")))</x:f>
        <x:v>L</x:v>
      </x:c>
      <x:c r="K46" t="str">
        <x:v>Air Force Falcons</x:v>
      </x:c>
      <x:c r="L46" t="str">
        <x:v>AFA</x:v>
      </x:c>
      <x:c r="M46" s="69" t="n">
        <x:v>34</x:v>
      </x:c>
      <x:c r="N46" t="str">
        <x:v>1-0</x:v>
      </x:c>
      <x:c r="O46" t="str">
        <x:f>IF(E46&lt;&gt;TRUE,"",IF(M46&gt;H46,"W",IF(M46&lt;H46,"L","T")))</x:f>
        <x:v>W</x:v>
      </x:c>
      <x:c r="P46" s="66" t="b">
        <x:v>0</x:v>
      </x:c>
      <x:c r="Q46" s="66" t="b">
        <x:v>0</x:v>
      </x:c>
      <x:c r="R46" t="str">
        <x:v>Falcon Stadium</x:v>
      </x:c>
      <x:c r="S46" t="str">
        <x:v>MW+</x:v>
      </x:c>
      <x:c r="T46"/>
      <x:c r="U46" s="70"/>
      <x:c r="V46" s="70"/>
      <x:c r="W46"/>
      <x:c r="X46" t="str">
        <x:v>https://www.espn.com/college-football/game/_/gameId/401864496</x:v>
      </x:c>
    </x:row>
    <x:row r="47">
      <x:c r="A47" t="str">
        <x:v>CFB</x:v>
      </x:c>
      <x:c r="B47" t="n">
        <x:v>1</x:v>
      </x:c>
      <x:c r="C47" s="68" t="n">
        <x:v>46270.75</x:v>
      </x:c>
      <x:c r="D47" s="71" t="str">
        <x:v>post</x:v>
      </x:c>
      <x:c r="E47" s="72" t="b">
        <x:v>1</x:v>
      </x:c>
      <x:c r="F47" t="str">
        <x:v>Rhode Island Rams</x:v>
      </x:c>
      <x:c r="G47" t="str">
        <x:v>URI</x:v>
      </x:c>
      <x:c r="H47" s="69" t="n">
        <x:v>14</x:v>
      </x:c>
      <x:c r="I47" t="str">
        <x:v>1-1</x:v>
      </x:c>
      <x:c r="J47" t="str">
        <x:f>IF(E47&lt;&gt;TRUE,"",IF(H47&gt;M47,"W",IF(H47&lt;M47,"L","T")))</x:f>
        <x:v>L</x:v>
      </x:c>
      <x:c r="K47" t="str">
        <x:v>Temple Owls</x:v>
      </x:c>
      <x:c r="L47" t="str">
        <x:v>TEM</x:v>
      </x:c>
      <x:c r="M47" s="69" t="n">
        <x:v>38</x:v>
      </x:c>
      <x:c r="N47" t="str">
        <x:v>1-0</x:v>
      </x:c>
      <x:c r="O47" t="str">
        <x:f>IF(E47&lt;&gt;TRUE,"",IF(M47&gt;H47,"W",IF(M47&lt;H47,"L","T")))</x:f>
        <x:v>W</x:v>
      </x:c>
      <x:c r="P47" s="66" t="b">
        <x:v>0</x:v>
      </x:c>
      <x:c r="Q47" s="66" t="b">
        <x:v>0</x:v>
      </x:c>
      <x:c r="R47" t="str">
        <x:v>Lincoln Financial Field</x:v>
      </x:c>
      <x:c r="S47" t="str">
        <x:v>ESPN+</x:v>
      </x:c>
      <x:c r="T47"/>
      <x:c r="U47" s="70"/>
      <x:c r="V47" s="70"/>
      <x:c r="W47"/>
      <x:c r="X47" t="str">
        <x:v>https://www.espn.com/college-football/game/_/gameId/401862698</x:v>
      </x:c>
    </x:row>
    <x:row r="48">
      <x:c r="A48" t="str">
        <x:v>CFB</x:v>
      </x:c>
      <x:c r="B48" t="n">
        <x:v>1</x:v>
      </x:c>
      <x:c r="C48" s="68" t="n">
        <x:v>46270.791666666664</x:v>
      </x:c>
      <x:c r="D48" s="71" t="str">
        <x:v>post</x:v>
      </x:c>
      <x:c r="E48" s="72" t="b">
        <x:v>1</x:v>
      </x:c>
      <x:c r="F48" t="str">
        <x:v>Tennessee State Tigers</x:v>
      </x:c>
      <x:c r="G48" t="str">
        <x:v>TNST</x:v>
      </x:c>
      <x:c r="H48" s="69" t="n">
        <x:v>3</x:v>
      </x:c>
      <x:c r="I48" t="str">
        <x:v>0-2</x:v>
      </x:c>
      <x:c r="J48" t="str">
        <x:f>IF(E48&lt;&gt;TRUE,"",IF(H48&gt;M48,"W",IF(H48&lt;M48,"L","T")))</x:f>
        <x:v>L</x:v>
      </x:c>
      <x:c r="K48" t="str">
        <x:v>Georgia Bulldogs</x:v>
      </x:c>
      <x:c r="L48" t="str">
        <x:v>UGA</x:v>
      </x:c>
      <x:c r="M48" s="69" t="n">
        <x:v>63</x:v>
      </x:c>
      <x:c r="N48" t="str">
        <x:v>1-0</x:v>
      </x:c>
      <x:c r="O48" t="str">
        <x:f>IF(E48&lt;&gt;TRUE,"",IF(M48&gt;H48,"W",IF(M48&lt;H48,"L","T")))</x:f>
        <x:v>W</x:v>
      </x:c>
      <x:c r="P48" s="66" t="b">
        <x:v>0</x:v>
      </x:c>
      <x:c r="Q48" s="66" t="b">
        <x:v>0</x:v>
      </x:c>
      <x:c r="R48" t="str">
        <x:v>Sanford Stadium</x:v>
      </x:c>
      <x:c r="S48" t="str">
        <x:v>SECN+</x:v>
      </x:c>
      <x:c r="T48"/>
      <x:c r="U48" s="70"/>
      <x:c r="V48" s="70"/>
      <x:c r="W48"/>
      <x:c r="X48" t="str">
        <x:v>https://www.espn.com/college-football/game/_/gameId/401856658</x:v>
      </x:c>
    </x:row>
    <x:row r="49">
      <x:c r="A49" t="str">
        <x:v>CFB</x:v>
      </x:c>
      <x:c r="B49" t="n">
        <x:v>1</x:v>
      </x:c>
      <x:c r="C49" s="68" t="n">
        <x:v>46270.8125</x:v>
      </x:c>
      <x:c r="D49" s="71" t="str">
        <x:v>post</x:v>
      </x:c>
      <x:c r="E49" s="72" t="b">
        <x:v>1</x:v>
      </x:c>
      <x:c r="F49" t="str">
        <x:v>Baylor Bears</x:v>
      </x:c>
      <x:c r="G49" t="str">
        <x:v>BAY</x:v>
      </x:c>
      <x:c r="H49" s="69" t="n">
        <x:v>16</x:v>
      </x:c>
      <x:c r="I49" t="str">
        <x:v>0-1</x:v>
      </x:c>
      <x:c r="J49" t="str">
        <x:f>IF(E49&lt;&gt;TRUE,"",IF(H49&gt;M49,"W",IF(H49&lt;M49,"L","T")))</x:f>
        <x:v>L</x:v>
      </x:c>
      <x:c r="K49" t="str">
        <x:v>Auburn Tigers</x:v>
      </x:c>
      <x:c r="L49" t="str">
        <x:v>AUB</x:v>
      </x:c>
      <x:c r="M49" s="69" t="n">
        <x:v>17</x:v>
      </x:c>
      <x:c r="N49" t="str">
        <x:v>1-0</x:v>
      </x:c>
      <x:c r="O49" t="str">
        <x:f>IF(E49&lt;&gt;TRUE,"",IF(M49&gt;H49,"W",IF(M49&lt;H49,"L","T")))</x:f>
        <x:v>W</x:v>
      </x:c>
      <x:c r="P49" s="66" t="b">
        <x:v>1</x:v>
      </x:c>
      <x:c r="Q49" s="66" t="b">
        <x:v>0</x:v>
      </x:c>
      <x:c r="R49" t="str">
        <x:v>Mercedes-Benz Stadium</x:v>
      </x:c>
      <x:c r="S49" t="str">
        <x:v>ABC / Disney+</x:v>
      </x:c>
      <x:c r="T49"/>
      <x:c r="U49" s="70"/>
      <x:c r="V49" s="70"/>
      <x:c r="W49"/>
      <x:c r="X49" t="str">
        <x:v>https://www.espn.com/college-football/game/_/gameId/401856636</x:v>
      </x:c>
    </x:row>
    <x:row r="50">
      <x:c r="A50" t="str">
        <x:v>CFB</x:v>
      </x:c>
      <x:c r="B50" t="n">
        <x:v>1</x:v>
      </x:c>
      <x:c r="C50" s="68" t="n">
        <x:v>46270.8125</x:v>
      </x:c>
      <x:c r="D50" s="71" t="str">
        <x:v>post</x:v>
      </x:c>
      <x:c r="E50" s="72" t="b">
        <x:v>1</x:v>
      </x:c>
      <x:c r="F50" t="str">
        <x:v>Furman Paladins</x:v>
      </x:c>
      <x:c r="G50" t="str">
        <x:v>FUR</x:v>
      </x:c>
      <x:c r="H50" s="69" t="n">
        <x:v>9</x:v>
      </x:c>
      <x:c r="I50" t="str">
        <x:v>1-1</x:v>
      </x:c>
      <x:c r="J50" t="str">
        <x:f>IF(E50&lt;&gt;TRUE,"",IF(H50&gt;M50,"W",IF(H50&lt;M50,"L","T")))</x:f>
        <x:v>L</x:v>
      </x:c>
      <x:c r="K50" t="str">
        <x:v>Tennessee Volunteers</x:v>
      </x:c>
      <x:c r="L50" t="str">
        <x:v>TENN</x:v>
      </x:c>
      <x:c r="M50" s="69" t="n">
        <x:v>56</x:v>
      </x:c>
      <x:c r="N50" t="str">
        <x:v>1-0</x:v>
      </x:c>
      <x:c r="O50" t="str">
        <x:f>IF(E50&lt;&gt;TRUE,"",IF(M50&gt;H50,"W",IF(M50&lt;H50,"L","T")))</x:f>
        <x:v>W</x:v>
      </x:c>
      <x:c r="P50" s="66" t="b">
        <x:v>0</x:v>
      </x:c>
      <x:c r="Q50" s="66" t="b">
        <x:v>0</x:v>
      </x:c>
      <x:c r="R50" t="str">
        <x:v>Neyland Stadium</x:v>
      </x:c>
      <x:c r="S50" t="str">
        <x:v>SECN+</x:v>
      </x:c>
      <x:c r="T50"/>
      <x:c r="U50" s="70"/>
      <x:c r="V50" s="70"/>
      <x:c r="W50"/>
      <x:c r="X50" t="str">
        <x:v>https://www.espn.com/college-football/game/_/gameId/401856666</x:v>
      </x:c>
    </x:row>
    <x:row r="51">
      <x:c r="A51" t="str">
        <x:v>CFB</x:v>
      </x:c>
      <x:c r="B51" t="n">
        <x:v>1</x:v>
      </x:c>
      <x:c r="C51" s="68" t="n">
        <x:v>46270.8125</x:v>
      </x:c>
      <x:c r="D51" s="71" t="str">
        <x:v>post</x:v>
      </x:c>
      <x:c r="E51" s="72" t="b">
        <x:v>1</x:v>
      </x:c>
      <x:c r="F51" t="str">
        <x:v>Texas State Bobcats</x:v>
      </x:c>
      <x:c r="G51" t="str">
        <x:v>TXST</x:v>
      </x:c>
      <x:c r="H51" s="69" t="n">
        <x:v>7</x:v>
      </x:c>
      <x:c r="I51" t="str">
        <x:v>0-1</x:v>
      </x:c>
      <x:c r="J51" t="str">
        <x:f>IF(E51&lt;&gt;TRUE,"",IF(H51&gt;M51,"W",IF(H51&lt;M51,"L","T")))</x:f>
        <x:v>L</x:v>
      </x:c>
      <x:c r="K51" t="str">
        <x:v>Texas Longhorns</x:v>
      </x:c>
      <x:c r="L51" t="str">
        <x:v>TEX</x:v>
      </x:c>
      <x:c r="M51" s="69" t="n">
        <x:v>59</x:v>
      </x:c>
      <x:c r="N51" t="str">
        <x:v>1-0</x:v>
      </x:c>
      <x:c r="O51" t="str">
        <x:f>IF(E51&lt;&gt;TRUE,"",IF(M51&gt;H51,"W",IF(M51&lt;H51,"L","T")))</x:f>
        <x:v>W</x:v>
      </x:c>
      <x:c r="P51" s="66" t="b">
        <x:v>0</x:v>
      </x:c>
      <x:c r="Q51" s="66" t="b">
        <x:v>0</x:v>
      </x:c>
      <x:c r="R51" t="str">
        <x:v>DKR-Texas Memorial Stadium</x:v>
      </x:c>
      <x:c r="S51" t="str">
        <x:v>ESPN</x:v>
      </x:c>
      <x:c r="T51"/>
      <x:c r="U51" s="70"/>
      <x:c r="V51" s="70"/>
      <x:c r="W51"/>
      <x:c r="X51" t="str">
        <x:v>https://www.espn.com/college-football/game/_/gameId/401856667</x:v>
      </x:c>
    </x:row>
    <x:row r="52">
      <x:c r="A52" t="str">
        <x:v>CFB</x:v>
      </x:c>
      <x:c r="B52" t="n">
        <x:v>1</x:v>
      </x:c>
      <x:c r="C52" s="68" t="n">
        <x:v>46270.8125</x:v>
      </x:c>
      <x:c r="D52" s="71" t="str">
        <x:v>post</x:v>
      </x:c>
      <x:c r="E52" s="72" t="b">
        <x:v>1</x:v>
      </x:c>
      <x:c r="F52" t="str">
        <x:v>Boston College Eagles</x:v>
      </x:c>
      <x:c r="G52" t="str">
        <x:v>BC</x:v>
      </x:c>
      <x:c r="H52" s="69" t="n">
        <x:v>15</x:v>
      </x:c>
      <x:c r="I52" t="str">
        <x:v>0-1</x:v>
      </x:c>
      <x:c r="J52" t="str">
        <x:f>IF(E52&lt;&gt;TRUE,"",IF(H52&gt;M52,"W",IF(H52&lt;M52,"L","T")))</x:f>
        <x:v>L</x:v>
      </x:c>
      <x:c r="K52" t="str">
        <x:v>Cincinnati Bearcats</x:v>
      </x:c>
      <x:c r="L52" t="str">
        <x:v>CIN</x:v>
      </x:c>
      <x:c r="M52" s="69" t="n">
        <x:v>34</x:v>
      </x:c>
      <x:c r="N52" t="str">
        <x:v>1-0</x:v>
      </x:c>
      <x:c r="O52" t="str">
        <x:f>IF(E52&lt;&gt;TRUE,"",IF(M52&gt;H52,"W",IF(M52&lt;H52,"L","T")))</x:f>
        <x:v>W</x:v>
      </x:c>
      <x:c r="P52" s="66" t="b">
        <x:v>0</x:v>
      </x:c>
      <x:c r="Q52" s="66" t="b">
        <x:v>0</x:v>
      </x:c>
      <x:c r="R52" t="str">
        <x:v>Nippert Stadium</x:v>
      </x:c>
      <x:c r="S52" t="str">
        <x:v>FOX</x:v>
      </x:c>
      <x:c r="T52"/>
      <x:c r="U52" s="70"/>
      <x:c r="V52" s="70"/>
      <x:c r="W52"/>
      <x:c r="X52" t="str">
        <x:v>https://www.espn.com/college-football/game/_/gameId/401856777</x:v>
      </x:c>
    </x:row>
    <x:row r="53">
      <x:c r="A53" t="str">
        <x:v>CFB</x:v>
      </x:c>
      <x:c r="B53" t="n">
        <x:v>1</x:v>
      </x:c>
      <x:c r="C53" s="68" t="n">
        <x:v>46270.8125</x:v>
      </x:c>
      <x:c r="D53" s="71" t="str">
        <x:v>post</x:v>
      </x:c>
      <x:c r="E53" s="72" t="b">
        <x:v>1</x:v>
      </x:c>
      <x:c r="F53" t="str">
        <x:v>Tulane Green Wave</x:v>
      </x:c>
      <x:c r="G53" t="str">
        <x:v>TULN</x:v>
      </x:c>
      <x:c r="H53" s="69" t="n">
        <x:v>3</x:v>
      </x:c>
      <x:c r="I53" t="str">
        <x:v>0-1</x:v>
      </x:c>
      <x:c r="J53" t="str">
        <x:f>IF(E53&lt;&gt;TRUE,"",IF(H53&gt;M53,"W",IF(H53&lt;M53,"L","T")))</x:f>
        <x:v>L</x:v>
      </x:c>
      <x:c r="K53" t="str">
        <x:v>Duke Blue Devils</x:v>
      </x:c>
      <x:c r="L53" t="str">
        <x:v>DUKE</x:v>
      </x:c>
      <x:c r="M53" s="69" t="n">
        <x:v>17</x:v>
      </x:c>
      <x:c r="N53" t="str">
        <x:v>1-0</x:v>
      </x:c>
      <x:c r="O53" t="str">
        <x:f>IF(E53&lt;&gt;TRUE,"",IF(M53&gt;H53,"W",IF(M53&lt;H53,"L","T")))</x:f>
        <x:v>W</x:v>
      </x:c>
      <x:c r="P53" s="66" t="b">
        <x:v>0</x:v>
      </x:c>
      <x:c r="Q53" s="66" t="b">
        <x:v>0</x:v>
      </x:c>
      <x:c r="R53" t="str">
        <x:v>Wallace Wade Stadium</x:v>
      </x:c>
      <x:c r="S53" t="str">
        <x:v>ACC Network / ACCNX</x:v>
      </x:c>
      <x:c r="T53"/>
      <x:c r="U53" s="70"/>
      <x:c r="V53" s="70"/>
      <x:c r="W53"/>
      <x:c r="X53" t="str">
        <x:v>https://www.espn.com/college-football/game/_/gameId/401858209</x:v>
      </x:c>
    </x:row>
    <x:row r="54">
      <x:c r="A54" t="str">
        <x:v>CFB</x:v>
      </x:c>
      <x:c r="B54" t="n">
        <x:v>1</x:v>
      </x:c>
      <x:c r="C54" s="68" t="n">
        <x:v>46270.8125</x:v>
      </x:c>
      <x:c r="D54" s="71" t="str">
        <x:v>post</x:v>
      </x:c>
      <x:c r="E54" s="72" t="b">
        <x:v>1</x:v>
      </x:c>
      <x:c r="F54" t="str">
        <x:v>Boise State Broncos</x:v>
      </x:c>
      <x:c r="G54" t="str">
        <x:v>BOIS</x:v>
      </x:c>
      <x:c r="H54" s="69" t="n">
        <x:v>27</x:v>
      </x:c>
      <x:c r="I54" t="str">
        <x:v>0-1</x:v>
      </x:c>
      <x:c r="J54" t="str">
        <x:f>IF(E54&lt;&gt;TRUE,"",IF(H54&gt;M54,"W",IF(H54&lt;M54,"L","T")))</x:f>
        <x:v>L</x:v>
      </x:c>
      <x:c r="K54" t="str">
        <x:v>Oregon Ducks</x:v>
      </x:c>
      <x:c r="L54" t="str">
        <x:v>ORE</x:v>
      </x:c>
      <x:c r="M54" s="69" t="n">
        <x:v>34</x:v>
      </x:c>
      <x:c r="N54" t="str">
        <x:v>1-0</x:v>
      </x:c>
      <x:c r="O54" t="str">
        <x:f>IF(E54&lt;&gt;TRUE,"",IF(M54&gt;H54,"W",IF(M54&lt;H54,"L","T")))</x:f>
        <x:v>W</x:v>
      </x:c>
      <x:c r="P54" s="66" t="b">
        <x:v>0</x:v>
      </x:c>
      <x:c r="Q54" s="66" t="b">
        <x:v>0</x:v>
      </x:c>
      <x:c r="R54" t="str">
        <x:v>Autzen Stadium</x:v>
      </x:c>
      <x:c r="S54" t="str">
        <x:v>CBS</x:v>
      </x:c>
      <x:c r="T54"/>
      <x:c r="U54" s="70"/>
      <x:c r="V54" s="70"/>
      <x:c r="W54"/>
      <x:c r="X54" t="str">
        <x:v>https://www.espn.com/college-football/game/_/gameId/401858433</x:v>
      </x:c>
    </x:row>
    <x:row r="55">
      <x:c r="A55" t="str">
        <x:v>CFB</x:v>
      </x:c>
      <x:c r="B55" t="n">
        <x:v>1</x:v>
      </x:c>
      <x:c r="C55" s="68" t="n">
        <x:v>46270.8125</x:v>
      </x:c>
      <x:c r="D55" s="71" t="str">
        <x:v>post</x:v>
      </x:c>
      <x:c r="E55" s="72" t="b">
        <x:v>1</x:v>
      </x:c>
      <x:c r="F55" t="str">
        <x:v>Marshall Thundering Herd</x:v>
      </x:c>
      <x:c r="G55" t="str">
        <x:v>MRSH</x:v>
      </x:c>
      <x:c r="H55" s="69" t="n">
        <x:v>0</x:v>
      </x:c>
      <x:c r="I55" t="str">
        <x:v>0-1</x:v>
      </x:c>
      <x:c r="J55" t="str">
        <x:f>IF(E55&lt;&gt;TRUE,"",IF(H55&gt;M55,"W",IF(H55&lt;M55,"L","T")))</x:f>
        <x:v>L</x:v>
      </x:c>
      <x:c r="K55" t="str">
        <x:v>Penn State Nittany Lions</x:v>
      </x:c>
      <x:c r="L55" t="str">
        <x:v>PSU</x:v>
      </x:c>
      <x:c r="M55" s="69" t="n">
        <x:v>45</x:v>
      </x:c>
      <x:c r="N55" t="str">
        <x:v>1-0</x:v>
      </x:c>
      <x:c r="O55" t="str">
        <x:f>IF(E55&lt;&gt;TRUE,"",IF(M55&gt;H55,"W",IF(M55&lt;H55,"L","T")))</x:f>
        <x:v>W</x:v>
      </x:c>
      <x:c r="P55" s="66" t="b">
        <x:v>0</x:v>
      </x:c>
      <x:c r="Q55" s="66" t="b">
        <x:v>0</x:v>
      </x:c>
      <x:c r="R55" t="str">
        <x:v>Beaver Stadium</x:v>
      </x:c>
      <x:c r="S55" t="str">
        <x:v>FS1</x:v>
      </x:c>
      <x:c r="T55"/>
      <x:c r="U55" s="70"/>
      <x:c r="V55" s="70"/>
      <x:c r="W55"/>
      <x:c r="X55" t="str">
        <x:v>https://www.espn.com/college-football/game/_/gameId/401858434</x:v>
      </x:c>
    </x:row>
    <x:row r="56">
      <x:c r="A56" t="str">
        <x:v>CFB</x:v>
      </x:c>
      <x:c r="B56" t="n">
        <x:v>1</x:v>
      </x:c>
      <x:c r="C56" s="68" t="n">
        <x:v>46270.8125</x:v>
      </x:c>
      <x:c r="D56" s="71" t="str">
        <x:v>post</x:v>
      </x:c>
      <x:c r="E56" s="72" t="b">
        <x:v>1</x:v>
      </x:c>
      <x:c r="F56" t="str">
        <x:v>The Citadel Bulldogs</x:v>
      </x:c>
      <x:c r="G56" t="str">
        <x:v>CIT</x:v>
      </x:c>
      <x:c r="H56" s="69" t="n">
        <x:v>43</x:v>
      </x:c>
      <x:c r="I56" t="str">
        <x:v>1-1</x:v>
      </x:c>
      <x:c r="J56" t="str">
        <x:f>IF(E56&lt;&gt;TRUE,"",IF(H56&gt;M56,"W",IF(H56&lt;M56,"L","T")))</x:f>
        <x:v>W</x:v>
      </x:c>
      <x:c r="K56" t="str">
        <x:v>Charlotte 49ers</x:v>
      </x:c>
      <x:c r="L56" t="str">
        <x:v>CLT</x:v>
      </x:c>
      <x:c r="M56" s="69" t="n">
        <x:v>41</x:v>
      </x:c>
      <x:c r="N56" t="str">
        <x:v>0-1</x:v>
      </x:c>
      <x:c r="O56" t="str">
        <x:f>IF(E56&lt;&gt;TRUE,"",IF(M56&gt;H56,"W",IF(M56&lt;H56,"L","T")))</x:f>
        <x:v>L</x:v>
      </x:c>
      <x:c r="P56" s="66" t="b">
        <x:v>0</x:v>
      </x:c>
      <x:c r="Q56" s="66" t="b">
        <x:v>0</x:v>
      </x:c>
      <x:c r="R56" t="str">
        <x:v>Jerry Richardson Stadium</x:v>
      </x:c>
      <x:c r="S56" t="str">
        <x:v>ESPN+</x:v>
      </x:c>
      <x:c r="T56"/>
      <x:c r="U56" s="70"/>
      <x:c r="V56" s="70"/>
      <x:c r="W56"/>
      <x:c r="X56" t="str">
        <x:v>https://www.espn.com/college-football/game/_/gameId/401862694</x:v>
      </x:c>
    </x:row>
    <x:row r="57">
      <x:c r="A57" t="str">
        <x:v>CFB</x:v>
      </x:c>
      <x:c r="B57" t="n">
        <x:v>1</x:v>
      </x:c>
      <x:c r="C57" s="68" t="n">
        <x:v>46270.8125</x:v>
      </x:c>
      <x:c r="D57" s="71" t="str">
        <x:v>post</x:v>
      </x:c>
      <x:c r="E57" s="72" t="b">
        <x:v>1</x:v>
      </x:c>
      <x:c r="F57" t="str">
        <x:v>Towson Tigers</x:v>
      </x:c>
      <x:c r="G57" t="str">
        <x:v>TOW</x:v>
      </x:c>
      <x:c r="H57" s="69" t="n">
        <x:v>15</x:v>
      </x:c>
      <x:c r="I57" t="str">
        <x:v>0-2</x:v>
      </x:c>
      <x:c r="J57" t="str">
        <x:f>IF(E57&lt;&gt;TRUE,"",IF(H57&gt;M57,"W",IF(H57&lt;M57,"L","T")))</x:f>
        <x:v>L</x:v>
      </x:c>
      <x:c r="K57" t="str">
        <x:v>Navy Midshipmen</x:v>
      </x:c>
      <x:c r="L57" t="str">
        <x:v>NAVY</x:v>
      </x:c>
      <x:c r="M57" s="69" t="n">
        <x:v>42</x:v>
      </x:c>
      <x:c r="N57" t="str">
        <x:v>1-0</x:v>
      </x:c>
      <x:c r="O57" t="str">
        <x:f>IF(E57&lt;&gt;TRUE,"",IF(M57&gt;H57,"W",IF(M57&lt;H57,"L","T")))</x:f>
        <x:v>W</x:v>
      </x:c>
      <x:c r="P57" s="66" t="b">
        <x:v>0</x:v>
      </x:c>
      <x:c r="Q57" s="66" t="b">
        <x:v>0</x:v>
      </x:c>
      <x:c r="R57" t="str">
        <x:v>Navy-Marine Corps Memorial Stadium</x:v>
      </x:c>
      <x:c r="S57" t="str">
        <x:v>CBSSN</x:v>
      </x:c>
      <x:c r="T57"/>
      <x:c r="U57" s="70"/>
      <x:c r="V57" s="70"/>
      <x:c r="W57"/>
      <x:c r="X57" t="str">
        <x:v>https://www.espn.com/college-football/game/_/gameId/401862696</x:v>
      </x:c>
    </x:row>
    <x:row r="58">
      <x:c r="A58" t="str">
        <x:v>CFB</x:v>
      </x:c>
      <x:c r="B58" t="n">
        <x:v>1</x:v>
      </x:c>
      <x:c r="C58" s="68" t="n">
        <x:v>46270.8125</x:v>
      </x:c>
      <x:c r="D58" s="71" t="str">
        <x:v>post</x:v>
      </x:c>
      <x:c r="E58" s="72" t="b">
        <x:v>1</x:v>
      </x:c>
      <x:c r="F58" t="str">
        <x:v>UT Rio Grande Valley Vaqueros</x:v>
      </x:c>
      <x:c r="G58" t="str">
        <x:v>RGV</x:v>
      </x:c>
      <x:c r="H58" s="69" t="n">
        <x:v>16</x:v>
      </x:c>
      <x:c r="I58" t="str">
        <x:v>1-1</x:v>
      </x:c>
      <x:c r="J58" t="str">
        <x:f>IF(E58&lt;&gt;TRUE,"",IF(H58&gt;M58,"W",IF(H58&lt;M58,"L","T")))</x:f>
        <x:v>L</x:v>
      </x:c>
      <x:c r="K58" t="str">
        <x:v>UTSA Roadrunners</x:v>
      </x:c>
      <x:c r="L58" t="str">
        <x:v>UTSA</x:v>
      </x:c>
      <x:c r="M58" s="69" t="n">
        <x:v>45</x:v>
      </x:c>
      <x:c r="N58" t="str">
        <x:v>1-0</x:v>
      </x:c>
      <x:c r="O58" t="str">
        <x:f>IF(E58&lt;&gt;TRUE,"",IF(M58&gt;H58,"W",IF(M58&lt;H58,"L","T")))</x:f>
        <x:v>W</x:v>
      </x:c>
      <x:c r="P58" s="66" t="b">
        <x:v>0</x:v>
      </x:c>
      <x:c r="Q58" s="66" t="b">
        <x:v>0</x:v>
      </x:c>
      <x:c r="R58" t="str">
        <x:v>Alamodome</x:v>
      </x:c>
      <x:c r="S58" t="str">
        <x:v>ESPN+</x:v>
      </x:c>
      <x:c r="T58"/>
      <x:c r="U58" s="70"/>
      <x:c r="V58" s="70"/>
      <x:c r="W58"/>
      <x:c r="X58" t="str">
        <x:v>https://www.espn.com/college-football/game/_/gameId/401862700</x:v>
      </x:c>
    </x:row>
    <x:row r="59">
      <x:c r="A59" t="str">
        <x:v>CFB</x:v>
      </x:c>
      <x:c r="B59" t="n">
        <x:v>1</x:v>
      </x:c>
      <x:c r="C59" s="68" t="n">
        <x:v>46270.8125</x:v>
      </x:c>
      <x:c r="D59" s="71" t="str">
        <x:v>post</x:v>
      </x:c>
      <x:c r="E59" s="72" t="b">
        <x:v>1</x:v>
      </x:c>
      <x:c r="F59" t="str">
        <x:v>Fordham Rams</x:v>
      </x:c>
      <x:c r="G59" t="str">
        <x:v>FOR</x:v>
      </x:c>
      <x:c r="H59" s="69" t="n">
        <x:v>0</x:v>
      </x:c>
      <x:c r="I59" t="str">
        <x:v>0-2</x:v>
      </x:c>
      <x:c r="J59" t="str">
        <x:f>IF(E59&lt;&gt;TRUE,"",IF(H59&gt;M59,"W",IF(H59&lt;M59,"L","T")))</x:f>
        <x:v>L</x:v>
      </x:c>
      <x:c r="K59" t="str">
        <x:v>North Dakota State Bison</x:v>
      </x:c>
      <x:c r="L59" t="str">
        <x:v>NDSU</x:v>
      </x:c>
      <x:c r="M59" s="69" t="n">
        <x:v>38</x:v>
      </x:c>
      <x:c r="N59" t="str">
        <x:v>2-0</x:v>
      </x:c>
      <x:c r="O59" t="str">
        <x:f>IF(E59&lt;&gt;TRUE,"",IF(M59&gt;H59,"W",IF(M59&lt;H59,"L","T")))</x:f>
        <x:v>W</x:v>
      </x:c>
      <x:c r="P59" s="66" t="b">
        <x:v>0</x:v>
      </x:c>
      <x:c r="Q59" s="66" t="b">
        <x:v>0</x:v>
      </x:c>
      <x:c r="R59" t="str">
        <x:v>Fargodome</x:v>
      </x:c>
      <x:c r="S59" t="str">
        <x:v>MW+</x:v>
      </x:c>
      <x:c r="T59"/>
      <x:c r="U59" s="70"/>
      <x:c r="V59" s="70"/>
      <x:c r="W59"/>
      <x:c r="X59" t="str">
        <x:v>https://www.espn.com/college-football/game/_/gameId/401864499</x:v>
      </x:c>
    </x:row>
    <x:row r="60">
      <x:c r="A60" t="str">
        <x:v>CFB</x:v>
      </x:c>
      <x:c r="B60" t="n">
        <x:v>1</x:v>
      </x:c>
      <x:c r="C60" s="68" t="n">
        <x:v>46270.8125</x:v>
      </x:c>
      <x:c r="D60" s="71" t="str">
        <x:v>post</x:v>
      </x:c>
      <x:c r="E60" s="72" t="b">
        <x:v>1</x:v>
      </x:c>
      <x:c r="F60" t="str">
        <x:v>Maine Black Bears</x:v>
      </x:c>
      <x:c r="G60" t="str">
        <x:v>ME</x:v>
      </x:c>
      <x:c r="H60" s="69" t="n">
        <x:v>3</x:v>
      </x:c>
      <x:c r="I60" t="str">
        <x:v>1-1</x:v>
      </x:c>
      <x:c r="J60" t="str">
        <x:f>IF(E60&lt;&gt;TRUE,"",IF(H60&gt;M60,"W",IF(H60&lt;M60,"L","T")))</x:f>
        <x:v>L</x:v>
      </x:c>
      <x:c r="K60" t="str">
        <x:v>App State Mountaineers</x:v>
      </x:c>
      <x:c r="L60" t="str">
        <x:v>APP</x:v>
      </x:c>
      <x:c r="M60" s="69" t="n">
        <x:v>55</x:v>
      </x:c>
      <x:c r="N60" t="str">
        <x:v>1-0</x:v>
      </x:c>
      <x:c r="O60" t="str">
        <x:f>IF(E60&lt;&gt;TRUE,"",IF(M60&gt;H60,"W",IF(M60&lt;H60,"L","T")))</x:f>
        <x:v>W</x:v>
      </x:c>
      <x:c r="P60" s="66" t="b">
        <x:v>0</x:v>
      </x:c>
      <x:c r="Q60" s="66" t="b">
        <x:v>0</x:v>
      </x:c>
      <x:c r="R60" t="str">
        <x:v>Kidd Brewer Stadium</x:v>
      </x:c>
      <x:c r="S60" t="str">
        <x:v>ESPN+</x:v>
      </x:c>
      <x:c r="T60"/>
      <x:c r="U60" s="70"/>
      <x:c r="V60" s="70"/>
      <x:c r="W60"/>
      <x:c r="X60" t="str">
        <x:v>https://www.espn.com/college-football/game/_/gameId/401866627</x:v>
      </x:c>
    </x:row>
    <x:row r="61">
      <x:c r="A61" t="str">
        <x:v>CFB</x:v>
      </x:c>
      <x:c r="B61" t="n">
        <x:v>1</x:v>
      </x:c>
      <x:c r="C61" s="68" t="n">
        <x:v>46270.822916666664</x:v>
      </x:c>
      <x:c r="D61" s="71" t="str">
        <x:v>post</x:v>
      </x:c>
      <x:c r="E61" s="72" t="b">
        <x:v>1</x:v>
      </x:c>
      <x:c r="F61" t="str">
        <x:v>Oklahoma State Cowboys</x:v>
      </x:c>
      <x:c r="G61" t="str">
        <x:v>OKST</x:v>
      </x:c>
      <x:c r="H61" s="69" t="n">
        <x:v>10</x:v>
      </x:c>
      <x:c r="I61" t="str">
        <x:v>0-1</x:v>
      </x:c>
      <x:c r="J61" t="str">
        <x:f>IF(E61&lt;&gt;TRUE,"",IF(H61&gt;M61,"W",IF(H61&lt;M61,"L","T")))</x:f>
        <x:v>L</x:v>
      </x:c>
      <x:c r="K61" t="str">
        <x:v>Tulsa Golden Hurricane</x:v>
      </x:c>
      <x:c r="L61" t="str">
        <x:v>TLSA</x:v>
      </x:c>
      <x:c r="M61" s="69" t="n">
        <x:v>24</x:v>
      </x:c>
      <x:c r="N61" t="str">
        <x:v>1-0</x:v>
      </x:c>
      <x:c r="O61" t="str">
        <x:f>IF(E61&lt;&gt;TRUE,"",IF(M61&gt;H61,"W",IF(M61&lt;H61,"L","T")))</x:f>
        <x:v>W</x:v>
      </x:c>
      <x:c r="P61" s="66" t="b">
        <x:v>0</x:v>
      </x:c>
      <x:c r="Q61" s="66" t="b">
        <x:v>0</x:v>
      </x:c>
      <x:c r="R61" t="str">
        <x:v>H. A. Chapman Stadium</x:v>
      </x:c>
      <x:c r="S61" t="str">
        <x:v>ESPNU</x:v>
      </x:c>
      <x:c r="T61"/>
      <x:c r="U61" s="70"/>
      <x:c r="V61" s="70"/>
      <x:c r="W61"/>
      <x:c r="X61" t="str">
        <x:v>https://www.espn.com/college-football/game/_/gameId/401856772</x:v>
      </x:c>
    </x:row>
    <x:row r="62">
      <x:c r="A62" t="str">
        <x:v>CFB</x:v>
      </x:c>
      <x:c r="B62" t="n">
        <x:v>1</x:v>
      </x:c>
      <x:c r="C62" s="68" t="n">
        <x:v>46270.84375</x:v>
      </x:c>
      <x:c r="D62" s="71" t="str">
        <x:v>post</x:v>
      </x:c>
      <x:c r="E62" s="72" t="b">
        <x:v>1</x:v>
      </x:c>
      <x:c r="F62" t="str">
        <x:v>North Alabama Lions</x:v>
      </x:c>
      <x:c r="G62" t="str">
        <x:v>UNA</x:v>
      </x:c>
      <x:c r="H62" s="69" t="n">
        <x:v>14</x:v>
      </x:c>
      <x:c r="I62" t="str">
        <x:v>1-1</x:v>
      </x:c>
      <x:c r="J62" t="str">
        <x:f>IF(E62&lt;&gt;TRUE,"",IF(H62&gt;M62,"W",IF(H62&lt;M62,"L","T")))</x:f>
        <x:v>L</x:v>
      </x:c>
      <x:c r="K62" t="str">
        <x:v>Arkansas Razorbacks</x:v>
      </x:c>
      <x:c r="L62" t="str">
        <x:v>ARK</x:v>
      </x:c>
      <x:c r="M62" s="69" t="n">
        <x:v>31</x:v>
      </x:c>
      <x:c r="N62" t="str">
        <x:v>1-0</x:v>
      </x:c>
      <x:c r="O62" t="str">
        <x:f>IF(E62&lt;&gt;TRUE,"",IF(M62&gt;H62,"W",IF(M62&lt;H62,"L","T")))</x:f>
        <x:v>W</x:v>
      </x:c>
      <x:c r="P62" s="66" t="b">
        <x:v>0</x:v>
      </x:c>
      <x:c r="Q62" s="66" t="b">
        <x:v>0</x:v>
      </x:c>
      <x:c r="R62" t="str">
        <x:v>Donald W. Reynolds Razorback Stadium</x:v>
      </x:c>
      <x:c r="S62" t="str">
        <x:v>SEC Network</x:v>
      </x:c>
      <x:c r="T62"/>
      <x:c r="U62" s="70"/>
      <x:c r="V62" s="70"/>
      <x:c r="W62"/>
      <x:c r="X62" t="str">
        <x:v>https://www.espn.com/college-football/game/_/gameId/401856635</x:v>
      </x:c>
    </x:row>
    <x:row r="63">
      <x:c r="A63" t="str">
        <x:v>CFB</x:v>
      </x:c>
      <x:c r="B63" t="n">
        <x:v>1</x:v>
      </x:c>
      <x:c r="C63" s="68" t="n">
        <x:v>46270.84375</x:v>
      </x:c>
      <x:c r="D63" s="71" t="str">
        <x:v>post</x:v>
      </x:c>
      <x:c r="E63" s="72" t="b">
        <x:v>1</x:v>
      </x:c>
      <x:c r="F63" t="str">
        <x:v>Northern Illinois Huskies</x:v>
      </x:c>
      <x:c r="G63" t="str">
        <x:v>NIU</x:v>
      </x:c>
      <x:c r="H63" s="69" t="n">
        <x:v>0</x:v>
      </x:c>
      <x:c r="I63" t="str">
        <x:v>0-1</x:v>
      </x:c>
      <x:c r="J63" t="str">
        <x:f>IF(E63&lt;&gt;TRUE,"",IF(H63&gt;M63,"W",IF(H63&lt;M63,"L","T")))</x:f>
        <x:v>L</x:v>
      </x:c>
      <x:c r="K63" t="str">
        <x:v>Iowa Hawkeyes</x:v>
      </x:c>
      <x:c r="L63" t="str">
        <x:v>IOWA</x:v>
      </x:c>
      <x:c r="M63" s="69" t="n">
        <x:v>40</x:v>
      </x:c>
      <x:c r="N63" t="str">
        <x:v>1-0</x:v>
      </x:c>
      <x:c r="O63" t="str">
        <x:f>IF(E63&lt;&gt;TRUE,"",IF(M63&gt;H63,"W",IF(M63&lt;H63,"L","T")))</x:f>
        <x:v>W</x:v>
      </x:c>
      <x:c r="P63" s="66" t="b">
        <x:v>0</x:v>
      </x:c>
      <x:c r="Q63" s="66" t="b">
        <x:v>0</x:v>
      </x:c>
      <x:c r="R63" t="str">
        <x:v>Kinnick Stadium</x:v>
      </x:c>
      <x:c r="S63" t="str">
        <x:v>BTN</x:v>
      </x:c>
      <x:c r="T63"/>
      <x:c r="U63" s="70"/>
      <x:c r="V63" s="70"/>
      <x:c r="W63"/>
      <x:c r="X63" t="str">
        <x:v>https://www.espn.com/college-football/game/_/gameId/401858426</x:v>
      </x:c>
    </x:row>
    <x:row r="64">
      <x:c r="A64" t="str">
        <x:v>CFB</x:v>
      </x:c>
      <x:c r="B64" t="n">
        <x:v>1</x:v>
      </x:c>
      <x:c r="C64" s="68" t="n">
        <x:v>46270.875</x:v>
      </x:c>
      <x:c r="D64" s="71" t="str">
        <x:v>post</x:v>
      </x:c>
      <x:c r="E64" s="72" t="b">
        <x:v>1</x:v>
      </x:c>
      <x:c r="F64" t="str">
        <x:v>Alcorn State Braves</x:v>
      </x:c>
      <x:c r="G64" t="str">
        <x:v>ALCN</x:v>
      </x:c>
      <x:c r="H64" s="69" t="n">
        <x:v>3</x:v>
      </x:c>
      <x:c r="I64" t="str">
        <x:v>1-1</x:v>
      </x:c>
      <x:c r="J64" t="str">
        <x:f>IF(E64&lt;&gt;TRUE,"",IF(H64&gt;M64,"W",IF(H64&lt;M64,"L","T")))</x:f>
        <x:v>L</x:v>
      </x:c>
      <x:c r="K64" t="str">
        <x:v>Southern Miss Golden Eagles</x:v>
      </x:c>
      <x:c r="L64" t="str">
        <x:v>USM</x:v>
      </x:c>
      <x:c r="M64" s="69" t="n">
        <x:v>49</x:v>
      </x:c>
      <x:c r="N64" t="str">
        <x:v>1-0</x:v>
      </x:c>
      <x:c r="O64" t="str">
        <x:f>IF(E64&lt;&gt;TRUE,"",IF(M64&gt;H64,"W",IF(M64&lt;H64,"L","T")))</x:f>
        <x:v>W</x:v>
      </x:c>
      <x:c r="P64" s="66" t="b">
        <x:v>0</x:v>
      </x:c>
      <x:c r="Q64" s="66" t="b">
        <x:v>0</x:v>
      </x:c>
      <x:c r="R64" t="str">
        <x:v>M. M. Roberts Stadium</x:v>
      </x:c>
      <x:c r="S64" t="str">
        <x:v>ESPN+</x:v>
      </x:c>
      <x:c r="T64"/>
      <x:c r="U64" s="70"/>
      <x:c r="V64" s="70"/>
      <x:c r="W64"/>
      <x:c r="X64" t="str">
        <x:v>https://www.espn.com/college-football/game/_/gameId/401868356</x:v>
      </x:c>
    </x:row>
    <x:row r="65">
      <x:c r="A65" t="str">
        <x:v>CFB</x:v>
      </x:c>
      <x:c r="B65" t="n">
        <x:v>1</x:v>
      </x:c>
      <x:c r="C65" s="68" t="n">
        <x:v>46270.916666666664</x:v>
      </x:c>
      <x:c r="D65" s="71" t="str">
        <x:v>post</x:v>
      </x:c>
      <x:c r="E65" s="72" t="b">
        <x:v>1</x:v>
      </x:c>
      <x:c r="F65" t="str">
        <x:v>Wyoming Cowboys</x:v>
      </x:c>
      <x:c r="G65" t="str">
        <x:v>WYO</x:v>
      </x:c>
      <x:c r="H65" s="69" t="n">
        <x:v>13</x:v>
      </x:c>
      <x:c r="I65" t="str">
        <x:v>0-1</x:v>
      </x:c>
      <x:c r="J65" t="str">
        <x:f>IF(E65&lt;&gt;TRUE,"",IF(H65&gt;M65,"W",IF(H65&lt;M65,"L","T")))</x:f>
        <x:v>L</x:v>
      </x:c>
      <x:c r="K65" t="str">
        <x:v>Colorado State Rams</x:v>
      </x:c>
      <x:c r="L65" t="str">
        <x:v>CSU</x:v>
      </x:c>
      <x:c r="M65" s="69" t="n">
        <x:v>35</x:v>
      </x:c>
      <x:c r="N65" t="str">
        <x:v>1-0</x:v>
      </x:c>
      <x:c r="O65" t="str">
        <x:f>IF(E65&lt;&gt;TRUE,"",IF(M65&gt;H65,"W",IF(M65&lt;H65,"L","T")))</x:f>
        <x:v>W</x:v>
      </x:c>
      <x:c r="P65" s="66" t="b">
        <x:v>0</x:v>
      </x:c>
      <x:c r="Q65" s="66" t="b">
        <x:v>0</x:v>
      </x:c>
      <x:c r="R65" t="str">
        <x:v>Canvas Stadium</x:v>
      </x:c>
      <x:c r="S65" t="str">
        <x:v>USA Net</x:v>
      </x:c>
      <x:c r="T65"/>
      <x:c r="U65" s="70"/>
      <x:c r="V65" s="70"/>
      <x:c r="W65"/>
      <x:c r="X65" t="str">
        <x:v>https://www.espn.com/college-football/game/_/gameId/401860878</x:v>
      </x:c>
    </x:row>
    <x:row r="66">
      <x:c r="A66" t="str">
        <x:v>CFB</x:v>
      </x:c>
      <x:c r="B66" t="n">
        <x:v>1</x:v>
      </x:c>
      <x:c r="C66" s="68" t="n">
        <x:v>46270.916666666664</x:v>
      </x:c>
      <x:c r="D66" s="71" t="str">
        <x:v>post</x:v>
      </x:c>
      <x:c r="E66" s="72" t="b">
        <x:v>1</x:v>
      </x:c>
      <x:c r="F66" t="str">
        <x:v>Norfolk State Spartans</x:v>
      </x:c>
      <x:c r="G66" t="str">
        <x:v>NORF</x:v>
      </x:c>
      <x:c r="H66" s="69" t="n">
        <x:v>10</x:v>
      </x:c>
      <x:c r="I66" t="str">
        <x:v>1-1</x:v>
      </x:c>
      <x:c r="J66" t="str">
        <x:f>IF(E66&lt;&gt;TRUE,"",IF(H66&gt;M66,"W",IF(H66&lt;M66,"L","T")))</x:f>
        <x:v>L</x:v>
      </x:c>
      <x:c r="K66" t="str">
        <x:v>Old Dominion Monarchs</x:v>
      </x:c>
      <x:c r="L66" t="str">
        <x:v>ODU</x:v>
      </x:c>
      <x:c r="M66" s="69" t="n">
        <x:v>31</x:v>
      </x:c>
      <x:c r="N66" t="str">
        <x:v>1-0</x:v>
      </x:c>
      <x:c r="O66" t="str">
        <x:f>IF(E66&lt;&gt;TRUE,"",IF(M66&gt;H66,"W",IF(M66&lt;H66,"L","T")))</x:f>
        <x:v>W</x:v>
      </x:c>
      <x:c r="P66" s="66" t="b">
        <x:v>0</x:v>
      </x:c>
      <x:c r="Q66" s="66" t="b">
        <x:v>0</x:v>
      </x:c>
      <x:c r="R66" t="str">
        <x:v>S.B. Ballard Stadium</x:v>
      </x:c>
      <x:c r="S66" t="str">
        <x:v>ESPN+</x:v>
      </x:c>
      <x:c r="T66"/>
      <x:c r="U66" s="70"/>
      <x:c r="V66" s="70"/>
      <x:c r="W66"/>
      <x:c r="X66" t="str">
        <x:v>https://www.espn.com/college-football/game/_/gameId/401867973</x:v>
      </x:c>
    </x:row>
    <x:row r="67">
      <x:c r="A67" t="str">
        <x:v>CFB</x:v>
      </x:c>
      <x:c r="B67" t="n">
        <x:v>1</x:v>
      </x:c>
      <x:c r="C67" s="68" t="n">
        <x:v>46270.958333333336</x:v>
      </x:c>
      <x:c r="D67" s="71" t="str">
        <x:v>post</x:v>
      </x:c>
      <x:c r="E67" s="72" t="b">
        <x:v>1</x:v>
      </x:c>
      <x:c r="F67" t="str">
        <x:v>Missouri State Bears</x:v>
      </x:c>
      <x:c r="G67" t="str">
        <x:v>MOST</x:v>
      </x:c>
      <x:c r="H67" s="69" t="n">
        <x:v>0</x:v>
      </x:c>
      <x:c r="I67" t="str">
        <x:v>0-1</x:v>
      </x:c>
      <x:c r="J67" t="str">
        <x:f>IF(E67&lt;&gt;TRUE,"",IF(H67&gt;M67,"W",IF(H67&lt;M67,"L","T")))</x:f>
        <x:v>L</x:v>
      </x:c>
      <x:c r="K67" t="str">
        <x:v>Texas A&amp;M Aggies</x:v>
      </x:c>
      <x:c r="L67" t="str">
        <x:v>TA&amp;M</x:v>
      </x:c>
      <x:c r="M67" s="69" t="n">
        <x:v>50</x:v>
      </x:c>
      <x:c r="N67" t="str">
        <x:v>1-0</x:v>
      </x:c>
      <x:c r="O67" t="str">
        <x:f>IF(E67&lt;&gt;TRUE,"",IF(M67&gt;H67,"W",IF(M67&lt;H67,"L","T")))</x:f>
        <x:v>W</x:v>
      </x:c>
      <x:c r="P67" s="66" t="b">
        <x:v>0</x:v>
      </x:c>
      <x:c r="Q67" s="66" t="b">
        <x:v>0</x:v>
      </x:c>
      <x:c r="R67" t="str">
        <x:v>Kyle Field</x:v>
      </x:c>
      <x:c r="S67" t="str">
        <x:v>ESPN</x:v>
      </x:c>
      <x:c r="T67"/>
      <x:c r="U67" s="70"/>
      <x:c r="V67" s="70"/>
      <x:c r="W67"/>
      <x:c r="X67" t="str">
        <x:v>https://www.espn.com/college-football/game/_/gameId/401856668</x:v>
      </x:c>
    </x:row>
    <x:row r="68">
      <x:c r="A68" t="str">
        <x:v>CFB</x:v>
      </x:c>
      <x:c r="B68" t="n">
        <x:v>1</x:v>
      </x:c>
      <x:c r="C68" s="68" t="n">
        <x:v>46270.958333333336</x:v>
      </x:c>
      <x:c r="D68" s="71" t="str">
        <x:v>post</x:v>
      </x:c>
      <x:c r="E68" s="72" t="b">
        <x:v>1</x:v>
      </x:c>
      <x:c r="F68" t="str">
        <x:v>Austin Peay Governors</x:v>
      </x:c>
      <x:c r="G68" t="str">
        <x:v>APSU</x:v>
      </x:c>
      <x:c r="H68" s="69" t="n">
        <x:v>9</x:v>
      </x:c>
      <x:c r="I68" t="str">
        <x:v>1-1</x:v>
      </x:c>
      <x:c r="J68" t="str">
        <x:f>IF(E68&lt;&gt;TRUE,"",IF(H68&gt;M68,"W",IF(H68&lt;M68,"L","T")))</x:f>
        <x:v>L</x:v>
      </x:c>
      <x:c r="K68" t="str">
        <x:v>Vanderbilt Commodores</x:v>
      </x:c>
      <x:c r="L68" t="str">
        <x:v>VAN</x:v>
      </x:c>
      <x:c r="M68" s="69" t="n">
        <x:v>28</x:v>
      </x:c>
      <x:c r="N68" t="str">
        <x:v>1-0</x:v>
      </x:c>
      <x:c r="O68" t="str">
        <x:f>IF(E68&lt;&gt;TRUE,"",IF(M68&gt;H68,"W",IF(M68&lt;H68,"L","T")))</x:f>
        <x:v>W</x:v>
      </x:c>
      <x:c r="P68" s="66" t="b">
        <x:v>0</x:v>
      </x:c>
      <x:c r="Q68" s="66" t="b">
        <x:v>0</x:v>
      </x:c>
      <x:c r="R68" t="str">
        <x:v>FirstBank Stadium</x:v>
      </x:c>
      <x:c r="S68" t="str">
        <x:v>SECN+</x:v>
      </x:c>
      <x:c r="T68"/>
      <x:c r="U68" s="70"/>
      <x:c r="V68" s="70"/>
      <x:c r="W68"/>
      <x:c r="X68" t="str">
        <x:v>https://www.espn.com/college-football/game/_/gameId/401856669</x:v>
      </x:c>
    </x:row>
    <x:row r="69">
      <x:c r="A69" t="str">
        <x:v>CFB</x:v>
      </x:c>
      <x:c r="B69" t="n">
        <x:v>1</x:v>
      </x:c>
      <x:c r="C69" s="68" t="n">
        <x:v>46270.958333333336</x:v>
      </x:c>
      <x:c r="D69" s="71" t="str">
        <x:v>post</x:v>
      </x:c>
      <x:c r="E69" s="72" t="b">
        <x:v>1</x:v>
      </x:c>
      <x:c r="F69" t="str">
        <x:v>Abilene Christian Wildcats</x:v>
      </x:c>
      <x:c r="G69" t="str">
        <x:v>ACU</x:v>
      </x:c>
      <x:c r="H69" s="69" t="n">
        <x:v>10</x:v>
      </x:c>
      <x:c r="I69" t="str">
        <x:v>0-2</x:v>
      </x:c>
      <x:c r="J69" t="str">
        <x:f>IF(E69&lt;&gt;TRUE,"",IF(H69&gt;M69,"W",IF(H69&lt;M69,"L","T")))</x:f>
        <x:v>L</x:v>
      </x:c>
      <x:c r="K69" t="str">
        <x:v>Texas Tech Red Raiders</x:v>
      </x:c>
      <x:c r="L69" t="str">
        <x:v>TTU</x:v>
      </x:c>
      <x:c r="M69" s="69" t="n">
        <x:v>33</x:v>
      </x:c>
      <x:c r="N69" t="str">
        <x:v>1-0</x:v>
      </x:c>
      <x:c r="O69" t="str">
        <x:f>IF(E69&lt;&gt;TRUE,"",IF(M69&gt;H69,"W",IF(M69&lt;H69,"L","T")))</x:f>
        <x:v>W</x:v>
      </x:c>
      <x:c r="P69" s="66" t="b">
        <x:v>0</x:v>
      </x:c>
      <x:c r="Q69" s="66" t="b">
        <x:v>0</x:v>
      </x:c>
      <x:c r="R69" t="str">
        <x:v>Galaxy Stadium</x:v>
      </x:c>
      <x:c r="S69" t="str">
        <x:v>FS1</x:v>
      </x:c>
      <x:c r="T69"/>
      <x:c r="U69" s="70"/>
      <x:c r="V69" s="70"/>
      <x:c r="W69"/>
      <x:c r="X69" t="str">
        <x:v>https://www.espn.com/college-football/game/_/gameId/401856770</x:v>
      </x:c>
    </x:row>
    <x:row r="70">
      <x:c r="A70" t="str">
        <x:v>CFB</x:v>
      </x:c>
      <x:c r="B70" t="n">
        <x:v>1</x:v>
      </x:c>
      <x:c r="C70" s="68" t="n">
        <x:v>46270.958333333336</x:v>
      </x:c>
      <x:c r="D70" s="71" t="str">
        <x:v>post</x:v>
      </x:c>
      <x:c r="E70" s="72" t="b">
        <x:v>1</x:v>
      </x:c>
      <x:c r="F70" t="str">
        <x:v>Nicholls Colonels</x:v>
      </x:c>
      <x:c r="G70" t="str">
        <x:v>NICH</x:v>
      </x:c>
      <x:c r="H70" s="69" t="n">
        <x:v>3</x:v>
      </x:c>
      <x:c r="I70" t="str">
        <x:v>1-1</x:v>
      </x:c>
      <x:c r="J70" t="str">
        <x:f>IF(E70&lt;&gt;TRUE,"",IF(H70&gt;M70,"W",IF(H70&lt;M70,"L","T")))</x:f>
        <x:v>L</x:v>
      </x:c>
      <x:c r="K70" t="str">
        <x:v>Kansas State Wildcats</x:v>
      </x:c>
      <x:c r="L70" t="str">
        <x:v>KSU</x:v>
      </x:c>
      <x:c r="M70" s="69" t="n">
        <x:v>71</x:v>
      </x:c>
      <x:c r="N70" t="str">
        <x:v>1-0</x:v>
      </x:c>
      <x:c r="O70" t="str">
        <x:f>IF(E70&lt;&gt;TRUE,"",IF(M70&gt;H70,"W",IF(M70&lt;H70,"L","T")))</x:f>
        <x:v>W</x:v>
      </x:c>
      <x:c r="P70" s="66" t="b">
        <x:v>0</x:v>
      </x:c>
      <x:c r="Q70" s="66" t="b">
        <x:v>0</x:v>
      </x:c>
      <x:c r="R70" t="str">
        <x:v>Bill Snyder Family Stadium</x:v>
      </x:c>
      <x:c r="S70" t="str">
        <x:v>ESPN+</x:v>
      </x:c>
      <x:c r="T70"/>
      <x:c r="U70" s="70"/>
      <x:c r="V70" s="70"/>
      <x:c r="W70"/>
      <x:c r="X70" t="str">
        <x:v>https://www.espn.com/college-football/game/_/gameId/401856771</x:v>
      </x:c>
    </x:row>
    <x:row r="71">
      <x:c r="A71" t="str">
        <x:v>CFB</x:v>
      </x:c>
      <x:c r="B71" t="n">
        <x:v>1</x:v>
      </x:c>
      <x:c r="C71" s="68" t="n">
        <x:v>46270.958333333336</x:v>
      </x:c>
      <x:c r="D71" s="71" t="str">
        <x:v>post</x:v>
      </x:c>
      <x:c r="E71" s="72" t="b">
        <x:v>1</x:v>
      </x:c>
      <x:c r="F71" t="str">
        <x:v>Idaho State Bengals</x:v>
      </x:c>
      <x:c r="G71" t="str">
        <x:v>IDST</x:v>
      </x:c>
      <x:c r="H71" s="69" t="n">
        <x:v>29</x:v>
      </x:c>
      <x:c r="I71" t="str">
        <x:v>2-0</x:v>
      </x:c>
      <x:c r="J71" t="str">
        <x:f>IF(E71&lt;&gt;TRUE,"",IF(H71&gt;M71,"W",IF(H71&lt;M71,"L","T")))</x:f>
        <x:v>W</x:v>
      </x:c>
      <x:c r="K71" t="str">
        <x:v>Utah State Aggies</x:v>
      </x:c>
      <x:c r="L71" t="str">
        <x:v>USU</x:v>
      </x:c>
      <x:c r="M71" s="69" t="n">
        <x:v>17</x:v>
      </x:c>
      <x:c r="N71" t="str">
        <x:v>0-1</x:v>
      </x:c>
      <x:c r="O71" t="str">
        <x:f>IF(E71&lt;&gt;TRUE,"",IF(M71&gt;H71,"W",IF(M71&lt;H71,"L","T")))</x:f>
        <x:v>L</x:v>
      </x:c>
      <x:c r="P71" s="66" t="b">
        <x:v>0</x:v>
      </x:c>
      <x:c r="Q71" s="66" t="b">
        <x:v>0</x:v>
      </x:c>
      <x:c r="R71" t="str">
        <x:v>Maverik Stadium</x:v>
      </x:c>
      <x:c r="S71" t="str">
        <x:v>CBSSN</x:v>
      </x:c>
      <x:c r="T71"/>
      <x:c r="U71" s="70"/>
      <x:c r="V71" s="70"/>
      <x:c r="W71"/>
      <x:c r="X71" t="str">
        <x:v>https://www.espn.com/college-football/game/_/gameId/401860880</x:v>
      </x:c>
    </x:row>
    <x:row r="72">
      <x:c r="A72" t="str">
        <x:v>CFB</x:v>
      </x:c>
      <x:c r="B72" t="n">
        <x:v>1</x:v>
      </x:c>
      <x:c r="C72" s="68" t="n">
        <x:v>46270.958333333336</x:v>
      </x:c>
      <x:c r="D72" s="71" t="str">
        <x:v>post</x:v>
      </x:c>
      <x:c r="E72" s="72" t="b">
        <x:v>1</x:v>
      </x:c>
      <x:c r="F72" t="str">
        <x:v>Arkansas State Red Wolves</x:v>
      </x:c>
      <x:c r="G72" t="str">
        <x:v>ARST</x:v>
      </x:c>
      <x:c r="H72" s="69" t="n">
        <x:v>24</x:v>
      </x:c>
      <x:c r="I72" t="str">
        <x:v>0-1</x:v>
      </x:c>
      <x:c r="J72" t="str">
        <x:f>IF(E72&lt;&gt;TRUE,"",IF(H72&gt;M72,"W",IF(H72&lt;M72,"L","T")))</x:f>
        <x:v>L</x:v>
      </x:c>
      <x:c r="K72" t="str">
        <x:v>Memphis Tigers</x:v>
      </x:c>
      <x:c r="L72" t="str">
        <x:v>MEM</x:v>
      </x:c>
      <x:c r="M72" s="69" t="n">
        <x:v>42</x:v>
      </x:c>
      <x:c r="N72" t="str">
        <x:v>2-0</x:v>
      </x:c>
      <x:c r="O72" t="str">
        <x:f>IF(E72&lt;&gt;TRUE,"",IF(M72&gt;H72,"W",IF(M72&lt;H72,"L","T")))</x:f>
        <x:v>W</x:v>
      </x:c>
      <x:c r="P72" s="66" t="b">
        <x:v>0</x:v>
      </x:c>
      <x:c r="Q72" s="66" t="b">
        <x:v>0</x:v>
      </x:c>
      <x:c r="R72" t="str">
        <x:v>Simmons Bank Liberty Stadium</x:v>
      </x:c>
      <x:c r="S72" t="str">
        <x:v>ESPN+</x:v>
      </x:c>
      <x:c r="T72"/>
      <x:c r="U72" s="70"/>
      <x:c r="V72" s="70"/>
      <x:c r="W72"/>
      <x:c r="X72" t="str">
        <x:v>https://www.espn.com/college-football/game/_/gameId/401862695</x:v>
      </x:c>
    </x:row>
    <x:row r="73">
      <x:c r="A73" t="str">
        <x:v>CFB</x:v>
      </x:c>
      <x:c r="B73" t="n">
        <x:v>1</x:v>
      </x:c>
      <x:c r="C73" s="68" t="n">
        <x:v>46270.958333333336</x:v>
      </x:c>
      <x:c r="D73" s="71" t="str">
        <x:v>post</x:v>
      </x:c>
      <x:c r="E73" s="72" t="b">
        <x:v>1</x:v>
      </x:c>
      <x:c r="F73" t="str">
        <x:v>Houston Christian Huskies</x:v>
      </x:c>
      <x:c r="G73" t="str">
        <x:v>HCU</x:v>
      </x:c>
      <x:c r="H73" s="69" t="n">
        <x:v>3</x:v>
      </x:c>
      <x:c r="I73" t="str">
        <x:v>1-1</x:v>
      </x:c>
      <x:c r="J73" t="str">
        <x:f>IF(E73&lt;&gt;TRUE,"",IF(H73&gt;M73,"W",IF(H73&lt;M73,"L","T")))</x:f>
        <x:v>L</x:v>
      </x:c>
      <x:c r="K73" t="str">
        <x:v>Rice Owls</x:v>
      </x:c>
      <x:c r="L73" t="str">
        <x:v>RICE</x:v>
      </x:c>
      <x:c r="M73" s="69" t="n">
        <x:v>31</x:v>
      </x:c>
      <x:c r="N73" t="str">
        <x:v>1-0</x:v>
      </x:c>
      <x:c r="O73" t="str">
        <x:f>IF(E73&lt;&gt;TRUE,"",IF(M73&gt;H73,"W",IF(M73&lt;H73,"L","T")))</x:f>
        <x:v>W</x:v>
      </x:c>
      <x:c r="P73" s="66" t="b">
        <x:v>0</x:v>
      </x:c>
      <x:c r="Q73" s="66" t="b">
        <x:v>0</x:v>
      </x:c>
      <x:c r="R73" t="str">
        <x:v>Rice Stadium</x:v>
      </x:c>
      <x:c r="S73" t="str">
        <x:v>ESPN+</x:v>
      </x:c>
      <x:c r="T73"/>
      <x:c r="U73" s="70"/>
      <x:c r="V73" s="70"/>
      <x:c r="W73"/>
      <x:c r="X73" t="str">
        <x:v>https://www.espn.com/college-football/game/_/gameId/401862697</x:v>
      </x:c>
    </x:row>
    <x:row r="74">
      <x:c r="A74" t="str">
        <x:v>CFB</x:v>
      </x:c>
      <x:c r="B74" t="n">
        <x:v>1</x:v>
      </x:c>
      <x:c r="C74" s="68" t="n">
        <x:v>46270.958333333336</x:v>
      </x:c>
      <x:c r="D74" s="71" t="str">
        <x:v>post</x:v>
      </x:c>
      <x:c r="E74" s="72" t="b">
        <x:v>1</x:v>
      </x:c>
      <x:c r="F74" t="str">
        <x:v>Florida International Panthers</x:v>
      </x:c>
      <x:c r="G74" t="str">
        <x:v>FIU</x:v>
      </x:c>
      <x:c r="H74" s="69" t="n">
        <x:v>9</x:v>
      </x:c>
      <x:c r="I74" t="str">
        <x:v>0-1</x:v>
      </x:c>
      <x:c r="J74" t="str">
        <x:f>IF(E74&lt;&gt;TRUE,"",IF(H74&gt;M74,"W",IF(H74&lt;M74,"L","T")))</x:f>
        <x:v>L</x:v>
      </x:c>
      <x:c r="K74" t="str">
        <x:v>South Florida Bulls</x:v>
      </x:c>
      <x:c r="L74" t="str">
        <x:v>USF</x:v>
      </x:c>
      <x:c r="M74" s="69" t="n">
        <x:v>19</x:v>
      </x:c>
      <x:c r="N74" t="str">
        <x:v>1-0</x:v>
      </x:c>
      <x:c r="O74" t="str">
        <x:f>IF(E74&lt;&gt;TRUE,"",IF(M74&gt;H74,"W",IF(M74&lt;H74,"L","T")))</x:f>
        <x:v>W</x:v>
      </x:c>
      <x:c r="P74" s="66" t="b">
        <x:v>0</x:v>
      </x:c>
      <x:c r="Q74" s="66" t="b">
        <x:v>0</x:v>
      </x:c>
      <x:c r="R74" t="str">
        <x:v>Raymond James Stadium</x:v>
      </x:c>
      <x:c r="S74" t="str">
        <x:v>ESPN+</x:v>
      </x:c>
      <x:c r="T74"/>
      <x:c r="U74" s="70"/>
      <x:c r="V74" s="70"/>
      <x:c r="W74"/>
      <x:c r="X74" t="str">
        <x:v>https://www.espn.com/college-football/game/_/gameId/401862699</x:v>
      </x:c>
    </x:row>
    <x:row r="75">
      <x:c r="A75" t="str">
        <x:v>CFB</x:v>
      </x:c>
      <x:c r="B75" t="n">
        <x:v>1</x:v>
      </x:c>
      <x:c r="C75" s="68" t="n">
        <x:v>46270.958333333336</x:v>
      </x:c>
      <x:c r="D75" s="71" t="str">
        <x:v>post</x:v>
      </x:c>
      <x:c r="E75" s="72" t="b">
        <x:v>1</x:v>
      </x:c>
      <x:c r="F75" t="str">
        <x:v>Eastern Kentucky Colonels</x:v>
      </x:c>
      <x:c r="G75" t="str">
        <x:v>EKU</x:v>
      </x:c>
      <x:c r="H75" s="69" t="n">
        <x:v>7</x:v>
      </x:c>
      <x:c r="I75" t="str">
        <x:v>0-2</x:v>
      </x:c>
      <x:c r="J75" t="str">
        <x:f>IF(E75&lt;&gt;TRUE,"",IF(H75&gt;M75,"W",IF(H75&lt;M75,"L","T")))</x:f>
        <x:v>L</x:v>
      </x:c>
      <x:c r="K75" t="str">
        <x:v>Jacksonville State Gamecocks</x:v>
      </x:c>
      <x:c r="L75" t="str">
        <x:v>JXST</x:v>
      </x:c>
      <x:c r="M75" s="69" t="n">
        <x:v>49</x:v>
      </x:c>
      <x:c r="N75" t="str">
        <x:v>1-1</x:v>
      </x:c>
      <x:c r="O75" t="str">
        <x:f>IF(E75&lt;&gt;TRUE,"",IF(M75&gt;H75,"W",IF(M75&lt;H75,"L","T")))</x:f>
        <x:v>W</x:v>
      </x:c>
      <x:c r="P75" s="66" t="b">
        <x:v>0</x:v>
      </x:c>
      <x:c r="Q75" s="66" t="b">
        <x:v>0</x:v>
      </x:c>
      <x:c r="R75" t="str">
        <x:v>AmFirst Stadium</x:v>
      </x:c>
      <x:c r="S75" t="str">
        <x:v>ESPN+</x:v>
      </x:c>
      <x:c r="T75"/>
      <x:c r="U75" s="70"/>
      <x:c r="V75" s="70"/>
      <x:c r="W75"/>
      <x:c r="X75" t="str">
        <x:v>https://www.espn.com/college-football/game/_/gameId/401868140</x:v>
      </x:c>
    </x:row>
    <x:row r="76">
      <x:c r="A76" t="str">
        <x:v>CFB</x:v>
      </x:c>
      <x:c r="B76" t="n">
        <x:v>1</x:v>
      </x:c>
      <x:c r="C76" s="68" t="n">
        <x:v>46270.958333333336</x:v>
      </x:c>
      <x:c r="D76" s="71" t="str">
        <x:v>post</x:v>
      </x:c>
      <x:c r="E76" s="72" t="b">
        <x:v>1</x:v>
      </x:c>
      <x:c r="F76" t="str">
        <x:v>Charleston Southern Buccaneers</x:v>
      </x:c>
      <x:c r="G76" t="str">
        <x:v>CHSO</x:v>
      </x:c>
      <x:c r="H76" s="69" t="n">
        <x:v>0</x:v>
      </x:c>
      <x:c r="I76" t="str">
        <x:v>0-2</x:v>
      </x:c>
      <x:c r="J76" t="str">
        <x:f>IF(E76&lt;&gt;TRUE,"",IF(H76&gt;M76,"W",IF(H76&lt;M76,"L","T")))</x:f>
        <x:v>L</x:v>
      </x:c>
      <x:c r="K76" t="str">
        <x:v>Georgia Southern Eagles</x:v>
      </x:c>
      <x:c r="L76" t="str">
        <x:v>GASO</x:v>
      </x:c>
      <x:c r="M76" s="69" t="n">
        <x:v>31</x:v>
      </x:c>
      <x:c r="N76" t="str">
        <x:v>1-0</x:v>
      </x:c>
      <x:c r="O76" t="str">
        <x:f>IF(E76&lt;&gt;TRUE,"",IF(M76&gt;H76,"W",IF(M76&lt;H76,"L","T")))</x:f>
        <x:v>W</x:v>
      </x:c>
      <x:c r="P76" s="66" t="b">
        <x:v>0</x:v>
      </x:c>
      <x:c r="Q76" s="66" t="b">
        <x:v>0</x:v>
      </x:c>
      <x:c r="R76" t="str">
        <x:v>Allen E. Paulson Stadium</x:v>
      </x:c>
      <x:c r="S76" t="str">
        <x:v>ESPN+</x:v>
      </x:c>
      <x:c r="T76"/>
      <x:c r="U76" s="70"/>
      <x:c r="V76" s="70"/>
      <x:c r="W76"/>
      <x:c r="X76" t="str">
        <x:v>https://www.espn.com/college-football/game/_/gameId/401868170</x:v>
      </x:c>
    </x:row>
    <x:row r="77">
      <x:c r="A77" t="str">
        <x:v>CFB</x:v>
      </x:c>
      <x:c r="B77" t="n">
        <x:v>1</x:v>
      </x:c>
      <x:c r="C77" s="68" t="n">
        <x:v>46270.958333333336</x:v>
      </x:c>
      <x:c r="D77" s="71" t="str">
        <x:v>post</x:v>
      </x:c>
      <x:c r="E77" s="72" t="b">
        <x:v>1</x:v>
      </x:c>
      <x:c r="F77" t="str">
        <x:v>SE Louisiana Lions</x:v>
      </x:c>
      <x:c r="G77" t="str">
        <x:v>SELA</x:v>
      </x:c>
      <x:c r="H77" s="69" t="n">
        <x:v>14</x:v>
      </x:c>
      <x:c r="I77" t="str">
        <x:v>0-2</x:v>
      </x:c>
      <x:c r="J77" t="str">
        <x:f>IF(E77&lt;&gt;TRUE,"",IF(H77&gt;M77,"W",IF(H77&lt;M77,"L","T")))</x:f>
        <x:v>L</x:v>
      </x:c>
      <x:c r="K77" t="str">
        <x:v>South Alabama Jaguars</x:v>
      </x:c>
      <x:c r="L77" t="str">
        <x:v>USA</x:v>
      </x:c>
      <x:c r="M77" s="69" t="n">
        <x:v>39</x:v>
      </x:c>
      <x:c r="N77" t="str">
        <x:v>1-0</x:v>
      </x:c>
      <x:c r="O77" t="str">
        <x:f>IF(E77&lt;&gt;TRUE,"",IF(M77&gt;H77,"W",IF(M77&lt;H77,"L","T")))</x:f>
        <x:v>W</x:v>
      </x:c>
      <x:c r="P77" s="66" t="b">
        <x:v>0</x:v>
      </x:c>
      <x:c r="Q77" s="66" t="b">
        <x:v>0</x:v>
      </x:c>
      <x:c r="R77" t="str">
        <x:v>Hancock Whitney Stadium</x:v>
      </x:c>
      <x:c r="S77" t="str">
        <x:v>ESPN+</x:v>
      </x:c>
      <x:c r="T77"/>
      <x:c r="U77" s="70"/>
      <x:c r="V77" s="70"/>
      <x:c r="W77"/>
      <x:c r="X77" t="str">
        <x:v>https://www.espn.com/college-football/game/_/gameId/401868316</x:v>
      </x:c>
    </x:row>
    <x:row r="78">
      <x:c r="A78" t="str">
        <x:v>CFB</x:v>
      </x:c>
      <x:c r="B78" t="n">
        <x:v>1</x:v>
      </x:c>
      <x:c r="C78" s="68" t="n">
        <x:v>46270.958333333336</x:v>
      </x:c>
      <x:c r="D78" s="71" t="str">
        <x:v>post</x:v>
      </x:c>
      <x:c r="E78" s="72" t="b">
        <x:v>1</x:v>
      </x:c>
      <x:c r="F78" t="str">
        <x:v>Sam Houston Bearkats</x:v>
      </x:c>
      <x:c r="G78" t="str">
        <x:v>SHSU</x:v>
      </x:c>
      <x:c r="H78" s="69" t="n">
        <x:v>21</x:v>
      </x:c>
      <x:c r="I78" t="str">
        <x:v>0-1</x:v>
      </x:c>
      <x:c r="J78" t="str">
        <x:f>IF(E78&lt;&gt;TRUE,"",IF(H78&gt;M78,"W",IF(H78&lt;M78,"L","T")))</x:f>
        <x:v>L</x:v>
      </x:c>
      <x:c r="K78" t="str">
        <x:v>Troy Trojans</x:v>
      </x:c>
      <x:c r="L78" t="str">
        <x:v>TROY</x:v>
      </x:c>
      <x:c r="M78" s="69" t="n">
        <x:v>24</x:v>
      </x:c>
      <x:c r="N78" t="str">
        <x:v>1-0</x:v>
      </x:c>
      <x:c r="O78" t="str">
        <x:f>IF(E78&lt;&gt;TRUE,"",IF(M78&gt;H78,"W",IF(M78&lt;H78,"L","T")))</x:f>
        <x:v>W</x:v>
      </x:c>
      <x:c r="P78" s="66" t="b">
        <x:v>0</x:v>
      </x:c>
      <x:c r="Q78" s="66" t="b">
        <x:v>0</x:v>
      </x:c>
      <x:c r="R78" t="str">
        <x:v>Veterans Memorial Stadium (AL)</x:v>
      </x:c>
      <x:c r="S78" t="str">
        <x:v>ESPN+</x:v>
      </x:c>
      <x:c r="T78"/>
      <x:c r="U78" s="70"/>
      <x:c r="V78" s="70"/>
      <x:c r="W78"/>
      <x:c r="X78" t="str">
        <x:v>https://www.espn.com/college-football/game/_/gameId/401870763</x:v>
      </x:c>
    </x:row>
    <x:row r="79">
      <x:c r="A79" t="str">
        <x:v>CFB</x:v>
      </x:c>
      <x:c r="B79" t="n">
        <x:v>1</x:v>
      </x:c>
      <x:c r="C79" s="68" t="n">
        <x:v>46270.979166666664</x:v>
      </x:c>
      <x:c r="D79" s="71" t="str">
        <x:v>post</x:v>
      </x:c>
      <x:c r="E79" s="72" t="b">
        <x:v>1</x:v>
      </x:c>
      <x:c r="F79" t="str">
        <x:v>UL Monroe Warhawks</x:v>
      </x:c>
      <x:c r="G79" t="str">
        <x:v>ULM</x:v>
      </x:c>
      <x:c r="H79" s="69" t="n">
        <x:v>13</x:v>
      </x:c>
      <x:c r="I79" t="str">
        <x:v>0-1</x:v>
      </x:c>
      <x:c r="J79" t="str">
        <x:f>IF(E79&lt;&gt;TRUE,"",IF(H79&gt;M79,"W",IF(H79&lt;M79,"L","T")))</x:f>
        <x:v>L</x:v>
      </x:c>
      <x:c r="K79" t="str">
        <x:v>Mississippi State Bulldogs</x:v>
      </x:c>
      <x:c r="L79" t="str">
        <x:v>MSST</x:v>
      </x:c>
      <x:c r="M79" s="69" t="n">
        <x:v>62</x:v>
      </x:c>
      <x:c r="N79" t="str">
        <x:v>1-0</x:v>
      </x:c>
      <x:c r="O79" t="str">
        <x:f>IF(E79&lt;&gt;TRUE,"",IF(M79&gt;H79,"W",IF(M79&lt;H79,"L","T")))</x:f>
        <x:v>W</x:v>
      </x:c>
      <x:c r="P79" s="66" t="b">
        <x:v>0</x:v>
      </x:c>
      <x:c r="Q79" s="66" t="b">
        <x:v>0</x:v>
      </x:c>
      <x:c r="R79" t="str">
        <x:v>Davis Wade Stadium</x:v>
      </x:c>
      <x:c r="S79" t="str">
        <x:v>ESPNU</x:v>
      </x:c>
      <x:c r="T79"/>
      <x:c r="U79" s="70"/>
      <x:c r="V79" s="70"/>
      <x:c r="W79"/>
      <x:c r="X79" t="str">
        <x:v>https://www.espn.com/college-football/game/_/gameId/401856662</x:v>
      </x:c>
    </x:row>
    <x:row r="80">
      <x:c r="A80" t="str">
        <x:v>CFB</x:v>
      </x:c>
      <x:c r="B80" t="n">
        <x:v>1</x:v>
      </x:c>
      <x:c r="C80" s="68" t="n">
        <x:v>46270.979166666664</x:v>
      </x:c>
      <x:c r="D80" s="71" t="str">
        <x:v>post</x:v>
      </x:c>
      <x:c r="E80" s="72" t="b">
        <x:v>1</x:v>
      </x:c>
      <x:c r="F80" t="str">
        <x:v>VMI Keydets</x:v>
      </x:c>
      <x:c r="G80" t="str">
        <x:v>VMI</x:v>
      </x:c>
      <x:c r="H80" s="69" t="n">
        <x:v>3</x:v>
      </x:c>
      <x:c r="I80" t="str">
        <x:v>0-2</x:v>
      </x:c>
      <x:c r="J80" t="str">
        <x:f>IF(E80&lt;&gt;TRUE,"",IF(H80&gt;M80,"W",IF(H80&lt;M80,"L","T")))</x:f>
        <x:v>L</x:v>
      </x:c>
      <x:c r="K80" t="str">
        <x:v>Virginia Tech Hokies</x:v>
      </x:c>
      <x:c r="L80" t="str">
        <x:v>VT</x:v>
      </x:c>
      <x:c r="M80" s="69" t="n">
        <x:v>73</x:v>
      </x:c>
      <x:c r="N80" t="str">
        <x:v>1-0</x:v>
      </x:c>
      <x:c r="O80" t="str">
        <x:f>IF(E80&lt;&gt;TRUE,"",IF(M80&gt;H80,"W",IF(M80&lt;H80,"L","T")))</x:f>
        <x:v>W</x:v>
      </x:c>
      <x:c r="P80" s="66" t="b">
        <x:v>0</x:v>
      </x:c>
      <x:c r="Q80" s="66" t="b">
        <x:v>0</x:v>
      </x:c>
      <x:c r="R80" t="str">
        <x:v>Lane Stadium</x:v>
      </x:c>
      <x:c r="S80" t="str">
        <x:v>ACC Network / ACCNX</x:v>
      </x:c>
      <x:c r="T80"/>
      <x:c r="U80" s="70"/>
      <x:c r="V80" s="70"/>
      <x:c r="W80"/>
      <x:c r="X80" t="str">
        <x:v>https://www.espn.com/college-football/game/_/gameId/401858211</x:v>
      </x:c>
    </x:row>
    <x:row r="81">
      <x:c r="A81" t="str">
        <x:v>CFB</x:v>
      </x:c>
      <x:c r="B81" t="n">
        <x:v>1</x:v>
      </x:c>
      <x:c r="C81" s="68" t="n">
        <x:v>46270.979166666664</x:v>
      </x:c>
      <x:c r="D81" s="71" t="str">
        <x:v>post</x:v>
      </x:c>
      <x:c r="E81" s="72" t="b">
        <x:v>1</x:v>
      </x:c>
      <x:c r="F81" t="str">
        <x:v>Western Michigan Broncos</x:v>
      </x:c>
      <x:c r="G81" t="str">
        <x:v>WMU</x:v>
      </x:c>
      <x:c r="H81" s="69" t="n">
        <x:v>12</x:v>
      </x:c>
      <x:c r="I81" t="str">
        <x:v>0-1</x:v>
      </x:c>
      <x:c r="J81" t="str">
        <x:f>IF(E81&lt;&gt;TRUE,"",IF(H81&gt;M81,"W",IF(H81&lt;M81,"L","T")))</x:f>
        <x:v>L</x:v>
      </x:c>
      <x:c r="K81" t="str">
        <x:v>Michigan Wolverines</x:v>
      </x:c>
      <x:c r="L81" t="str">
        <x:v>MICH</x:v>
      </x:c>
      <x:c r="M81" s="69" t="n">
        <x:v>13</x:v>
      </x:c>
      <x:c r="N81" t="str">
        <x:v>1-0</x:v>
      </x:c>
      <x:c r="O81" t="str">
        <x:f>IF(E81&lt;&gt;TRUE,"",IF(M81&gt;H81,"W",IF(M81&lt;H81,"L","T")))</x:f>
        <x:v>W</x:v>
      </x:c>
      <x:c r="P81" s="66" t="b">
        <x:v>0</x:v>
      </x:c>
      <x:c r="Q81" s="66" t="b">
        <x:v>0</x:v>
      </x:c>
      <x:c r="R81" t="str">
        <x:v>Michigan Stadium</x:v>
      </x:c>
      <x:c r="S81" t="str">
        <x:v>NBC</x:v>
      </x:c>
      <x:c r="T81"/>
      <x:c r="U81" s="70"/>
      <x:c r="V81" s="70"/>
      <x:c r="W81"/>
      <x:c r="X81" t="str">
        <x:v>https://www.espn.com/college-football/game/_/gameId/401858428</x:v>
      </x:c>
    </x:row>
    <x:row r="82">
      <x:c r="A82" t="str">
        <x:v>CFB</x:v>
      </x:c>
      <x:c r="B82" t="n">
        <x:v>1</x:v>
      </x:c>
      <x:c r="C82" s="68" t="n">
        <x:v>46270.979166666664</x:v>
      </x:c>
      <x:c r="D82" s="71" t="str">
        <x:v>post</x:v>
      </x:c>
      <x:c r="E82" s="72" t="b">
        <x:v>1</x:v>
      </x:c>
      <x:c r="F82" t="str">
        <x:v>Northwestern State Demons</x:v>
      </x:c>
      <x:c r="G82" t="str">
        <x:v>NWST</x:v>
      </x:c>
      <x:c r="H82" s="69" t="n">
        <x:v>6</x:v>
      </x:c>
      <x:c r="I82" t="str">
        <x:v>0-2</x:v>
      </x:c>
      <x:c r="J82" t="str">
        <x:f>IF(E82&lt;&gt;TRUE,"",IF(H82&gt;M82,"W",IF(H82&lt;M82,"L","T")))</x:f>
        <x:v>L</x:v>
      </x:c>
      <x:c r="K82" t="str">
        <x:v>Louisiana Tech Bulldogs</x:v>
      </x:c>
      <x:c r="L82" t="str">
        <x:v>LT</x:v>
      </x:c>
      <x:c r="M82" s="69" t="n">
        <x:v>80</x:v>
      </x:c>
      <x:c r="N82" t="str">
        <x:v>1-0</x:v>
      </x:c>
      <x:c r="O82" t="str">
        <x:f>IF(E82&lt;&gt;TRUE,"",IF(M82&gt;H82,"W",IF(M82&lt;H82,"L","T")))</x:f>
        <x:v>W</x:v>
      </x:c>
      <x:c r="P82" s="66" t="b">
        <x:v>0</x:v>
      </x:c>
      <x:c r="Q82" s="66" t="b">
        <x:v>0</x:v>
      </x:c>
      <x:c r="R82" t="str">
        <x:v>Joe Aillet Stadium</x:v>
      </x:c>
      <x:c r="S82" t="str">
        <x:v>ESPN+</x:v>
      </x:c>
      <x:c r="T82"/>
      <x:c r="U82" s="70"/>
      <x:c r="V82" s="70"/>
      <x:c r="W82"/>
      <x:c r="X82" t="str">
        <x:v>https://www.espn.com/college-football/game/_/gameId/401869129</x:v>
      </x:c>
    </x:row>
    <x:row r="83">
      <x:c r="A83" t="str">
        <x:v>CFB</x:v>
      </x:c>
      <x:c r="B83" t="n">
        <x:v>1</x:v>
      </x:c>
      <x:c r="C83" s="68" t="n">
        <x:v>46270.989583333336</x:v>
      </x:c>
      <x:c r="D83" s="71" t="str">
        <x:v>post</x:v>
      </x:c>
      <x:c r="E83" s="72" t="b">
        <x:v>1</x:v>
      </x:c>
      <x:c r="F83" t="str">
        <x:v>Florida Atlantic Owls</x:v>
      </x:c>
      <x:c r="G83" t="str">
        <x:v>FAU</x:v>
      </x:c>
      <x:c r="H83" s="69" t="n">
        <x:v>21</x:v>
      </x:c>
      <x:c r="I83" t="str">
        <x:v>0-1</x:v>
      </x:c>
      <x:c r="J83" t="str">
        <x:f>IF(E83&lt;&gt;TRUE,"",IF(H83&gt;M83,"W",IF(H83&lt;M83,"L","T")))</x:f>
        <x:v>L</x:v>
      </x:c>
      <x:c r="K83" t="str">
        <x:v>Florida Gators</x:v>
      </x:c>
      <x:c r="L83" t="str">
        <x:v>FLA</x:v>
      </x:c>
      <x:c r="M83" s="69" t="n">
        <x:v>66</x:v>
      </x:c>
      <x:c r="N83" t="str">
        <x:v>1-0</x:v>
      </x:c>
      <x:c r="O83" t="str">
        <x:f>IF(E83&lt;&gt;TRUE,"",IF(M83&gt;H83,"W",IF(M83&lt;H83,"L","T")))</x:f>
        <x:v>W</x:v>
      </x:c>
      <x:c r="P83" s="66" t="b">
        <x:v>0</x:v>
      </x:c>
      <x:c r="Q83" s="66" t="b">
        <x:v>0</x:v>
      </x:c>
      <x:c r="R83" t="str">
        <x:v>Ben Hill Griffin Stadium</x:v>
      </x:c>
      <x:c r="S83" t="str">
        <x:v>SEC Network</x:v>
      </x:c>
      <x:c r="T83"/>
      <x:c r="U83" s="70"/>
      <x:c r="V83" s="70"/>
      <x:c r="W83"/>
      <x:c r="X83" t="str">
        <x:v>https://www.espn.com/college-football/game/_/gameId/401856637</x:v>
      </x:c>
    </x:row>
    <x:row r="84">
      <x:c r="A84" t="str">
        <x:v>CFB</x:v>
      </x:c>
      <x:c r="B84" t="n">
        <x:v>1</x:v>
      </x:c>
      <x:c r="C84" s="68" t="n">
        <x:v>46270.989583333336</x:v>
      </x:c>
      <x:c r="D84" s="71" t="str">
        <x:v>post</x:v>
      </x:c>
      <x:c r="E84" s="72" t="b">
        <x:v>1</x:v>
      </x:c>
      <x:c r="F84" t="str">
        <x:v>Murray State Racers</x:v>
      </x:c>
      <x:c r="G84" t="str">
        <x:v>MUR</x:v>
      </x:c>
      <x:c r="H84" s="69" t="n">
        <x:v>14</x:v>
      </x:c>
      <x:c r="I84" t="str">
        <x:v>0-2</x:v>
      </x:c>
      <x:c r="J84" t="str">
        <x:f>IF(E84&lt;&gt;TRUE,"",IF(H84&gt;M84,"W",IF(H84&lt;M84,"L","T")))</x:f>
        <x:v>L</x:v>
      </x:c>
      <x:c r="K84" t="str">
        <x:v>Middle Tennessee Blue Raiders</x:v>
      </x:c>
      <x:c r="L84" t="str">
        <x:v>MTSU</x:v>
      </x:c>
      <x:c r="M84" s="69" t="n">
        <x:v>38</x:v>
      </x:c>
      <x:c r="N84" t="str">
        <x:v>1-0</x:v>
      </x:c>
      <x:c r="O84" t="str">
        <x:f>IF(E84&lt;&gt;TRUE,"",IF(M84&gt;H84,"W",IF(M84&lt;H84,"L","T")))</x:f>
        <x:v>W</x:v>
      </x:c>
      <x:c r="P84" s="66" t="b">
        <x:v>0</x:v>
      </x:c>
      <x:c r="Q84" s="66" t="b">
        <x:v>0</x:v>
      </x:c>
      <x:c r="R84" t="str">
        <x:v>Johnny "Red" Floyd Stadium</x:v>
      </x:c>
      <x:c r="S84" t="str">
        <x:v>ESPN+</x:v>
      </x:c>
      <x:c r="T84"/>
      <x:c r="U84" s="70"/>
      <x:c r="V84" s="70"/>
      <x:c r="W84"/>
      <x:c r="X84" t="str">
        <x:v>https://www.espn.com/college-football/game/_/gameId/401867866</x:v>
      </x:c>
    </x:row>
    <x:row r="85">
      <x:c r="A85" t="str">
        <x:v>CFB</x:v>
      </x:c>
      <x:c r="B85" t="n">
        <x:v>1</x:v>
      </x:c>
      <x:c r="C85" s="68" t="n">
        <x:v>46271</x:v>
      </x:c>
      <x:c r="D85" s="71" t="str">
        <x:v>post</x:v>
      </x:c>
      <x:c r="E85" s="72" t="b">
        <x:v>1</x:v>
      </x:c>
      <x:c r="F85" t="str">
        <x:v>Utah Tech Trailblazers</x:v>
      </x:c>
      <x:c r="G85" t="str">
        <x:v>UTU</x:v>
      </x:c>
      <x:c r="H85" s="69" t="n">
        <x:v>7</x:v>
      </x:c>
      <x:c r="I85" t="str">
        <x:v>0-2</x:v>
      </x:c>
      <x:c r="J85" t="str">
        <x:f>IF(E85&lt;&gt;TRUE,"",IF(H85&gt;M85,"W",IF(H85&lt;M85,"L","T")))</x:f>
        <x:v>L</x:v>
      </x:c>
      <x:c r="K85" t="str">
        <x:v>BYU Cougars</x:v>
      </x:c>
      <x:c r="L85" t="str">
        <x:v>BYU</x:v>
      </x:c>
      <x:c r="M85" s="69" t="n">
        <x:v>63</x:v>
      </x:c>
      <x:c r="N85" t="str">
        <x:v>1-0</x:v>
      </x:c>
      <x:c r="O85" t="str">
        <x:f>IF(E85&lt;&gt;TRUE,"",IF(M85&gt;H85,"W",IF(M85&lt;H85,"L","T")))</x:f>
        <x:v>W</x:v>
      </x:c>
      <x:c r="P85" s="66" t="b">
        <x:v>0</x:v>
      </x:c>
      <x:c r="Q85" s="66" t="b">
        <x:v>0</x:v>
      </x:c>
      <x:c r="R85" t="str">
        <x:v>LaVell Edwards Stadium</x:v>
      </x:c>
      <x:c r="S85" t="str">
        <x:v>ESPN+</x:v>
      </x:c>
      <x:c r="T85"/>
      <x:c r="U85" s="70"/>
      <x:c r="V85" s="70"/>
      <x:c r="W85"/>
      <x:c r="X85" t="str">
        <x:v>https://www.espn.com/college-football/game/_/gameId/401856775</x:v>
      </x:c>
    </x:row>
    <x:row r="86">
      <x:c r="A86" t="str">
        <x:v>CFB</x:v>
      </x:c>
      <x:c r="B86" t="n">
        <x:v>1</x:v>
      </x:c>
      <x:c r="C86" s="68" t="n">
        <x:v>46271</x:v>
      </x:c>
      <x:c r="D86" s="71" t="str">
        <x:v>post</x:v>
      </x:c>
      <x:c r="E86" s="72" t="b">
        <x:v>1</x:v>
      </x:c>
      <x:c r="F86" t="str">
        <x:v>Hampton Pirates</x:v>
      </x:c>
      <x:c r="G86" t="str">
        <x:v>HAMP</x:v>
      </x:c>
      <x:c r="H86" s="69" t="n">
        <x:v>0</x:v>
      </x:c>
      <x:c r="I86" t="str">
        <x:v>1-1</x:v>
      </x:c>
      <x:c r="J86" t="str">
        <x:f>IF(E86&lt;&gt;TRUE,"",IF(H86&gt;M86,"W",IF(H86&lt;M86,"L","T")))</x:f>
        <x:v>L</x:v>
      </x:c>
      <x:c r="K86" t="str">
        <x:v>Maryland Terrapins</x:v>
      </x:c>
      <x:c r="L86" t="str">
        <x:v>MD</x:v>
      </x:c>
      <x:c r="M86" s="69" t="n">
        <x:v>62</x:v>
      </x:c>
      <x:c r="N86" t="str">
        <x:v>1-0</x:v>
      </x:c>
      <x:c r="O86" t="str">
        <x:f>IF(E86&lt;&gt;TRUE,"",IF(M86&gt;H86,"W",IF(M86&lt;H86,"L","T")))</x:f>
        <x:v>W</x:v>
      </x:c>
      <x:c r="P86" s="66" t="b">
        <x:v>0</x:v>
      </x:c>
      <x:c r="Q86" s="66" t="b">
        <x:v>0</x:v>
      </x:c>
      <x:c r="R86" t="str">
        <x:v>SECU Stadium</x:v>
      </x:c>
      <x:c r="S86" t="str">
        <x:v>BTN</x:v>
      </x:c>
      <x:c r="T86"/>
      <x:c r="U86" s="70"/>
      <x:c r="V86" s="70"/>
      <x:c r="W86"/>
      <x:c r="X86" t="str">
        <x:v>https://www.espn.com/college-football/game/_/gameId/401858427</x:v>
      </x:c>
    </x:row>
    <x:row r="87">
      <x:c r="A87" t="str">
        <x:v>CFB</x:v>
      </x:c>
      <x:c r="B87" t="n">
        <x:v>1</x:v>
      </x:c>
      <x:c r="C87" s="68" t="n">
        <x:v>46271</x:v>
      </x:c>
      <x:c r="D87" s="71" t="str">
        <x:v>post</x:v>
      </x:c>
      <x:c r="E87" s="72" t="b">
        <x:v>1</x:v>
      </x:c>
      <x:c r="F87" t="str">
        <x:v>South Dakota State Jackrabbits</x:v>
      </x:c>
      <x:c r="G87" t="str">
        <x:v>SDST</x:v>
      </x:c>
      <x:c r="H87" s="69" t="n">
        <x:v>18</x:v>
      </x:c>
      <x:c r="I87" t="str">
        <x:v>1-1</x:v>
      </x:c>
      <x:c r="J87" t="str">
        <x:f>IF(E87&lt;&gt;TRUE,"",IF(H87&gt;M87,"W",IF(H87&lt;M87,"L","T")))</x:f>
        <x:v>L</x:v>
      </x:c>
      <x:c r="K87" t="str">
        <x:v>Northwestern Wildcats</x:v>
      </x:c>
      <x:c r="L87" t="str">
        <x:v>NU</x:v>
      </x:c>
      <x:c r="M87" s="69" t="n">
        <x:v>34</x:v>
      </x:c>
      <x:c r="N87" t="str">
        <x:v>1-0</x:v>
      </x:c>
      <x:c r="O87" t="str">
        <x:f>IF(E87&lt;&gt;TRUE,"",IF(M87&gt;H87,"W",IF(M87&lt;H87,"L","T")))</x:f>
        <x:v>W</x:v>
      </x:c>
      <x:c r="P87" s="66" t="b">
        <x:v>0</x:v>
      </x:c>
      <x:c r="Q87" s="66" t="b">
        <x:v>0</x:v>
      </x:c>
      <x:c r="R87" t="str">
        <x:v>Northwestern Medicine Field at Martin Stadium</x:v>
      </x:c>
      <x:c r="S87" t="str">
        <x:v>BTN</x:v>
      </x:c>
      <x:c r="T87"/>
      <x:c r="U87" s="70"/>
      <x:c r="V87" s="70"/>
      <x:c r="W87"/>
      <x:c r="X87" t="str">
        <x:v>https://www.espn.com/college-football/game/_/gameId/401858431</x:v>
      </x:c>
    </x:row>
    <x:row r="88">
      <x:c r="A88" t="str">
        <x:v>CFB</x:v>
      </x:c>
      <x:c r="B88" t="n">
        <x:v>1</x:v>
      </x:c>
      <x:c r="C88" s="68" t="n">
        <x:v>46271</x:v>
      </x:c>
      <x:c r="D88" s="71" t="str">
        <x:v>post</x:v>
      </x:c>
      <x:c r="E88" s="72" t="b">
        <x:v>1</x:v>
      </x:c>
      <x:c r="F88" t="str">
        <x:v>Lamar Cardinals</x:v>
      </x:c>
      <x:c r="G88" t="str">
        <x:v>LAM</x:v>
      </x:c>
      <x:c r="H88" s="69" t="n">
        <x:v>7</x:v>
      </x:c>
      <x:c r="I88" t="str">
        <x:v>1-1</x:v>
      </x:c>
      <x:c r="J88" t="str">
        <x:f>IF(E88&lt;&gt;TRUE,"",IF(H88&gt;M88,"W",IF(H88&lt;M88,"L","T")))</x:f>
        <x:v>L</x:v>
      </x:c>
      <x:c r="K88" t="str">
        <x:v>Louisiana Ragin' Cajuns</x:v>
      </x:c>
      <x:c r="L88" t="str">
        <x:v>UL</x:v>
      </x:c>
      <x:c r="M88" s="69" t="n">
        <x:v>38</x:v>
      </x:c>
      <x:c r="N88" t="str">
        <x:v>1-0</x:v>
      </x:c>
      <x:c r="O88" t="str">
        <x:f>IF(E88&lt;&gt;TRUE,"",IF(M88&gt;H88,"W",IF(M88&lt;H88,"L","T")))</x:f>
        <x:v>W</x:v>
      </x:c>
      <x:c r="P88" s="66" t="b">
        <x:v>0</x:v>
      </x:c>
      <x:c r="Q88" s="66" t="b">
        <x:v>0</x:v>
      </x:c>
      <x:c r="R88" t="str">
        <x:v>Our Lady of Lourdes Stadium</x:v>
      </x:c>
      <x:c r="S88" t="str">
        <x:v>ESPN+</x:v>
      </x:c>
      <x:c r="T88"/>
      <x:c r="U88" s="70"/>
      <x:c r="V88" s="70"/>
      <x:c r="W88"/>
      <x:c r="X88" t="str">
        <x:v>https://www.espn.com/college-football/game/_/gameId/401869142</x:v>
      </x:c>
    </x:row>
    <x:row r="89">
      <x:c r="A89" t="str">
        <x:v>CFB</x:v>
      </x:c>
      <x:c r="B89" t="n">
        <x:v>1</x:v>
      </x:c>
      <x:c r="C89" s="68" t="n">
        <x:v>46271.041666666664</x:v>
      </x:c>
      <x:c r="D89" s="71" t="str">
        <x:v>post</x:v>
      </x:c>
      <x:c r="E89" s="72" t="b">
        <x:v>1</x:v>
      </x:c>
      <x:c r="F89" t="str">
        <x:v>Mercyhurst Lakers</x:v>
      </x:c>
      <x:c r="G89" t="str">
        <x:v>MERC</x:v>
      </x:c>
      <x:c r="H89" s="69" t="n">
        <x:v>14</x:v>
      </x:c>
      <x:c r="I89" t="str">
        <x:v>0-2</x:v>
      </x:c>
      <x:c r="J89" t="str">
        <x:f>IF(E89&lt;&gt;TRUE,"",IF(H89&gt;M89,"W",IF(H89&lt;M89,"L","T")))</x:f>
        <x:v>L</x:v>
      </x:c>
      <x:c r="K89" t="str">
        <x:v>New Mexico State Aggies</x:v>
      </x:c>
      <x:c r="L89" t="str">
        <x:v>NMSU</x:v>
      </x:c>
      <x:c r="M89" s="69" t="n">
        <x:v>51</x:v>
      </x:c>
      <x:c r="N89" t="str">
        <x:v>1-1</x:v>
      </x:c>
      <x:c r="O89" t="str">
        <x:f>IF(E89&lt;&gt;TRUE,"",IF(M89&gt;H89,"W",IF(M89&lt;H89,"L","T")))</x:f>
        <x:v>W</x:v>
      </x:c>
      <x:c r="P89" s="66" t="b">
        <x:v>0</x:v>
      </x:c>
      <x:c r="Q89" s="66" t="b">
        <x:v>0</x:v>
      </x:c>
      <x:c r="R89" t="str">
        <x:v>Aggie Memorial Stadium</x:v>
      </x:c>
      <x:c r="S89" t="str">
        <x:v>ESPN+</x:v>
      </x:c>
      <x:c r="T89"/>
      <x:c r="U89" s="70"/>
      <x:c r="V89" s="70"/>
      <x:c r="W89"/>
      <x:c r="X89" t="str">
        <x:v>https://www.espn.com/college-football/game/_/gameId/401870790</x:v>
      </x:c>
    </x:row>
    <x:row r="90">
      <x:c r="A90" t="str">
        <x:v>CFB</x:v>
      </x:c>
      <x:c r="B90" t="n">
        <x:v>1</x:v>
      </x:c>
      <x:c r="C90" s="68" t="n">
        <x:v>46271.0625</x:v>
      </x:c>
      <x:c r="D90" s="71" t="str">
        <x:v>post</x:v>
      </x:c>
      <x:c r="E90" s="72" t="b">
        <x:v>1</x:v>
      </x:c>
      <x:c r="F90" t="str">
        <x:v>Northern Arizona Lumberjacks</x:v>
      </x:c>
      <x:c r="G90" t="str">
        <x:v>NAU</x:v>
      </x:c>
      <x:c r="H90" s="69" t="n">
        <x:v>7</x:v>
      </x:c>
      <x:c r="I90" t="str">
        <x:v>1-1</x:v>
      </x:c>
      <x:c r="J90" t="str">
        <x:f>IF(E90&lt;&gt;TRUE,"",IF(H90&gt;M90,"W",IF(H90&lt;M90,"L","T")))</x:f>
        <x:v>L</x:v>
      </x:c>
      <x:c r="K90" t="str">
        <x:v>Arizona Wildcats</x:v>
      </x:c>
      <x:c r="L90" t="str">
        <x:v>ARIZ</x:v>
      </x:c>
      <x:c r="M90" s="69" t="n">
        <x:v>35</x:v>
      </x:c>
      <x:c r="N90" t="str">
        <x:v>1-0</x:v>
      </x:c>
      <x:c r="O90" t="str">
        <x:f>IF(E90&lt;&gt;TRUE,"",IF(M90&gt;H90,"W",IF(M90&lt;H90,"L","T")))</x:f>
        <x:v>W</x:v>
      </x:c>
      <x:c r="P90" s="66" t="b">
        <x:v>0</x:v>
      </x:c>
      <x:c r="Q90" s="66" t="b">
        <x:v>0</x:v>
      </x:c>
      <x:c r="R90" t="str">
        <x:v>Casino Del Sol Stadium</x:v>
      </x:c>
      <x:c r="S90" t="str">
        <x:v>ESPN+</x:v>
      </x:c>
      <x:c r="T90"/>
      <x:c r="U90" s="70"/>
      <x:c r="V90" s="70"/>
      <x:c r="W90"/>
      <x:c r="X90" t="str">
        <x:v>https://www.espn.com/college-football/game/_/gameId/401856773</x:v>
      </x:c>
    </x:row>
    <x:row r="91">
      <x:c r="A91" t="str">
        <x:v>CFB</x:v>
      </x:c>
      <x:c r="B91" t="n">
        <x:v>1</x:v>
      </x:c>
      <x:c r="C91" s="68" t="n">
        <x:v>46271.0625</x:v>
      </x:c>
      <x:c r="D91" s="71" t="str">
        <x:v>post</x:v>
      </x:c>
      <x:c r="E91" s="72" t="b">
        <x:v>1</x:v>
      </x:c>
      <x:c r="F91" t="str">
        <x:v>Portland State Vikings</x:v>
      </x:c>
      <x:c r="G91" t="str">
        <x:v>PRST</x:v>
      </x:c>
      <x:c r="H91" s="69" t="n">
        <x:v>20</x:v>
      </x:c>
      <x:c r="I91" t="str">
        <x:v>0-2</x:v>
      </x:c>
      <x:c r="J91" t="str">
        <x:f>IF(E91&lt;&gt;TRUE,"",IF(H91&gt;M91,"W",IF(H91&lt;M91,"L","T")))</x:f>
        <x:v>L</x:v>
      </x:c>
      <x:c r="K91" t="str">
        <x:v>San Diego State Aztecs</x:v>
      </x:c>
      <x:c r="L91" t="str">
        <x:v>SDSU</x:v>
      </x:c>
      <x:c r="M91" s="69" t="n">
        <x:v>53</x:v>
      </x:c>
      <x:c r="N91" t="str">
        <x:v>1-0</x:v>
      </x:c>
      <x:c r="O91" t="str">
        <x:f>IF(E91&lt;&gt;TRUE,"",IF(M91&gt;H91,"W",IF(M91&lt;H91,"L","T")))</x:f>
        <x:v>W</x:v>
      </x:c>
      <x:c r="P91" s="66" t="b">
        <x:v>0</x:v>
      </x:c>
      <x:c r="Q91" s="66" t="b">
        <x:v>0</x:v>
      </x:c>
      <x:c r="R91" t="str">
        <x:v>Snapdragon Stadium</x:v>
      </x:c>
      <x:c r="S91" t="str">
        <x:v>USA Net</x:v>
      </x:c>
      <x:c r="T91"/>
      <x:c r="U91" s="70"/>
      <x:c r="V91" s="70"/>
      <x:c r="W91"/>
      <x:c r="X91" t="str">
        <x:v>https://www.espn.com/college-football/game/_/gameId/401860879</x:v>
      </x:c>
    </x:row>
    <x:row r="92">
      <x:c r="A92" t="str">
        <x:v>CFB</x:v>
      </x:c>
      <x:c r="B92" t="n">
        <x:v>1</x:v>
      </x:c>
      <x:c r="C92" s="68" t="n">
        <x:v>46271.069444444445</x:v>
      </x:c>
      <x:c r="D92" s="71" t="str">
        <x:v>post</x:v>
      </x:c>
      <x:c r="E92" s="72" t="b">
        <x:v>1</x:v>
      </x:c>
      <x:c r="F92" t="str">
        <x:v>Clemson Tigers</x:v>
      </x:c>
      <x:c r="G92" t="str">
        <x:v>CLEM</x:v>
      </x:c>
      <x:c r="H92" s="69" t="n">
        <x:v>10</x:v>
      </x:c>
      <x:c r="I92" t="str">
        <x:v>0-1</x:v>
      </x:c>
      <x:c r="J92" t="str">
        <x:f>IF(E92&lt;&gt;TRUE,"",IF(H92&gt;M92,"W",IF(H92&lt;M92,"L","T")))</x:f>
        <x:v>L</x:v>
      </x:c>
      <x:c r="K92" t="str">
        <x:v>LSU Tigers</x:v>
      </x:c>
      <x:c r="L92" t="str">
        <x:v>LSU</x:v>
      </x:c>
      <x:c r="M92" s="69" t="n">
        <x:v>51</x:v>
      </x:c>
      <x:c r="N92" t="str">
        <x:v>1-0</x:v>
      </x:c>
      <x:c r="O92" t="str">
        <x:f>IF(E92&lt;&gt;TRUE,"",IF(M92&gt;H92,"W",IF(M92&lt;H92,"L","T")))</x:f>
        <x:v>W</x:v>
      </x:c>
      <x:c r="P92" s="66" t="b">
        <x:v>0</x:v>
      </x:c>
      <x:c r="Q92" s="66" t="b">
        <x:v>0</x:v>
      </x:c>
      <x:c r="R92" t="str">
        <x:v>Tiger Stadium (LA)</x:v>
      </x:c>
      <x:c r="S92" t="str">
        <x:v>ABC</x:v>
      </x:c>
      <x:c r="T92"/>
      <x:c r="U92" s="70"/>
      <x:c r="V92" s="70"/>
      <x:c r="W92"/>
      <x:c r="X92" t="str">
        <x:v>https://www.espn.com/college-football/game/_/gameId/401856660</x:v>
      </x:c>
    </x:row>
    <x:row r="93">
      <x:c r="A93" t="str">
        <x:v>CFB</x:v>
      </x:c>
      <x:c r="B93" t="n">
        <x:v>1</x:v>
      </x:c>
      <x:c r="C93" s="68" t="n">
        <x:v>46271.083333333336</x:v>
      </x:c>
      <x:c r="D93" s="71" t="str">
        <x:v>post</x:v>
      </x:c>
      <x:c r="E93" s="72" t="b">
        <x:v>1</x:v>
      </x:c>
      <x:c r="F93" t="str">
        <x:v>Morgan State Bears</x:v>
      </x:c>
      <x:c r="G93" t="str">
        <x:v>MORG</x:v>
      </x:c>
      <x:c r="H93" s="69" t="n">
        <x:v>7</x:v>
      </x:c>
      <x:c r="I93" t="str">
        <x:v>1-1</x:v>
      </x:c>
      <x:c r="J93" t="str">
        <x:f>IF(E93&lt;&gt;TRUE,"",IF(H93&gt;M93,"W",IF(H93&lt;M93,"L","T")))</x:f>
        <x:v>L</x:v>
      </x:c>
      <x:c r="K93" t="str">
        <x:v>Arizona State Sun Devils</x:v>
      </x:c>
      <x:c r="L93" t="str">
        <x:v>ASU</x:v>
      </x:c>
      <x:c r="M93" s="69" t="n">
        <x:v>70</x:v>
      </x:c>
      <x:c r="N93" t="str">
        <x:v>1-0</x:v>
      </x:c>
      <x:c r="O93" t="str">
        <x:f>IF(E93&lt;&gt;TRUE,"",IF(M93&gt;H93,"W",IF(M93&lt;H93,"L","T")))</x:f>
        <x:v>W</x:v>
      </x:c>
      <x:c r="P93" s="66" t="b">
        <x:v>0</x:v>
      </x:c>
      <x:c r="Q93" s="66" t="b">
        <x:v>0</x:v>
      </x:c>
      <x:c r="R93" t="str">
        <x:v>Mountain America Stadium</x:v>
      </x:c>
      <x:c r="S93" t="str">
        <x:v>ESPN+</x:v>
      </x:c>
      <x:c r="T93"/>
      <x:c r="U93" s="70"/>
      <x:c r="V93" s="70"/>
      <x:c r="W93"/>
      <x:c r="X93" t="str">
        <x:v>https://www.espn.com/college-football/game/_/gameId/401856774</x:v>
      </x:c>
    </x:row>
    <x:row r="94">
      <x:c r="A94" t="str">
        <x:v>CFB</x:v>
      </x:c>
      <x:c r="B94" t="n">
        <x:v>1</x:v>
      </x:c>
      <x:c r="C94" s="68" t="n">
        <x:v>46271.083333333336</x:v>
      </x:c>
      <x:c r="D94" s="71" t="str">
        <x:v>post</x:v>
      </x:c>
      <x:c r="E94" s="72" t="b">
        <x:v>1</x:v>
      </x:c>
      <x:c r="F94" t="str">
        <x:v>UNLV Rebels</x:v>
      </x:c>
      <x:c r="G94" t="str">
        <x:v>UNLV</x:v>
      </x:c>
      <x:c r="H94" s="69" t="n">
        <x:v>21</x:v>
      </x:c>
      <x:c r="I94" t="str">
        <x:v>1-1</x:v>
      </x:c>
      <x:c r="J94" t="str">
        <x:f>IF(E94&lt;&gt;TRUE,"",IF(H94&gt;M94,"W",IF(H94&lt;M94,"L","T")))</x:f>
        <x:v>W</x:v>
      </x:c>
      <x:c r="K94" t="str">
        <x:v>Hawai'i Rainbow Warriors</x:v>
      </x:c>
      <x:c r="L94" t="str">
        <x:v>HAW</x:v>
      </x:c>
      <x:c r="M94" s="69" t="n">
        <x:v>6</x:v>
      </x:c>
      <x:c r="N94" t="str">
        <x:v>0-2</x:v>
      </x:c>
      <x:c r="O94" t="str">
        <x:f>IF(E94&lt;&gt;TRUE,"",IF(M94&gt;H94,"W",IF(M94&lt;H94,"L","T")))</x:f>
        <x:v>L</x:v>
      </x:c>
      <x:c r="P94" s="66" t="b">
        <x:v>0</x:v>
      </x:c>
      <x:c r="Q94" s="66" t="b">
        <x:v>1</x:v>
      </x:c>
      <x:c r="R94" t="str">
        <x:v>Clarence T.C. Ching Athletics Complex</x:v>
      </x:c>
      <x:c r="S94" t="str">
        <x:v>CW</x:v>
      </x:c>
      <x:c r="T94"/>
      <x:c r="U94" s="70"/>
      <x:c r="V94" s="70"/>
      <x:c r="W94"/>
      <x:c r="X94" t="str">
        <x:v>https://www.espn.com/college-football/game/_/gameId/401864497</x:v>
      </x:c>
    </x:row>
    <x:row r="95">
      <x:c r="A95" t="str">
        <x:v>CFB</x:v>
      </x:c>
      <x:c r="B95" t="n">
        <x:v>1</x:v>
      </x:c>
      <x:c r="C95" s="68" t="n">
        <x:v>46271.083333333336</x:v>
      </x:c>
      <x:c r="D95" s="71" t="str">
        <x:v>post</x:v>
      </x:c>
      <x:c r="E95" s="72" t="b">
        <x:v>1</x:v>
      </x:c>
      <x:c r="F95" t="str">
        <x:v>Central Michigan Chippewas</x:v>
      </x:c>
      <x:c r="G95" t="str">
        <x:v>CMU</x:v>
      </x:c>
      <x:c r="H95" s="69" t="n">
        <x:v>7</x:v>
      </x:c>
      <x:c r="I95" t="str">
        <x:v>0-1</x:v>
      </x:c>
      <x:c r="J95" t="str">
        <x:f>IF(E95&lt;&gt;TRUE,"",IF(H95&gt;M95,"W",IF(H95&lt;M95,"L","T")))</x:f>
        <x:v>L</x:v>
      </x:c>
      <x:c r="K95" t="str">
        <x:v>New Mexico Lobos</x:v>
      </x:c>
      <x:c r="L95" t="str">
        <x:v>UNM</x:v>
      </x:c>
      <x:c r="M95" s="69" t="n">
        <x:v>38</x:v>
      </x:c>
      <x:c r="N95" t="str">
        <x:v>1-0</x:v>
      </x:c>
      <x:c r="O95" t="str">
        <x:f>IF(E95&lt;&gt;TRUE,"",IF(M95&gt;H95,"W",IF(M95&lt;H95,"L","T")))</x:f>
        <x:v>W</x:v>
      </x:c>
      <x:c r="P95" s="66" t="b">
        <x:v>0</x:v>
      </x:c>
      <x:c r="Q95" s="66" t="b">
        <x:v>0</x:v>
      </x:c>
      <x:c r="R95" t="str">
        <x:v>University Stadium (NM)</x:v>
      </x:c>
      <x:c r="S95" t="str">
        <x:v>FS1</x:v>
      </x:c>
      <x:c r="T95"/>
      <x:c r="U95" s="70"/>
      <x:c r="V95" s="70"/>
      <x:c r="W95"/>
      <x:c r="X95" t="str">
        <x:v>https://www.espn.com/college-football/game/_/gameId/401864498</x:v>
      </x:c>
    </x:row>
    <x:row r="96">
      <x:c r="A96" t="str">
        <x:v>CFB</x:v>
      </x:c>
      <x:c r="B96" t="n">
        <x:v>1</x:v>
      </x:c>
      <x:c r="C96" s="68" t="n">
        <x:v>46271.083333333336</x:v>
      </x:c>
      <x:c r="D96" s="71" t="str">
        <x:v>post</x:v>
      </x:c>
      <x:c r="E96" s="72" t="b">
        <x:v>1</x:v>
      </x:c>
      <x:c r="F96" t="str">
        <x:v>Mississippi Valley State Delta Devils</x:v>
      </x:c>
      <x:c r="G96" t="str">
        <x:v>MVSU</x:v>
      </x:c>
      <x:c r="H96" s="69" t="n">
        <x:v>0</x:v>
      </x:c>
      <x:c r="I96" t="str">
        <x:v>0-2</x:v>
      </x:c>
      <x:c r="J96" t="str">
        <x:f>IF(E96&lt;&gt;TRUE,"",IF(H96&gt;M96,"W",IF(H96&lt;M96,"L","T")))</x:f>
        <x:v>L</x:v>
      </x:c>
      <x:c r="K96" t="str">
        <x:v>Sacramento State Hornets</x:v>
      </x:c>
      <x:c r="L96" t="str">
        <x:v>SAC</x:v>
      </x:c>
      <x:c r="M96" s="69" t="n">
        <x:v>52</x:v>
      </x:c>
      <x:c r="N96" t="str">
        <x:v>1-1</x:v>
      </x:c>
      <x:c r="O96" t="str">
        <x:f>IF(E96&lt;&gt;TRUE,"",IF(M96&gt;H96,"W",IF(M96&lt;H96,"L","T")))</x:f>
        <x:v>W</x:v>
      </x:c>
      <x:c r="P96" s="66" t="b">
        <x:v>0</x:v>
      </x:c>
      <x:c r="Q96" s="66" t="b">
        <x:v>0</x:v>
      </x:c>
      <x:c r="R96" t="str">
        <x:v>Hornet Stadium</x:v>
      </x:c>
      <x:c r="S96" t="str">
        <x:v>ESPN+</x:v>
      </x:c>
      <x:c r="T96"/>
      <x:c r="U96" s="70"/>
      <x:c r="V96" s="70"/>
      <x:c r="W96"/>
      <x:c r="X96" t="str">
        <x:v>https://www.espn.com/college-football/game/_/gameId/401866411</x:v>
      </x:c>
    </x:row>
    <x:row r="97">
      <x:c r="A97" t="str">
        <x:v>CFB</x:v>
      </x:c>
      <x:c r="B97" t="n">
        <x:v>1</x:v>
      </x:c>
      <x:c r="C97" s="68" t="n">
        <x:v>46271.104166666664</x:v>
      </x:c>
      <x:c r="D97" s="71" t="str">
        <x:v>post</x:v>
      </x:c>
      <x:c r="E97" s="72" t="b">
        <x:v>1</x:v>
      </x:c>
      <x:c r="F97" t="str">
        <x:v>UCLA Bruins</x:v>
      </x:c>
      <x:c r="G97" t="str">
        <x:v>UCLA</x:v>
      </x:c>
      <x:c r="H97" s="69" t="n">
        <x:v>45</x:v>
      </x:c>
      <x:c r="I97" t="str">
        <x:v>1-0</x:v>
      </x:c>
      <x:c r="J97" t="str">
        <x:f>IF(E97&lt;&gt;TRUE,"",IF(H97&gt;M97,"W",IF(H97&lt;M97,"L","T")))</x:f>
        <x:v>W</x:v>
      </x:c>
      <x:c r="K97" t="str">
        <x:v>California Golden Bears</x:v>
      </x:c>
      <x:c r="L97" t="str">
        <x:v>CAL</x:v>
      </x:c>
      <x:c r="M97" s="69" t="n">
        <x:v>24</x:v>
      </x:c>
      <x:c r="N97" t="str">
        <x:v>0-1</x:v>
      </x:c>
      <x:c r="O97" t="str">
        <x:f>IF(E97&lt;&gt;TRUE,"",IF(M97&gt;H97,"W",IF(M97&lt;H97,"L","T")))</x:f>
        <x:v>L</x:v>
      </x:c>
      <x:c r="P97" s="66" t="b">
        <x:v>0</x:v>
      </x:c>
      <x:c r="Q97" s="66" t="b">
        <x:v>0</x:v>
      </x:c>
      <x:c r="R97" t="str">
        <x:v>California Memorial Stadium</x:v>
      </x:c>
      <x:c r="S97" t="str">
        <x:v>ESPN</x:v>
      </x:c>
      <x:c r="T97"/>
      <x:c r="U97" s="70"/>
      <x:c r="V97" s="70"/>
      <x:c r="W97"/>
      <x:c r="X97" t="str">
        <x:v>https://www.espn.com/college-football/game/_/gameId/401858210</x:v>
      </x:c>
    </x:row>
    <x:row r="98">
      <x:c r="A98" t="str">
        <x:v>CFB</x:v>
      </x:c>
      <x:c r="B98" t="n">
        <x:v>1</x:v>
      </x:c>
      <x:c r="C98" s="68" t="n">
        <x:v>46271.104166666664</x:v>
      </x:c>
      <x:c r="D98" s="71" t="str">
        <x:v>post</x:v>
      </x:c>
      <x:c r="E98" s="72" t="b">
        <x:v>1</x:v>
      </x:c>
      <x:c r="F98" t="str">
        <x:v>Western Kentucky Hilltoppers</x:v>
      </x:c>
      <x:c r="G98" t="str">
        <x:v>WKU</x:v>
      </x:c>
      <x:c r="H98" s="69" t="n">
        <x:v>14</x:v>
      </x:c>
      <x:c r="I98" t="str">
        <x:v>0-1</x:v>
      </x:c>
      <x:c r="J98" t="str">
        <x:f>IF(E98&lt;&gt;TRUE,"",IF(H98&gt;M98,"W",IF(H98&lt;M98,"L","T")))</x:f>
        <x:v>L</x:v>
      </x:c>
      <x:c r="K98" t="str">
        <x:v>Nevada Wolf Pack</x:v>
      </x:c>
      <x:c r="L98" t="str">
        <x:v>NEV</x:v>
      </x:c>
      <x:c r="M98" s="69" t="n">
        <x:v>49</x:v>
      </x:c>
      <x:c r="N98" t="str">
        <x:v>1-0</x:v>
      </x:c>
      <x:c r="O98" t="str">
        <x:f>IF(E98&lt;&gt;TRUE,"",IF(M98&gt;H98,"W",IF(M98&lt;H98,"L","T")))</x:f>
        <x:v>W</x:v>
      </x:c>
      <x:c r="P98" s="66" t="b">
        <x:v>0</x:v>
      </x:c>
      <x:c r="Q98" s="66" t="b">
        <x:v>0</x:v>
      </x:c>
      <x:c r="R98" t="str">
        <x:v>Mackay Stadium</x:v>
      </x:c>
      <x:c r="S98" t="str">
        <x:v>CBSSN</x:v>
      </x:c>
      <x:c r="T98"/>
      <x:c r="U98" s="70"/>
      <x:c r="V98" s="70"/>
      <x:c r="W98"/>
      <x:c r="X98" t="str">
        <x:v>https://www.espn.com/college-football/game/_/gameId/401864432</x:v>
      </x:c>
    </x:row>
    <x:row r="99">
      <x:c r="A99" t="str">
        <x:v>CFB</x:v>
      </x:c>
      <x:c r="B99" t="n">
        <x:v>1</x:v>
      </x:c>
      <x:c r="C99" s="68" t="n">
        <x:v>46271.833333333336</x:v>
      </x:c>
      <x:c r="D99" s="71" t="str">
        <x:v>post</x:v>
      </x:c>
      <x:c r="E99" s="72" t="b">
        <x:v>1</x:v>
      </x:c>
      <x:c r="F99" t="str">
        <x:v>Washington State Cougars</x:v>
      </x:c>
      <x:c r="G99" t="str">
        <x:v>WSU</x:v>
      </x:c>
      <x:c r="H99" s="69" t="n">
        <x:v>10</x:v>
      </x:c>
      <x:c r="I99" t="str">
        <x:v>0-1</x:v>
      </x:c>
      <x:c r="J99" t="str">
        <x:f>IF(E99&lt;&gt;TRUE,"",IF(H99&gt;M99,"W",IF(H99&lt;M99,"L","T")))</x:f>
        <x:v>L</x:v>
      </x:c>
      <x:c r="K99" t="str">
        <x:v>Washington Huskies</x:v>
      </x:c>
      <x:c r="L99" t="str">
        <x:v>WASH</x:v>
      </x:c>
      <x:c r="M99" s="69" t="n">
        <x:v>24</x:v>
      </x:c>
      <x:c r="N99" t="str">
        <x:v>1-0</x:v>
      </x:c>
      <x:c r="O99" t="str">
        <x:f>IF(E99&lt;&gt;TRUE,"",IF(M99&gt;H99,"W",IF(M99&lt;H99,"L","T")))</x:f>
        <x:v>W</x:v>
      </x:c>
      <x:c r="P99" s="66" t="b">
        <x:v>0</x:v>
      </x:c>
      <x:c r="Q99" s="66" t="b">
        <x:v>0</x:v>
      </x:c>
      <x:c r="R99" t="str">
        <x:v>Husky Stadium</x:v>
      </x:c>
      <x:c r="S99" t="str">
        <x:v>NBC</x:v>
      </x:c>
      <x:c r="T99"/>
      <x:c r="U99" s="70"/>
      <x:c r="V99" s="70"/>
      <x:c r="W99"/>
      <x:c r="X99" t="str">
        <x:v>https://www.espn.com/college-football/game/_/gameId/401858437</x:v>
      </x:c>
    </x:row>
    <x:row r="100">
      <x:c r="A100" t="str">
        <x:v>CFB</x:v>
      </x:c>
      <x:c r="B100" t="n">
        <x:v>1</x:v>
      </x:c>
      <x:c r="C100" s="68" t="n">
        <x:v>46271.979166666664</x:v>
      </x:c>
      <x:c r="D100" s="71" t="str">
        <x:v>post</x:v>
      </x:c>
      <x:c r="E100" s="72" t="b">
        <x:v>1</x:v>
      </x:c>
      <x:c r="F100" t="str">
        <x:v>Louisville Cardinals</x:v>
      </x:c>
      <x:c r="G100" t="str">
        <x:v>LOU</x:v>
      </x:c>
      <x:c r="H100" s="69" t="n">
        <x:v>38</x:v>
      </x:c>
      <x:c r="I100" t="str">
        <x:v>0-1</x:v>
      </x:c>
      <x:c r="J100" t="str">
        <x:f>IF(E100&lt;&gt;TRUE,"",IF(H100&gt;M100,"W",IF(H100&lt;M100,"L","T")))</x:f>
        <x:v>L</x:v>
      </x:c>
      <x:c r="K100" t="str">
        <x:v>Ole Miss Rebels</x:v>
      </x:c>
      <x:c r="L100" t="str">
        <x:v>MISS</x:v>
      </x:c>
      <x:c r="M100" s="69" t="n">
        <x:v>41</x:v>
      </x:c>
      <x:c r="N100" t="str">
        <x:v>1-0</x:v>
      </x:c>
      <x:c r="O100" t="str">
        <x:f>IF(E100&lt;&gt;TRUE,"",IF(M100&gt;H100,"W",IF(M100&lt;H100,"L","T")))</x:f>
        <x:v>W</x:v>
      </x:c>
      <x:c r="P100" s="66" t="b">
        <x:v>1</x:v>
      </x:c>
      <x:c r="Q100" s="66" t="b">
        <x:v>0</x:v>
      </x:c>
      <x:c r="R100" t="str">
        <x:v>Nissan Stadium</x:v>
      </x:c>
      <x:c r="S100" t="str">
        <x:v>ABC</x:v>
      </x:c>
      <x:c r="T100"/>
      <x:c r="U100" s="70"/>
      <x:c r="V100" s="70"/>
      <x:c r="W100"/>
      <x:c r="X100" t="str">
        <x:v>https://www.espn.com/college-football/game/_/gameId/401856661</x:v>
      </x:c>
    </x:row>
    <x:row r="101">
      <x:c r="A101" t="str">
        <x:v>CFB</x:v>
      </x:c>
      <x:c r="B101" t="n">
        <x:v>1</x:v>
      </x:c>
      <x:c r="C101" s="68" t="n">
        <x:v>46271.979166666664</x:v>
      </x:c>
      <x:c r="D101" s="71" t="str">
        <x:v>post</x:v>
      </x:c>
      <x:c r="E101" s="72" t="b">
        <x:v>1</x:v>
      </x:c>
      <x:c r="F101" t="str">
        <x:v>Wisconsin Badgers</x:v>
      </x:c>
      <x:c r="G101" t="str">
        <x:v>WIS</x:v>
      </x:c>
      <x:c r="H101" s="69" t="n">
        <x:v>13</x:v>
      </x:c>
      <x:c r="I101" t="str">
        <x:v>0-1</x:v>
      </x:c>
      <x:c r="J101" t="str">
        <x:f>IF(E101&lt;&gt;TRUE,"",IF(H101&gt;M101,"W",IF(H101&lt;M101,"L","T")))</x:f>
        <x:v>L</x:v>
      </x:c>
      <x:c r="K101" t="str">
        <x:v>Notre Dame Fighting Irish</x:v>
      </x:c>
      <x:c r="L101" t="str">
        <x:v>ND</x:v>
      </x:c>
      <x:c r="M101" s="69" t="n">
        <x:v>41</x:v>
      </x:c>
      <x:c r="N101" t="str">
        <x:v>1-0</x:v>
      </x:c>
      <x:c r="O101" t="str">
        <x:f>IF(E101&lt;&gt;TRUE,"",IF(M101&gt;H101,"W",IF(M101&lt;H101,"L","T")))</x:f>
        <x:v>W</x:v>
      </x:c>
      <x:c r="P101" s="66" t="b">
        <x:v>1</x:v>
      </x:c>
      <x:c r="Q101" s="66" t="b">
        <x:v>0</x:v>
      </x:c>
      <x:c r="R101" t="str">
        <x:v>Lambeau Field</x:v>
      </x:c>
      <x:c r="S101" t="str">
        <x:v>NBC</x:v>
      </x:c>
      <x:c r="T101"/>
      <x:c r="U101" s="70"/>
      <x:c r="V101" s="70"/>
      <x:c r="W101"/>
      <x:c r="X101" t="str">
        <x:v>https://www.espn.com/college-football/game/_/gameId/401858438</x:v>
      </x:c>
    </x:row>
    <x:row r="102">
      <x:c r="A102" t="str">
        <x:v>CFB</x:v>
      </x:c>
      <x:c r="B102" t="n">
        <x:v>1</x:v>
      </x:c>
      <x:c r="C102" s="68" t="n">
        <x:v>46272.979166666664</x:v>
      </x:c>
      <x:c r="D102" s="71" t="str">
        <x:v>post</x:v>
      </x:c>
      <x:c r="E102" s="72" t="b">
        <x:v>1</x:v>
      </x:c>
      <x:c r="F102" t="str">
        <x:v>SMU Mustangs</x:v>
      </x:c>
      <x:c r="G102" t="str">
        <x:v>SMU</x:v>
      </x:c>
      <x:c r="H102" s="69" t="n">
        <x:v>27</x:v>
      </x:c>
      <x:c r="I102" t="str">
        <x:v>1-0</x:v>
      </x:c>
      <x:c r="J102" t="str">
        <x:f>IF(E102&lt;&gt;TRUE,"",IF(H102&gt;M102,"W",IF(H102&lt;M102,"L","T")))</x:f>
        <x:v>W</x:v>
      </x:c>
      <x:c r="K102" t="str">
        <x:v>Florida State Seminoles</x:v>
      </x:c>
      <x:c r="L102" t="str">
        <x:v>FSU</x:v>
      </x:c>
      <x:c r="M102" s="69" t="n">
        <x:v>24</x:v>
      </x:c>
      <x:c r="N102" t="str">
        <x:v>1-1</x:v>
      </x:c>
      <x:c r="O102" t="str">
        <x:f>IF(E102&lt;&gt;TRUE,"",IF(M102&gt;H102,"W",IF(M102&lt;H102,"L","T")))</x:f>
        <x:v>L</x:v>
      </x:c>
      <x:c r="P102" s="66" t="b">
        <x:v>0</x:v>
      </x:c>
      <x:c r="Q102" s="66" t="b">
        <x:v>1</x:v>
      </x:c>
      <x:c r="R102" t="str">
        <x:v>Doak Campbell Stadium</x:v>
      </x:c>
      <x:c r="S102" t="str">
        <x:v>ESPN</x:v>
      </x:c>
      <x:c r="T102"/>
      <x:c r="U102" s="70"/>
      <x:c r="V102" s="70"/>
      <x:c r="W102"/>
      <x:c r="X102" t="str">
        <x:v>https://www.espn.com/college-football/game/_/gameId/401858212</x:v>
      </x:c>
    </x:row>
    <x:row r="103">
      <x:c r="A103" t="str">
        <x:v>CFB</x:v>
      </x:c>
      <x:c r="B103" t="n">
        <x:v>2</x:v>
      </x:c>
      <x:c r="C103" s="68" t="n">
        <x:v>46276</x:v>
      </x:c>
      <x:c r="D103" s="71" t="str">
        <x:v>post</x:v>
      </x:c>
      <x:c r="E103" s="72" t="b">
        <x:v>1</x:v>
      </x:c>
      <x:c r="F103" t="str">
        <x:v>Florida A&amp;M Rattlers</x:v>
      </x:c>
      <x:c r="G103" t="str">
        <x:v>FAMU</x:v>
      </x:c>
      <x:c r="H103" s="69" t="n">
        <x:v>7</x:v>
      </x:c>
      <x:c r="I103" t="str">
        <x:v>1-2</x:v>
      </x:c>
      <x:c r="J103" t="str">
        <x:f>IF(E103&lt;&gt;TRUE,"",IF(H103&gt;M103,"W",IF(H103&lt;M103,"L","T")))</x:f>
        <x:v>L</x:v>
      </x:c>
      <x:c r="K103" t="str">
        <x:v>Miami Hurricanes</x:v>
      </x:c>
      <x:c r="L103" t="str">
        <x:v>MIA</x:v>
      </x:c>
      <x:c r="M103" s="69" t="n">
        <x:v>77</x:v>
      </x:c>
      <x:c r="N103" t="str">
        <x:v>2-0</x:v>
      </x:c>
      <x:c r="O103" t="str">
        <x:f>IF(E103&lt;&gt;TRUE,"",IF(M103&gt;H103,"W",IF(M103&lt;H103,"L","T")))</x:f>
        <x:v>W</x:v>
      </x:c>
      <x:c r="P103" s="66" t="b">
        <x:v>0</x:v>
      </x:c>
      <x:c r="Q103" s="66" t="b">
        <x:v>0</x:v>
      </x:c>
      <x:c r="R103" t="str">
        <x:v>Hard Rock Stadium</x:v>
      </x:c>
      <x:c r="S103" t="str">
        <x:v>ACC Network</x:v>
      </x:c>
      <x:c r="T103"/>
      <x:c r="U103" s="70"/>
      <x:c r="V103" s="70"/>
      <x:c r="W103"/>
      <x:c r="X103" t="str">
        <x:v>https://www.espn.com/college-football/game/_/gameId/401858213</x:v>
      </x:c>
    </x:row>
    <x:row r="104">
      <x:c r="A104" t="str">
        <x:v>CFB</x:v>
      </x:c>
      <x:c r="B104" t="n">
        <x:v>2</x:v>
      </x:c>
      <x:c r="C104" s="68" t="n">
        <x:v>46276.958333333336</x:v>
      </x:c>
      <x:c r="D104" s="71" t="str">
        <x:v>post</x:v>
      </x:c>
      <x:c r="E104" s="72" t="b">
        <x:v>1</x:v>
      </x:c>
      <x:c r="F104" t="str">
        <x:v>Villanova Wildcats</x:v>
      </x:c>
      <x:c r="G104" t="str">
        <x:v>VILL</x:v>
      </x:c>
      <x:c r="H104" s="69" t="n">
        <x:v>13</x:v>
      </x:c>
      <x:c r="I104" t="str">
        <x:v>1-2</x:v>
      </x:c>
      <x:c r="J104" t="str">
        <x:f>IF(E104&lt;&gt;TRUE,"",IF(H104&gt;M104,"W",IF(H104&lt;M104,"L","T")))</x:f>
        <x:v>L</x:v>
      </x:c>
      <x:c r="K104" t="str">
        <x:v>Louisville Cardinals</x:v>
      </x:c>
      <x:c r="L104" t="str">
        <x:v>LOU</x:v>
      </x:c>
      <x:c r="M104" s="69" t="n">
        <x:v>59</x:v>
      </x:c>
      <x:c r="N104" t="str">
        <x:v>1-1</x:v>
      </x:c>
      <x:c r="O104" t="str">
        <x:f>IF(E104&lt;&gt;TRUE,"",IF(M104&gt;H104,"W",IF(M104&lt;H104,"L","T")))</x:f>
        <x:v>W</x:v>
      </x:c>
      <x:c r="P104" s="66" t="b">
        <x:v>0</x:v>
      </x:c>
      <x:c r="Q104" s="66" t="b">
        <x:v>0</x:v>
      </x:c>
      <x:c r="R104" t="str">
        <x:v>L&amp;N Federal Credit Union Stadium</x:v>
      </x:c>
      <x:c r="S104" t="str">
        <x:v>ACC Network</x:v>
      </x:c>
      <x:c r="T104"/>
      <x:c r="U104" s="70"/>
      <x:c r="V104" s="70"/>
      <x:c r="W104"/>
      <x:c r="X104" t="str">
        <x:v>https://www.espn.com/college-football/game/_/gameId/401858215</x:v>
      </x:c>
    </x:row>
    <x:row r="105">
      <x:c r="A105" t="str">
        <x:v>CFB</x:v>
      </x:c>
      <x:c r="B105" t="n">
        <x:v>2</x:v>
      </x:c>
      <x:c r="C105" s="68" t="n">
        <x:v>46276.958333333336</x:v>
      </x:c>
      <x:c r="D105" s="71" t="str">
        <x:v>post</x:v>
      </x:c>
      <x:c r="E105" s="72" t="b">
        <x:v>1</x:v>
      </x:c>
      <x:c r="F105" t="str">
        <x:v>Norfolk State Spartans</x:v>
      </x:c>
      <x:c r="G105" t="str">
        <x:v>NORF</x:v>
      </x:c>
      <x:c r="H105" s="69" t="n">
        <x:v>3</x:v>
      </x:c>
      <x:c r="I105" t="str">
        <x:v>1-2</x:v>
      </x:c>
      <x:c r="J105" t="str">
        <x:f>IF(E105&lt;&gt;TRUE,"",IF(H105&gt;M105,"W",IF(H105&lt;M105,"L","T")))</x:f>
        <x:v>L</x:v>
      </x:c>
      <x:c r="K105" t="str">
        <x:v>Virginia Cavaliers</x:v>
      </x:c>
      <x:c r="L105" t="str">
        <x:v>UVA</x:v>
      </x:c>
      <x:c r="M105" s="69" t="n">
        <x:v>59</x:v>
      </x:c>
      <x:c r="N105" t="str">
        <x:v>2-0</x:v>
      </x:c>
      <x:c r="O105" t="str">
        <x:f>IF(E105&lt;&gt;TRUE,"",IF(M105&gt;H105,"W",IF(M105&lt;H105,"L","T")))</x:f>
        <x:v>W</x:v>
      </x:c>
      <x:c r="P105" s="66" t="b">
        <x:v>0</x:v>
      </x:c>
      <x:c r="Q105" s="66" t="b">
        <x:v>0</x:v>
      </x:c>
      <x:c r="R105" t="str">
        <x:v>Scott Stadium</x:v>
      </x:c>
      <x:c r="S105" t="str">
        <x:v>ACCNX</x:v>
      </x:c>
      <x:c r="T105"/>
      <x:c r="U105" s="70"/>
      <x:c r="V105" s="70"/>
      <x:c r="W105"/>
      <x:c r="X105" t="str">
        <x:v>https://www.espn.com/college-football/game/_/gameId/401858220</x:v>
      </x:c>
    </x:row>
    <x:row r="106">
      <x:c r="A106" t="str">
        <x:v>CFB</x:v>
      </x:c>
      <x:c r="B106" t="n">
        <x:v>2</x:v>
      </x:c>
      <x:c r="C106" s="68" t="n">
        <x:v>46276.958333333336</x:v>
      </x:c>
      <x:c r="D106" s="71" t="str">
        <x:v>post</x:v>
      </x:c>
      <x:c r="E106" s="72" t="b">
        <x:v>1</x:v>
      </x:c>
      <x:c r="F106" t="str">
        <x:v>Richmond Spiders</x:v>
      </x:c>
      <x:c r="G106" t="str">
        <x:v>RICH</x:v>
      </x:c>
      <x:c r="H106" s="69" t="n">
        <x:v>0</x:v>
      </x:c>
      <x:c r="I106" t="str">
        <x:v>2-1</x:v>
      </x:c>
      <x:c r="J106" t="str">
        <x:f>IF(E106&lt;&gt;TRUE,"",IF(H106&gt;M106,"W",IF(H106&lt;M106,"L","T")))</x:f>
        <x:v>L</x:v>
      </x:c>
      <x:c r="K106" t="str">
        <x:v>NC State Wolfpack</x:v>
      </x:c>
      <x:c r="L106" t="str">
        <x:v>NCSU</x:v>
      </x:c>
      <x:c r="M106" s="69" t="n">
        <x:v>73</x:v>
      </x:c>
      <x:c r="N106" t="str">
        <x:v>1-1</x:v>
      </x:c>
      <x:c r="O106" t="str">
        <x:f>IF(E106&lt;&gt;TRUE,"",IF(M106&gt;H106,"W",IF(M106&lt;H106,"L","T")))</x:f>
        <x:v>W</x:v>
      </x:c>
      <x:c r="P106" s="66" t="b">
        <x:v>0</x:v>
      </x:c>
      <x:c r="Q106" s="66" t="b">
        <x:v>0</x:v>
      </x:c>
      <x:c r="R106" t="str">
        <x:v>Carter-Finley Stadium</x:v>
      </x:c>
      <x:c r="S106" t="str">
        <x:v>ESPNU</x:v>
      </x:c>
      <x:c r="T106"/>
      <x:c r="U106" s="70"/>
      <x:c r="V106" s="70"/>
      <x:c r="W106"/>
      <x:c r="X106" t="str">
        <x:v>https://www.espn.com/college-football/game/_/gameId/401858222</x:v>
      </x:c>
    </x:row>
    <x:row r="107">
      <x:c r="A107" t="str">
        <x:v>CFB</x:v>
      </x:c>
      <x:c r="B107" t="n">
        <x:v>2</x:v>
      </x:c>
      <x:c r="C107" s="68" t="n">
        <x:v>46276.979166666664</x:v>
      </x:c>
      <x:c r="D107" s="71" t="str">
        <x:v>post</x:v>
      </x:c>
      <x:c r="E107" s="72" t="b">
        <x:v>1</x:v>
      </x:c>
      <x:c r="F107" t="str">
        <x:v>Rutgers Scarlet Knights</x:v>
      </x:c>
      <x:c r="G107" t="str">
        <x:v>RUTG</x:v>
      </x:c>
      <x:c r="H107" s="69" t="n">
        <x:v>21</x:v>
      </x:c>
      <x:c r="I107" t="str">
        <x:v>0-2</x:v>
      </x:c>
      <x:c r="J107" t="str">
        <x:f>IF(E107&lt;&gt;TRUE,"",IF(H107&gt;M107,"W",IF(H107&lt;M107,"L","T")))</x:f>
        <x:v>L</x:v>
      </x:c>
      <x:c r="K107" t="str">
        <x:v>Boston College Eagles</x:v>
      </x:c>
      <x:c r="L107" t="str">
        <x:v>BC</x:v>
      </x:c>
      <x:c r="M107" s="69" t="n">
        <x:v>28</x:v>
      </x:c>
      <x:c r="N107" t="str">
        <x:v>1-1</x:v>
      </x:c>
      <x:c r="O107" t="str">
        <x:f>IF(E107&lt;&gt;TRUE,"",IF(M107&gt;H107,"W",IF(M107&lt;H107,"L","T")))</x:f>
        <x:v>W</x:v>
      </x:c>
      <x:c r="P107" s="66" t="b">
        <x:v>0</x:v>
      </x:c>
      <x:c r="Q107" s="66" t="b">
        <x:v>0</x:v>
      </x:c>
      <x:c r="R107" t="str">
        <x:v>Alumni Stadium (Chestnut Hill, MA)</x:v>
      </x:c>
      <x:c r="S107" t="str">
        <x:v>ESPN2</x:v>
      </x:c>
      <x:c r="T107"/>
      <x:c r="U107" s="70"/>
      <x:c r="V107" s="70"/>
      <x:c r="W107"/>
      <x:c r="X107" t="str">
        <x:v>https://www.espn.com/college-football/game/_/gameId/401858214</x:v>
      </x:c>
    </x:row>
    <x:row r="108">
      <x:c r="A108" t="str">
        <x:v>CFB</x:v>
      </x:c>
      <x:c r="B108" t="n">
        <x:v>2</x:v>
      </x:c>
      <x:c r="C108" s="68" t="n">
        <x:v>46277</x:v>
      </x:c>
      <x:c r="D108" s="71" t="str">
        <x:v>post</x:v>
      </x:c>
      <x:c r="E108" s="72" t="b">
        <x:v>1</x:v>
      </x:c>
      <x:c r="F108" t="str">
        <x:v>Missouri Tigers</x:v>
      </x:c>
      <x:c r="G108" t="str">
        <x:v>MIZ</x:v>
      </x:c>
      <x:c r="H108" s="69" t="n">
        <x:v>38</x:v>
      </x:c>
      <x:c r="I108" t="str">
        <x:v>2-0</x:v>
      </x:c>
      <x:c r="J108" t="str">
        <x:f>IF(E108&lt;&gt;TRUE,"",IF(H108&gt;M108,"W",IF(H108&lt;M108,"L","T")))</x:f>
        <x:v>W</x:v>
      </x:c>
      <x:c r="K108" t="str">
        <x:v>Kansas Jayhawks</x:v>
      </x:c>
      <x:c r="L108" t="str">
        <x:v>KU</x:v>
      </x:c>
      <x:c r="M108" s="69" t="n">
        <x:v>21</x:v>
      </x:c>
      <x:c r="N108" t="str">
        <x:v>1-1</x:v>
      </x:c>
      <x:c r="O108" t="str">
        <x:f>IF(E108&lt;&gt;TRUE,"",IF(M108&gt;H108,"W",IF(M108&lt;H108,"L","T")))</x:f>
        <x:v>L</x:v>
      </x:c>
      <x:c r="P108" s="66" t="b">
        <x:v>0</x:v>
      </x:c>
      <x:c r="Q108" s="66" t="b">
        <x:v>0</x:v>
      </x:c>
      <x:c r="R108" t="str">
        <x:v>David Booth Kansas Memorial Stadium</x:v>
      </x:c>
      <x:c r="S108" t="str">
        <x:v>FOX</x:v>
      </x:c>
      <x:c r="T108"/>
      <x:c r="U108" s="70"/>
      <x:c r="V108" s="70"/>
      <x:c r="W108"/>
      <x:c r="X108" t="str">
        <x:v>https://www.espn.com/college-football/game/_/gameId/401856678</x:v>
      </x:c>
    </x:row>
    <x:row r="109">
      <x:c r="A109" t="str">
        <x:v>CFB</x:v>
      </x:c>
      <x:c r="B109" t="n">
        <x:v>2</x:v>
      </x:c>
      <x:c r="C109" s="68" t="n">
        <x:v>46277.666666666664</x:v>
      </x:c>
      <x:c r="D109" s="71" t="str">
        <x:v>post</x:v>
      </x:c>
      <x:c r="E109" s="72" t="b">
        <x:v>1</x:v>
      </x:c>
      <x:c r="F109" t="str">
        <x:v>Oklahoma Sooners</x:v>
      </x:c>
      <x:c r="G109" t="str">
        <x:v>OU</x:v>
      </x:c>
      <x:c r="H109" s="69" t="n">
        <x:v>10</x:v>
      </x:c>
      <x:c r="I109" t="str">
        <x:v>1-1</x:v>
      </x:c>
      <x:c r="J109" t="str">
        <x:f>IF(E109&lt;&gt;TRUE,"",IF(H109&gt;M109,"W",IF(H109&lt;M109,"L","T")))</x:f>
        <x:v>L</x:v>
      </x:c>
      <x:c r="K109" t="str">
        <x:v>Michigan Wolverines</x:v>
      </x:c>
      <x:c r="L109" t="str">
        <x:v>MICH</x:v>
      </x:c>
      <x:c r="M109" s="69" t="n">
        <x:v>17</x:v>
      </x:c>
      <x:c r="N109" t="str">
        <x:v>2-0</x:v>
      </x:c>
      <x:c r="O109" t="str">
        <x:f>IF(E109&lt;&gt;TRUE,"",IF(M109&gt;H109,"W",IF(M109&lt;H109,"L","T")))</x:f>
        <x:v>W</x:v>
      </x:c>
      <x:c r="P109" s="66" t="b">
        <x:v>0</x:v>
      </x:c>
      <x:c r="Q109" s="66" t="b">
        <x:v>0</x:v>
      </x:c>
      <x:c r="R109" t="str">
        <x:v>Michigan Stadium</x:v>
      </x:c>
      <x:c r="S109" t="str">
        <x:v>FOX</x:v>
      </x:c>
      <x:c r="T109"/>
      <x:c r="U109" s="70"/>
      <x:c r="V109" s="70"/>
      <x:c r="W109"/>
      <x:c r="X109" t="str">
        <x:v>https://www.espn.com/college-football/game/_/gameId/401856679</x:v>
      </x:c>
    </x:row>
    <x:row r="110">
      <x:c r="A110" t="str">
        <x:v>CFB</x:v>
      </x:c>
      <x:c r="B110" t="n">
        <x:v>2</x:v>
      </x:c>
      <x:c r="C110" s="68" t="n">
        <x:v>46277.666666666664</x:v>
      </x:c>
      <x:c r="D110" s="71" t="str">
        <x:v>post</x:v>
      </x:c>
      <x:c r="E110" s="72" t="b">
        <x:v>1</x:v>
      </x:c>
      <x:c r="F110" t="str">
        <x:v>Arizona State Sun Devils</x:v>
      </x:c>
      <x:c r="G110" t="str">
        <x:v>ASU</x:v>
      </x:c>
      <x:c r="H110" s="69" t="n">
        <x:v>20</x:v>
      </x:c>
      <x:c r="I110" t="str">
        <x:v>1-1</x:v>
      </x:c>
      <x:c r="J110" t="str">
        <x:f>IF(E110&lt;&gt;TRUE,"",IF(H110&gt;M110,"W",IF(H110&lt;M110,"L","T")))</x:f>
        <x:v>L</x:v>
      </x:c>
      <x:c r="K110" t="str">
        <x:v>Texas A&amp;M Aggies</x:v>
      </x:c>
      <x:c r="L110" t="str">
        <x:v>TA&amp;M</x:v>
      </x:c>
      <x:c r="M110" s="69" t="n">
        <x:v>48</x:v>
      </x:c>
      <x:c r="N110" t="str">
        <x:v>2-0</x:v>
      </x:c>
      <x:c r="O110" t="str">
        <x:f>IF(E110&lt;&gt;TRUE,"",IF(M110&gt;H110,"W",IF(M110&lt;H110,"L","T")))</x:f>
        <x:v>W</x:v>
      </x:c>
      <x:c r="P110" s="66" t="b">
        <x:v>0</x:v>
      </x:c>
      <x:c r="Q110" s="66" t="b">
        <x:v>0</x:v>
      </x:c>
      <x:c r="R110" t="str">
        <x:v>Kyle Field</x:v>
      </x:c>
      <x:c r="S110" t="str">
        <x:v>ABC</x:v>
      </x:c>
      <x:c r="T110"/>
      <x:c r="U110" s="70"/>
      <x:c r="V110" s="70"/>
      <x:c r="W110"/>
      <x:c r="X110" t="str">
        <x:v>https://www.espn.com/college-football/game/_/gameId/401856683</x:v>
      </x:c>
    </x:row>
    <x:row r="111">
      <x:c r="A111" t="str">
        <x:v>CFB</x:v>
      </x:c>
      <x:c r="B111" t="n">
        <x:v>2</x:v>
      </x:c>
      <x:c r="C111" s="68" t="n">
        <x:v>46277.666666666664</x:v>
      </x:c>
      <x:c r="D111" s="71" t="str">
        <x:v>post</x:v>
      </x:c>
      <x:c r="E111" s="72" t="b">
        <x:v>1</x:v>
      </x:c>
      <x:c r="F111" t="str">
        <x:v>Washington State Cougars</x:v>
      </x:c>
      <x:c r="G111" t="str">
        <x:v>WSU</x:v>
      </x:c>
      <x:c r="H111" s="69" t="n">
        <x:v>7</x:v>
      </x:c>
      <x:c r="I111" t="str">
        <x:v>0-2</x:v>
      </x:c>
      <x:c r="J111" t="str">
        <x:f>IF(E111&lt;&gt;TRUE,"",IF(H111&gt;M111,"W",IF(H111&lt;M111,"L","T")))</x:f>
        <x:v>L</x:v>
      </x:c>
      <x:c r="K111" t="str">
        <x:v>Kansas State Wildcats</x:v>
      </x:c>
      <x:c r="L111" t="str">
        <x:v>KSU</x:v>
      </x:c>
      <x:c r="M111" s="69" t="n">
        <x:v>34</x:v>
      </x:c>
      <x:c r="N111" t="str">
        <x:v>2-0</x:v>
      </x:c>
      <x:c r="O111" t="str">
        <x:f>IF(E111&lt;&gt;TRUE,"",IF(M111&gt;H111,"W",IF(M111&lt;H111,"L","T")))</x:f>
        <x:v>W</x:v>
      </x:c>
      <x:c r="P111" s="66" t="b">
        <x:v>0</x:v>
      </x:c>
      <x:c r="Q111" s="66" t="b">
        <x:v>0</x:v>
      </x:c>
      <x:c r="R111" t="str">
        <x:v>Bill Snyder Family Stadium</x:v>
      </x:c>
      <x:c r="S111" t="str">
        <x:v>TNT</x:v>
      </x:c>
      <x:c r="T111"/>
      <x:c r="U111" s="70"/>
      <x:c r="V111" s="70"/>
      <x:c r="W111"/>
      <x:c r="X111" t="str">
        <x:v>https://www.espn.com/college-football/game/_/gameId/401856781</x:v>
      </x:c>
    </x:row>
    <x:row r="112">
      <x:c r="A112" t="str">
        <x:v>CFB</x:v>
      </x:c>
      <x:c r="B112" t="n">
        <x:v>2</x:v>
      </x:c>
      <x:c r="C112" s="68" t="n">
        <x:v>46277.666666666664</x:v>
      </x:c>
      <x:c r="D112" s="71" t="str">
        <x:v>post</x:v>
      </x:c>
      <x:c r="E112" s="72" t="b">
        <x:v>1</x:v>
      </x:c>
      <x:c r="F112" t="str">
        <x:v>East Tennessee State Buccaneers</x:v>
      </x:c>
      <x:c r="G112" t="str">
        <x:v>ETSU</x:v>
      </x:c>
      <x:c r="H112" s="69" t="n">
        <x:v>3</x:v>
      </x:c>
      <x:c r="I112" t="str">
        <x:v>1-2</x:v>
      </x:c>
      <x:c r="J112" t="str">
        <x:f>IF(E112&lt;&gt;TRUE,"",IF(H112&gt;M112,"W",IF(H112&lt;M112,"L","T")))</x:f>
        <x:v>L</x:v>
      </x:c>
      <x:c r="K112" t="str">
        <x:v>North Carolina Tar Heels</x:v>
      </x:c>
      <x:c r="L112" t="str">
        <x:v>UNC</x:v>
      </x:c>
      <x:c r="M112" s="69" t="n">
        <x:v>35</x:v>
      </x:c>
      <x:c r="N112" t="str">
        <x:v>2-0</x:v>
      </x:c>
      <x:c r="O112" t="str">
        <x:f>IF(E112&lt;&gt;TRUE,"",IF(M112&gt;H112,"W",IF(M112&lt;H112,"L","T")))</x:f>
        <x:v>W</x:v>
      </x:c>
      <x:c r="P112" s="66" t="b">
        <x:v>0</x:v>
      </x:c>
      <x:c r="Q112" s="66" t="b">
        <x:v>0</x:v>
      </x:c>
      <x:c r="R112" t="str">
        <x:v>Kenan Stadium</x:v>
      </x:c>
      <x:c r="S112" t="str">
        <x:v>ACCNX</x:v>
      </x:c>
      <x:c r="T112"/>
      <x:c r="U112" s="70"/>
      <x:c r="V112" s="70"/>
      <x:c r="W112"/>
      <x:c r="X112" t="str">
        <x:v>https://www.espn.com/college-football/game/_/gameId/401858218</x:v>
      </x:c>
    </x:row>
    <x:row r="113">
      <x:c r="A113" t="str">
        <x:v>CFB</x:v>
      </x:c>
      <x:c r="B113" t="n">
        <x:v>2</x:v>
      </x:c>
      <x:c r="C113" s="68" t="n">
        <x:v>46277.666666666664</x:v>
      </x:c>
      <x:c r="D113" s="71" t="str">
        <x:v>post</x:v>
      </x:c>
      <x:c r="E113" s="72" t="b">
        <x:v>1</x:v>
      </x:c>
      <x:c r="F113" t="str">
        <x:v>Old Dominion Monarchs</x:v>
      </x:c>
      <x:c r="G113" t="str">
        <x:v>ODU</x:v>
      </x:c>
      <x:c r="H113" s="69" t="n">
        <x:v>21</x:v>
      </x:c>
      <x:c r="I113" t="str">
        <x:v>1-1</x:v>
      </x:c>
      <x:c r="J113" t="str">
        <x:f>IF(E113&lt;&gt;TRUE,"",IF(H113&gt;M113,"W",IF(H113&lt;M113,"L","T")))</x:f>
        <x:v>L</x:v>
      </x:c>
      <x:c r="K113" t="str">
        <x:v>Virginia Tech Hokies</x:v>
      </x:c>
      <x:c r="L113" t="str">
        <x:v>VT</x:v>
      </x:c>
      <x:c r="M113" s="69" t="n">
        <x:v>44</x:v>
      </x:c>
      <x:c r="N113" t="str">
        <x:v>2-0</x:v>
      </x:c>
      <x:c r="O113" t="str">
        <x:f>IF(E113&lt;&gt;TRUE,"",IF(M113&gt;H113,"W",IF(M113&lt;H113,"L","T")))</x:f>
        <x:v>W</x:v>
      </x:c>
      <x:c r="P113" s="66" t="b">
        <x:v>0</x:v>
      </x:c>
      <x:c r="Q113" s="66" t="b">
        <x:v>0</x:v>
      </x:c>
      <x:c r="R113" t="str">
        <x:v>Lane Stadium</x:v>
      </x:c>
      <x:c r="S113" t="str">
        <x:v>CW</x:v>
      </x:c>
      <x:c r="T113"/>
      <x:c r="U113" s="70"/>
      <x:c r="V113" s="70"/>
      <x:c r="W113"/>
      <x:c r="X113" t="str">
        <x:v>https://www.espn.com/college-football/game/_/gameId/401858221</x:v>
      </x:c>
    </x:row>
    <x:row r="114">
      <x:c r="A114" t="str">
        <x:v>CFB</x:v>
      </x:c>
      <x:c r="B114" t="n">
        <x:v>2</x:v>
      </x:c>
      <x:c r="C114" s="68" t="n">
        <x:v>46277.666666666664</x:v>
      </x:c>
      <x:c r="D114" s="71" t="str">
        <x:v>post</x:v>
      </x:c>
      <x:c r="E114" s="72" t="b">
        <x:v>1</x:v>
      </x:c>
      <x:c r="F114" t="str">
        <x:v>Wake Forest Demon Deacons</x:v>
      </x:c>
      <x:c r="G114" t="str">
        <x:v>WAKE</x:v>
      </x:c>
      <x:c r="H114" s="69" t="n">
        <x:v>38</x:v>
      </x:c>
      <x:c r="I114" t="str">
        <x:v>2-0</x:v>
      </x:c>
      <x:c r="J114" t="str">
        <x:f>IF(E114&lt;&gt;TRUE,"",IF(H114&gt;M114,"W",IF(H114&lt;M114,"L","T")))</x:f>
        <x:v>W</x:v>
      </x:c>
      <x:c r="K114" t="str">
        <x:v>Purdue Boilermakers</x:v>
      </x:c>
      <x:c r="L114" t="str">
        <x:v>PUR</x:v>
      </x:c>
      <x:c r="M114" s="69" t="n">
        <x:v>36</x:v>
      </x:c>
      <x:c r="N114" t="str">
        <x:v>1-1</x:v>
      </x:c>
      <x:c r="O114" t="str">
        <x:f>IF(E114&lt;&gt;TRUE,"",IF(M114&gt;H114,"W",IF(M114&lt;H114,"L","T")))</x:f>
        <x:v>L</x:v>
      </x:c>
      <x:c r="P114" s="66" t="b">
        <x:v>0</x:v>
      </x:c>
      <x:c r="Q114" s="66" t="b">
        <x:v>0</x:v>
      </x:c>
      <x:c r="R114" t="str">
        <x:v>Ross-Ade Stadium</x:v>
      </x:c>
      <x:c r="S114" t="str">
        <x:v>FS1</x:v>
      </x:c>
      <x:c r="T114"/>
      <x:c r="U114" s="70"/>
      <x:c r="V114" s="70"/>
      <x:c r="W114"/>
      <x:c r="X114" t="str">
        <x:v>https://www.espn.com/college-football/game/_/gameId/401858224</x:v>
      </x:c>
    </x:row>
    <x:row r="115">
      <x:c r="A115" t="str">
        <x:v>CFB</x:v>
      </x:c>
      <x:c r="B115" t="n">
        <x:v>2</x:v>
      </x:c>
      <x:c r="C115" s="68" t="n">
        <x:v>46277.666666666664</x:v>
      </x:c>
      <x:c r="D115" s="71" t="str">
        <x:v>post</x:v>
      </x:c>
      <x:c r="E115" s="72" t="b">
        <x:v>1</x:v>
      </x:c>
      <x:c r="F115" t="str">
        <x:v>Howard Bison</x:v>
      </x:c>
      <x:c r="G115" t="str">
        <x:v>HOW</x:v>
      </x:c>
      <x:c r="H115" s="69" t="n">
        <x:v>0</x:v>
      </x:c>
      <x:c r="I115" t="str">
        <x:v>1-2</x:v>
      </x:c>
      <x:c r="J115" t="str">
        <x:f>IF(E115&lt;&gt;TRUE,"",IF(H115&gt;M115,"W",IF(H115&lt;M115,"L","T")))</x:f>
        <x:v>L</x:v>
      </x:c>
      <x:c r="K115" t="str">
        <x:v>Indiana Hoosiers</x:v>
      </x:c>
      <x:c r="L115" t="str">
        <x:v>IU</x:v>
      </x:c>
      <x:c r="M115" s="69" t="n">
        <x:v>55</x:v>
      </x:c>
      <x:c r="N115" t="str">
        <x:v>2-0</x:v>
      </x:c>
      <x:c r="O115" t="str">
        <x:f>IF(E115&lt;&gt;TRUE,"",IF(M115&gt;H115,"W",IF(M115&lt;H115,"L","T")))</x:f>
        <x:v>W</x:v>
      </x:c>
      <x:c r="P115" s="66" t="b">
        <x:v>0</x:v>
      </x:c>
      <x:c r="Q115" s="66" t="b">
        <x:v>0</x:v>
      </x:c>
      <x:c r="R115" t="str">
        <x:v>Memorial Stadium (Bloomington, IN)</x:v>
      </x:c>
      <x:c r="S115" t="str">
        <x:v>BTN</x:v>
      </x:c>
      <x:c r="T115"/>
      <x:c r="U115" s="70"/>
      <x:c r="V115" s="70"/>
      <x:c r="W115"/>
      <x:c r="X115" t="str">
        <x:v>https://www.espn.com/college-football/game/_/gameId/401858439</x:v>
      </x:c>
    </x:row>
    <x:row r="116">
      <x:c r="A116" t="str">
        <x:v>CFB</x:v>
      </x:c>
      <x:c r="B116" t="n">
        <x:v>2</x:v>
      </x:c>
      <x:c r="C116" s="68" t="n">
        <x:v>46277.666666666664</x:v>
      </x:c>
      <x:c r="D116" s="71" t="str">
        <x:v>post</x:v>
      </x:c>
      <x:c r="E116" s="72" t="b">
        <x:v>1</x:v>
      </x:c>
      <x:c r="F116" t="str">
        <x:v>Penn State Nittany Lions</x:v>
      </x:c>
      <x:c r="G116" t="str">
        <x:v>PSU</x:v>
      </x:c>
      <x:c r="H116" s="69" t="n">
        <x:v>27</x:v>
      </x:c>
      <x:c r="I116" t="str">
        <x:v>2-0</x:v>
      </x:c>
      <x:c r="J116" t="str">
        <x:f>IF(E116&lt;&gt;TRUE,"",IF(H116&gt;M116,"W",IF(H116&lt;M116,"L","T")))</x:f>
        <x:v>W</x:v>
      </x:c>
      <x:c r="K116" t="str">
        <x:v>Temple Owls</x:v>
      </x:c>
      <x:c r="L116" t="str">
        <x:v>TEM</x:v>
      </x:c>
      <x:c r="M116" s="69" t="n">
        <x:v>9</x:v>
      </x:c>
      <x:c r="N116" t="str">
        <x:v>1-1</x:v>
      </x:c>
      <x:c r="O116" t="str">
        <x:f>IF(E116&lt;&gt;TRUE,"",IF(M116&gt;H116,"W",IF(M116&lt;H116,"L","T")))</x:f>
        <x:v>L</x:v>
      </x:c>
      <x:c r="P116" s="66" t="b">
        <x:v>0</x:v>
      </x:c>
      <x:c r="Q116" s="66" t="b">
        <x:v>0</x:v>
      </x:c>
      <x:c r="R116" t="str">
        <x:v>Lincoln Financial Field</x:v>
      </x:c>
      <x:c r="S116" t="str">
        <x:v>ESPN2</x:v>
      </x:c>
      <x:c r="T116"/>
      <x:c r="U116" s="70"/>
      <x:c r="V116" s="70"/>
      <x:c r="W116"/>
      <x:c r="X116" t="str">
        <x:v>https://www.espn.com/college-football/game/_/gameId/401858442</x:v>
      </x:c>
    </x:row>
    <x:row r="117">
      <x:c r="A117" t="str">
        <x:v>CFB</x:v>
      </x:c>
      <x:c r="B117" t="n">
        <x:v>2</x:v>
      </x:c>
      <x:c r="C117" s="68" t="n">
        <x:v>46277.666666666664</x:v>
      </x:c>
      <x:c r="D117" s="71" t="str">
        <x:v>post</x:v>
      </x:c>
      <x:c r="E117" s="72" t="b">
        <x:v>1</x:v>
      </x:c>
      <x:c r="F117" t="str">
        <x:v>South Florida Bulls</x:v>
      </x:c>
      <x:c r="G117" t="str">
        <x:v>USF</x:v>
      </x:c>
      <x:c r="H117" s="69" t="n">
        <x:v>28</x:v>
      </x:c>
      <x:c r="I117" t="str">
        <x:v>2-0</x:v>
      </x:c>
      <x:c r="J117" t="str">
        <x:f>IF(E117&lt;&gt;TRUE,"",IF(H117&gt;M117,"W",IF(H117&lt;M117,"L","T")))</x:f>
        <x:v>W</x:v>
      </x:c>
      <x:c r="K117" t="str">
        <x:v>Army Black Knights</x:v>
      </x:c>
      <x:c r="L117" t="str">
        <x:v>ARMY</x:v>
      </x:c>
      <x:c r="M117" s="69" t="n">
        <x:v>24</x:v>
      </x:c>
      <x:c r="N117" t="str">
        <x:v>1-1</x:v>
      </x:c>
      <x:c r="O117" t="str">
        <x:f>IF(E117&lt;&gt;TRUE,"",IF(M117&gt;H117,"W",IF(M117&lt;H117,"L","T")))</x:f>
        <x:v>L</x:v>
      </x:c>
      <x:c r="P117" s="66" t="b">
        <x:v>0</x:v>
      </x:c>
      <x:c r="Q117" s="66" t="b">
        <x:v>1</x:v>
      </x:c>
      <x:c r="R117" t="str">
        <x:v>Michie Stadium</x:v>
      </x:c>
      <x:c r="S117" t="str">
        <x:v>CBSSN</x:v>
      </x:c>
      <x:c r="T117"/>
      <x:c r="U117" s="70"/>
      <x:c r="V117" s="70"/>
      <x:c r="W117"/>
      <x:c r="X117" t="str">
        <x:v>https://www.espn.com/college-football/game/_/gameId/401862702</x:v>
      </x:c>
    </x:row>
    <x:row r="118">
      <x:c r="A118" t="str">
        <x:v>CFB</x:v>
      </x:c>
      <x:c r="B118" t="n">
        <x:v>2</x:v>
      </x:c>
      <x:c r="C118" s="68" t="n">
        <x:v>46277.666666666664</x:v>
      </x:c>
      <x:c r="D118" s="71" t="str">
        <x:v>post</x:v>
      </x:c>
      <x:c r="E118" s="72" t="b">
        <x:v>1</x:v>
      </x:c>
      <x:c r="F118" t="str">
        <x:v>App State Mountaineers</x:v>
      </x:c>
      <x:c r="G118" t="str">
        <x:v>APP</x:v>
      </x:c>
      <x:c r="H118" s="69" t="n">
        <x:v>27</x:v>
      </x:c>
      <x:c r="I118" t="str">
        <x:v>2-0</x:v>
      </x:c>
      <x:c r="J118" t="str">
        <x:f>IF(E118&lt;&gt;TRUE,"",IF(H118&gt;M118,"W",IF(H118&lt;M118,"L","T")))</x:f>
        <x:v>W</x:v>
      </x:c>
      <x:c r="K118" t="str">
        <x:v>East Carolina Pirates</x:v>
      </x:c>
      <x:c r="L118" t="str">
        <x:v>ECU</x:v>
      </x:c>
      <x:c r="M118" s="69" t="n">
        <x:v>24</x:v>
      </x:c>
      <x:c r="N118" t="str">
        <x:v>0-2</x:v>
      </x:c>
      <x:c r="O118" t="str">
        <x:f>IF(E118&lt;&gt;TRUE,"",IF(M118&gt;H118,"W",IF(M118&lt;H118,"L","T")))</x:f>
        <x:v>L</x:v>
      </x:c>
      <x:c r="P118" s="66" t="b">
        <x:v>0</x:v>
      </x:c>
      <x:c r="Q118" s="66" t="b">
        <x:v>0</x:v>
      </x:c>
      <x:c r="R118" t="str">
        <x:v>Dowdy-Ficklen Stadium</x:v>
      </x:c>
      <x:c r="S118" t="str">
        <x:v>ESPNU</x:v>
      </x:c>
      <x:c r="T118"/>
      <x:c r="U118" s="70"/>
      <x:c r="V118" s="70"/>
      <x:c r="W118"/>
      <x:c r="X118" t="str">
        <x:v>https://www.espn.com/college-football/game/_/gameId/401864571</x:v>
      </x:c>
    </x:row>
    <x:row r="119">
      <x:c r="A119" t="str">
        <x:v>CFB</x:v>
      </x:c>
      <x:c r="B119" t="n">
        <x:v>2</x:v>
      </x:c>
      <x:c r="C119" s="68" t="n">
        <x:v>46277.666666666664</x:v>
      </x:c>
      <x:c r="D119" s="71" t="str">
        <x:v>post</x:v>
      </x:c>
      <x:c r="E119" s="72" t="b">
        <x:v>1</x:v>
      </x:c>
      <x:c r="F119" t="str">
        <x:v>Wofford Terriers</x:v>
      </x:c>
      <x:c r="G119" t="str">
        <x:v>WOF</x:v>
      </x:c>
      <x:c r="H119" s="69" t="n">
        <x:v>15</x:v>
      </x:c>
      <x:c r="I119" t="str">
        <x:v>2-1</x:v>
      </x:c>
      <x:c r="J119" t="str">
        <x:f>IF(E119&lt;&gt;TRUE,"",IF(H119&gt;M119,"W",IF(H119&lt;M119,"L","T")))</x:f>
        <x:v>L</x:v>
      </x:c>
      <x:c r="K119" t="str">
        <x:v>Kent State Golden Flashes</x:v>
      </x:c>
      <x:c r="L119" t="str">
        <x:v>KENT</x:v>
      </x:c>
      <x:c r="M119" s="69" t="n">
        <x:v>36</x:v>
      </x:c>
      <x:c r="N119" t="str">
        <x:v>1-1</x:v>
      </x:c>
      <x:c r="O119" t="str">
        <x:f>IF(E119&lt;&gt;TRUE,"",IF(M119&gt;H119,"W",IF(M119&lt;H119,"L","T")))</x:f>
        <x:v>W</x:v>
      </x:c>
      <x:c r="P119" s="66" t="b">
        <x:v>0</x:v>
      </x:c>
      <x:c r="Q119" s="66" t="b">
        <x:v>0</x:v>
      </x:c>
      <x:c r="R119" t="str">
        <x:v>Zoeller Field at Dix Stadium</x:v>
      </x:c>
      <x:c r="S119" t="str">
        <x:v>ESPN+</x:v>
      </x:c>
      <x:c r="T119"/>
      <x:c r="U119" s="70"/>
      <x:c r="V119" s="70"/>
      <x:c r="W119"/>
      <x:c r="X119" t="str">
        <x:v>https://www.espn.com/college-football/game/_/gameId/401866416</x:v>
      </x:c>
    </x:row>
    <x:row r="120">
      <x:c r="A120" t="str">
        <x:v>CFB</x:v>
      </x:c>
      <x:c r="B120" t="n">
        <x:v>2</x:v>
      </x:c>
      <x:c r="C120" s="68" t="n">
        <x:v>46277.666666666664</x:v>
      </x:c>
      <x:c r="D120" s="71" t="str">
        <x:v>post</x:v>
      </x:c>
      <x:c r="E120" s="72" t="b">
        <x:v>1</x:v>
      </x:c>
      <x:c r="F120" t="str">
        <x:v>Wagner Seahawks</x:v>
      </x:c>
      <x:c r="G120" t="str">
        <x:v>WAG</x:v>
      </x:c>
      <x:c r="H120" s="69" t="n">
        <x:v>3</x:v>
      </x:c>
      <x:c r="I120" t="str">
        <x:v>1-2</x:v>
      </x:c>
      <x:c r="J120" t="str">
        <x:f>IF(E120&lt;&gt;TRUE,"",IF(H120&gt;M120,"W",IF(H120&lt;M120,"L","T")))</x:f>
        <x:v>L</x:v>
      </x:c>
      <x:c r="K120" t="str">
        <x:v>James Madison Dukes</x:v>
      </x:c>
      <x:c r="L120" t="str">
        <x:v>JMU</x:v>
      </x:c>
      <x:c r="M120" s="69" t="n">
        <x:v>87</x:v>
      </x:c>
      <x:c r="N120" t="str">
        <x:v>2-0</x:v>
      </x:c>
      <x:c r="O120" t="str">
        <x:f>IF(E120&lt;&gt;TRUE,"",IF(M120&gt;H120,"W",IF(M120&lt;H120,"L","T")))</x:f>
        <x:v>W</x:v>
      </x:c>
      <x:c r="P120" s="66" t="b">
        <x:v>0</x:v>
      </x:c>
      <x:c r="Q120" s="66" t="b">
        <x:v>0</x:v>
      </x:c>
      <x:c r="R120" t="str">
        <x:v>Bridgeforth Stadium</x:v>
      </x:c>
      <x:c r="S120" t="str">
        <x:v>ESPN+</x:v>
      </x:c>
      <x:c r="T120"/>
      <x:c r="U120" s="70"/>
      <x:c r="V120" s="70"/>
      <x:c r="W120"/>
      <x:c r="X120" t="str">
        <x:v>https://www.espn.com/college-football/game/_/gameId/401867929</x:v>
      </x:c>
    </x:row>
    <x:row r="121">
      <x:c r="A121" t="str">
        <x:v>CFB</x:v>
      </x:c>
      <x:c r="B121" t="n">
        <x:v>2</x:v>
      </x:c>
      <x:c r="C121" s="68" t="n">
        <x:v>46277.666666666664</x:v>
      </x:c>
      <x:c r="D121" s="71" t="str">
        <x:v>post</x:v>
      </x:c>
      <x:c r="E121" s="72" t="b">
        <x:v>1</x:v>
      </x:c>
      <x:c r="F121" t="str">
        <x:v>Gardner-Webb Runnin' Bulldogs</x:v>
      </x:c>
      <x:c r="G121" t="str">
        <x:v>GWEB</x:v>
      </x:c>
      <x:c r="H121" s="69" t="n">
        <x:v>23</x:v>
      </x:c>
      <x:c r="I121" t="str">
        <x:v>0-3</x:v>
      </x:c>
      <x:c r="J121" t="str">
        <x:f>IF(E121&lt;&gt;TRUE,"",IF(H121&gt;M121,"W",IF(H121&lt;M121,"L","T")))</x:f>
        <x:v>L</x:v>
      </x:c>
      <x:c r="K121" t="str">
        <x:v>Liberty Flames</x:v>
      </x:c>
      <x:c r="L121" t="str">
        <x:v>LIB</x:v>
      </x:c>
      <x:c r="M121" s="69" t="n">
        <x:v>24</x:v>
      </x:c>
      <x:c r="N121" t="str">
        <x:v>1-1</x:v>
      </x:c>
      <x:c r="O121" t="str">
        <x:f>IF(E121&lt;&gt;TRUE,"",IF(M121&gt;H121,"W",IF(M121&lt;H121,"L","T")))</x:f>
        <x:v>W</x:v>
      </x:c>
      <x:c r="P121" s="66" t="b">
        <x:v>0</x:v>
      </x:c>
      <x:c r="Q121" s="66" t="b">
        <x:v>0</x:v>
      </x:c>
      <x:c r="R121" t="str">
        <x:v>Williams Stadium (VA)</x:v>
      </x:c>
      <x:c r="S121" t="str">
        <x:v>ESPN+</x:v>
      </x:c>
      <x:c r="T121"/>
      <x:c r="U121" s="70"/>
      <x:c r="V121" s="70"/>
      <x:c r="W121"/>
      <x:c r="X121" t="str">
        <x:v>https://www.espn.com/college-football/game/_/gameId/401868187</x:v>
      </x:c>
    </x:row>
    <x:row r="122">
      <x:c r="A122" t="str">
        <x:v>CFB</x:v>
      </x:c>
      <x:c r="B122" t="n">
        <x:v>2</x:v>
      </x:c>
      <x:c r="C122" s="68" t="n">
        <x:v>46277.697916666664</x:v>
      </x:c>
      <x:c r="D122" s="71" t="str">
        <x:v>post</x:v>
      </x:c>
      <x:c r="E122" s="72" t="b">
        <x:v>1</x:v>
      </x:c>
      <x:c r="F122" t="str">
        <x:v>Western Kentucky Hilltoppers</x:v>
      </x:c>
      <x:c r="G122" t="str">
        <x:v>WKU</x:v>
      </x:c>
      <x:c r="H122" s="69" t="n">
        <x:v>20</x:v>
      </x:c>
      <x:c r="I122" t="str">
        <x:v>0-2</x:v>
      </x:c>
      <x:c r="J122" t="str">
        <x:f>IF(E122&lt;&gt;TRUE,"",IF(H122&gt;M122,"W",IF(H122&lt;M122,"L","T")))</x:f>
        <x:v>L</x:v>
      </x:c>
      <x:c r="K122" t="str">
        <x:v>Georgia Bulldogs</x:v>
      </x:c>
      <x:c r="L122" t="str">
        <x:v>UGA</x:v>
      </x:c>
      <x:c r="M122" s="69" t="n">
        <x:v>70</x:v>
      </x:c>
      <x:c r="N122" t="str">
        <x:v>2-0</x:v>
      </x:c>
      <x:c r="O122" t="str">
        <x:f>IF(E122&lt;&gt;TRUE,"",IF(M122&gt;H122,"W",IF(M122&lt;H122,"L","T")))</x:f>
        <x:v>W</x:v>
      </x:c>
      <x:c r="P122" s="66" t="b">
        <x:v>0</x:v>
      </x:c>
      <x:c r="Q122" s="66" t="b">
        <x:v>0</x:v>
      </x:c>
      <x:c r="R122" t="str">
        <x:v>Sanford Stadium</x:v>
      </x:c>
      <x:c r="S122" t="str">
        <x:v>SEC Network</x:v>
      </x:c>
      <x:c r="T122"/>
      <x:c r="U122" s="70"/>
      <x:c r="V122" s="70"/>
      <x:c r="W122"/>
      <x:c r="X122" t="str">
        <x:v>https://www.espn.com/college-football/game/_/gameId/401856673</x:v>
      </x:c>
    </x:row>
    <x:row r="123">
      <x:c r="A123" t="str">
        <x:v>CFB</x:v>
      </x:c>
      <x:c r="B123" t="n">
        <x:v>2</x:v>
      </x:c>
      <x:c r="C123" s="68" t="n">
        <x:v>46277.708333333336</x:v>
      </x:c>
      <x:c r="D123" s="71" t="str">
        <x:v>post</x:v>
      </x:c>
      <x:c r="E123" s="72" t="b">
        <x:v>1</x:v>
      </x:c>
      <x:c r="F123" t="str">
        <x:v>UT Martin Skyhawks</x:v>
      </x:c>
      <x:c r="G123" t="str">
        <x:v>UTM</x:v>
      </x:c>
      <x:c r="H123" s="69" t="n">
        <x:v>7</x:v>
      </x:c>
      <x:c r="I123" t="str">
        <x:v>1-2</x:v>
      </x:c>
      <x:c r="J123" t="str">
        <x:f>IF(E123&lt;&gt;TRUE,"",IF(H123&gt;M123,"W",IF(H123&lt;M123,"L","T")))</x:f>
        <x:v>L</x:v>
      </x:c>
      <x:c r="K123" t="str">
        <x:v>West Virginia Mountaineers</x:v>
      </x:c>
      <x:c r="L123" t="str">
        <x:v>WVU</x:v>
      </x:c>
      <x:c r="M123" s="69" t="n">
        <x:v>52</x:v>
      </x:c>
      <x:c r="N123" t="str">
        <x:v>2-0</x:v>
      </x:c>
      <x:c r="O123" t="str">
        <x:f>IF(E123&lt;&gt;TRUE,"",IF(M123&gt;H123,"W",IF(M123&lt;H123,"L","T")))</x:f>
        <x:v>W</x:v>
      </x:c>
      <x:c r="P123" s="66" t="b">
        <x:v>0</x:v>
      </x:c>
      <x:c r="Q123" s="66" t="b">
        <x:v>0</x:v>
      </x:c>
      <x:c r="R123" t="str">
        <x:v>Milan Puskar Stadium</x:v>
      </x:c>
      <x:c r="S123" t="str">
        <x:v>ESPN+</x:v>
      </x:c>
      <x:c r="T123"/>
      <x:c r="U123" s="70"/>
      <x:c r="V123" s="70"/>
      <x:c r="W123"/>
      <x:c r="X123" t="str">
        <x:v>https://www.espn.com/college-football/game/_/gameId/401856791</x:v>
      </x:c>
    </x:row>
    <x:row r="124">
      <x:c r="A124" t="str">
        <x:v>CFB</x:v>
      </x:c>
      <x:c r="B124" t="n">
        <x:v>2</x:v>
      </x:c>
      <x:c r="C124" s="68" t="n">
        <x:v>46277.708333333336</x:v>
      </x:c>
      <x:c r="D124" s="71" t="str">
        <x:v>post</x:v>
      </x:c>
      <x:c r="E124" s="72" t="b">
        <x:v>1</x:v>
      </x:c>
      <x:c r="F124" t="str">
        <x:v>Colgate Raiders</x:v>
      </x:c>
      <x:c r="G124" t="str">
        <x:v>COLG</x:v>
      </x:c>
      <x:c r="H124" s="69" t="n">
        <x:v>10</x:v>
      </x:c>
      <x:c r="I124" t="str">
        <x:v>2-1</x:v>
      </x:c>
      <x:c r="J124" t="str">
        <x:f>IF(E124&lt;&gt;TRUE,"",IF(H124&gt;M124,"W",IF(H124&lt;M124,"L","T")))</x:f>
        <x:v>L</x:v>
      </x:c>
      <x:c r="K124" t="str">
        <x:v>Central Michigan Chippewas</x:v>
      </x:c>
      <x:c r="L124" t="str">
        <x:v>CMU</x:v>
      </x:c>
      <x:c r="M124" s="69" t="n">
        <x:v>13</x:v>
      </x:c>
      <x:c r="N124" t="str">
        <x:v>1-1</x:v>
      </x:c>
      <x:c r="O124" t="str">
        <x:f>IF(E124&lt;&gt;TRUE,"",IF(M124&gt;H124,"W",IF(M124&lt;H124,"L","T")))</x:f>
        <x:v>W</x:v>
      </x:c>
      <x:c r="P124" s="66" t="b">
        <x:v>0</x:v>
      </x:c>
      <x:c r="Q124" s="66" t="b">
        <x:v>0</x:v>
      </x:c>
      <x:c r="R124" t="str">
        <x:v>Kelly/Shorts Stadium</x:v>
      </x:c>
      <x:c r="S124" t="str">
        <x:v>ESPN+</x:v>
      </x:c>
      <x:c r="T124"/>
      <x:c r="U124" s="70"/>
      <x:c r="V124" s="70"/>
      <x:c r="W124"/>
      <x:c r="X124" t="str">
        <x:v>https://www.espn.com/college-football/game/_/gameId/401866415</x:v>
      </x:c>
    </x:row>
    <x:row r="125">
      <x:c r="A125" t="str">
        <x:v>CFB</x:v>
      </x:c>
      <x:c r="B125" t="n">
        <x:v>2</x:v>
      </x:c>
      <x:c r="C125" s="68" t="n">
        <x:v>46277.708333333336</x:v>
      </x:c>
      <x:c r="D125" s="71" t="str">
        <x:v>post</x:v>
      </x:c>
      <x:c r="E125" s="72" t="b">
        <x:v>1</x:v>
      </x:c>
      <x:c r="F125" t="str">
        <x:v>Holy Cross Crusaders</x:v>
      </x:c>
      <x:c r="G125" t="str">
        <x:v>HC</x:v>
      </x:c>
      <x:c r="H125" s="69" t="n">
        <x:v>7</x:v>
      </x:c>
      <x:c r="I125" t="str">
        <x:v>0-3</x:v>
      </x:c>
      <x:c r="J125" t="str">
        <x:f>IF(E125&lt;&gt;TRUE,"",IF(H125&gt;M125,"W",IF(H125&lt;M125,"L","T")))</x:f>
        <x:v>L</x:v>
      </x:c>
      <x:c r="K125" t="str">
        <x:v>Miami (OH) RedHawks</x:v>
      </x:c>
      <x:c r="L125" t="str">
        <x:v>M-OH</x:v>
      </x:c>
      <x:c r="M125" s="69" t="n">
        <x:v>45</x:v>
      </x:c>
      <x:c r="N125" t="str">
        <x:v>1-1</x:v>
      </x:c>
      <x:c r="O125" t="str">
        <x:f>IF(E125&lt;&gt;TRUE,"",IF(M125&gt;H125,"W",IF(M125&lt;H125,"L","T")))</x:f>
        <x:v>W</x:v>
      </x:c>
      <x:c r="P125" s="66" t="b">
        <x:v>0</x:v>
      </x:c>
      <x:c r="Q125" s="66" t="b">
        <x:v>0</x:v>
      </x:c>
      <x:c r="R125" t="str">
        <x:v>Yager Stadium</x:v>
      </x:c>
      <x:c r="S125" t="str">
        <x:v>ESPN+</x:v>
      </x:c>
      <x:c r="T125"/>
      <x:c r="U125" s="70"/>
      <x:c r="V125" s="70"/>
      <x:c r="W125"/>
      <x:c r="X125" t="str">
        <x:v>https://www.espn.com/college-football/game/_/gameId/401866417</x:v>
      </x:c>
    </x:row>
    <x:row r="126">
      <x:c r="A126" t="str">
        <x:v>CFB</x:v>
      </x:c>
      <x:c r="B126" t="n">
        <x:v>2</x:v>
      </x:c>
      <x:c r="C126" s="68" t="n">
        <x:v>46277.729166666664</x:v>
      </x:c>
      <x:c r="D126" s="71" t="str">
        <x:v>post</x:v>
      </x:c>
      <x:c r="E126" s="72" t="b">
        <x:v>1</x:v>
      </x:c>
      <x:c r="F126" t="str">
        <x:v>Oregon Ducks</x:v>
      </x:c>
      <x:c r="G126" t="str">
        <x:v>ORE</x:v>
      </x:c>
      <x:c r="H126" s="69" t="n">
        <x:v>31</x:v>
      </x:c>
      <x:c r="I126" t="str">
        <x:v>1-1</x:v>
      </x:c>
      <x:c r="J126" t="str">
        <x:f>IF(E126&lt;&gt;TRUE,"",IF(H126&gt;M126,"W",IF(H126&lt;M126,"L","T")))</x:f>
        <x:v>L</x:v>
      </x:c>
      <x:c r="K126" t="str">
        <x:v>Oklahoma State Cowboys</x:v>
      </x:c>
      <x:c r="L126" t="str">
        <x:v>OKST</x:v>
      </x:c>
      <x:c r="M126" s="69" t="n">
        <x:v>39</x:v>
      </x:c>
      <x:c r="N126" t="str">
        <x:v>1-1</x:v>
      </x:c>
      <x:c r="O126" t="str">
        <x:f>IF(E126&lt;&gt;TRUE,"",IF(M126&gt;H126,"W",IF(M126&lt;H126,"L","T")))</x:f>
        <x:v>W</x:v>
      </x:c>
      <x:c r="P126" s="66" t="b">
        <x:v>0</x:v>
      </x:c>
      <x:c r="Q126" s="66" t="b">
        <x:v>0</x:v>
      </x:c>
      <x:c r="R126" t="str">
        <x:v>Boone Pickens Stadium</x:v>
      </x:c>
      <x:c r="S126" t="str">
        <x:v>ESPNEWS / Disney+</x:v>
      </x:c>
      <x:c r="T126"/>
      <x:c r="U126" s="70"/>
      <x:c r="V126" s="70"/>
      <x:c r="W126"/>
      <x:c r="X126" t="str">
        <x:v>https://www.espn.com/college-football/game/_/gameId/401856782</x:v>
      </x:c>
    </x:row>
    <x:row r="127">
      <x:c r="A127" t="str">
        <x:v>CFB</x:v>
      </x:c>
      <x:c r="B127" t="n">
        <x:v>2</x:v>
      </x:c>
      <x:c r="C127" s="68" t="n">
        <x:v>46277.75</x:v>
      </x:c>
      <x:c r="D127" s="71" t="str">
        <x:v>post</x:v>
      </x:c>
      <x:c r="E127" s="72" t="b">
        <x:v>1</x:v>
      </x:c>
      <x:c r="F127" t="str">
        <x:v>Stony Brook Seawolves</x:v>
      </x:c>
      <x:c r="G127" t="str">
        <x:v>STBK</x:v>
      </x:c>
      <x:c r="H127" s="69" t="n">
        <x:v>17</x:v>
      </x:c>
      <x:c r="I127" t="str">
        <x:v>1-2</x:v>
      </x:c>
      <x:c r="J127" t="str">
        <x:f>IF(E127&lt;&gt;TRUE,"",IF(H127&gt;M127,"W",IF(H127&lt;M127,"L","T")))</x:f>
        <x:v>L</x:v>
      </x:c>
      <x:c r="K127" t="str">
        <x:v>Ball State Cardinals</x:v>
      </x:c>
      <x:c r="L127" t="str">
        <x:v>BALL</x:v>
      </x:c>
      <x:c r="M127" s="69" t="n">
        <x:v>41</x:v>
      </x:c>
      <x:c r="N127" t="str">
        <x:v>1-1</x:v>
      </x:c>
      <x:c r="O127" t="str">
        <x:f>IF(E127&lt;&gt;TRUE,"",IF(M127&gt;H127,"W",IF(M127&lt;H127,"L","T")))</x:f>
        <x:v>W</x:v>
      </x:c>
      <x:c r="P127" s="66" t="b">
        <x:v>0</x:v>
      </x:c>
      <x:c r="Q127" s="66" t="b">
        <x:v>0</x:v>
      </x:c>
      <x:c r="R127" t="str">
        <x:v>Scheumann Stadium</x:v>
      </x:c>
      <x:c r="S127" t="str">
        <x:v>ESPN+</x:v>
      </x:c>
      <x:c r="T127"/>
      <x:c r="U127" s="70"/>
      <x:c r="V127" s="70"/>
      <x:c r="W127"/>
      <x:c r="X127" t="str">
        <x:v>https://www.espn.com/college-football/game/_/gameId/401866413</x:v>
      </x:c>
    </x:row>
    <x:row r="128">
      <x:c r="A128" t="str">
        <x:v>CFB</x:v>
      </x:c>
      <x:c r="B128" t="n">
        <x:v>2</x:v>
      </x:c>
      <x:c r="C128" s="68" t="n">
        <x:v>46277.8125</x:v>
      </x:c>
      <x:c r="D128" s="71" t="str">
        <x:v>post</x:v>
      </x:c>
      <x:c r="E128" s="72" t="b">
        <x:v>1</x:v>
      </x:c>
      <x:c r="F128" t="str">
        <x:v>Alabama Crimson Tide</x:v>
      </x:c>
      <x:c r="G128" t="str">
        <x:v>ALA</x:v>
      </x:c>
      <x:c r="H128" s="69" t="n">
        <x:v>45</x:v>
      </x:c>
      <x:c r="I128" t="str">
        <x:v>2-0</x:v>
      </x:c>
      <x:c r="J128" t="str">
        <x:f>IF(E128&lt;&gt;TRUE,"",IF(H128&gt;M128,"W",IF(H128&lt;M128,"L","T")))</x:f>
        <x:v>W</x:v>
      </x:c>
      <x:c r="K128" t="str">
        <x:v>Kentucky Wildcats</x:v>
      </x:c>
      <x:c r="L128" t="str">
        <x:v>UK</x:v>
      </x:c>
      <x:c r="M128" s="69" t="n">
        <x:v>17</x:v>
      </x:c>
      <x:c r="N128" t="str">
        <x:v>1-1</x:v>
      </x:c>
      <x:c r="O128" t="str">
        <x:f>IF(E128&lt;&gt;TRUE,"",IF(M128&gt;H128,"W",IF(M128&lt;H128,"L","T")))</x:f>
        <x:v>L</x:v>
      </x:c>
      <x:c r="P128" s="66" t="b">
        <x:v>0</x:v>
      </x:c>
      <x:c r="Q128" s="66" t="b">
        <x:v>1</x:v>
      </x:c>
      <x:c r="R128" t="str">
        <x:v>Kroger Field</x:v>
      </x:c>
      <x:c r="S128" t="str">
        <x:v>ABC / Disney+</x:v>
      </x:c>
      <x:c r="T128"/>
      <x:c r="U128" s="70"/>
      <x:c r="V128" s="70"/>
      <x:c r="W128"/>
      <x:c r="X128" t="str">
        <x:v>https://www.espn.com/college-football/game/_/gameId/401856674</x:v>
      </x:c>
    </x:row>
    <x:row r="129">
      <x:c r="A129" t="str">
        <x:v>CFB</x:v>
      </x:c>
      <x:c r="B129" t="n">
        <x:v>2</x:v>
      </x:c>
      <x:c r="C129" s="68" t="n">
        <x:v>46277.8125</x:v>
      </x:c>
      <x:c r="D129" s="71" t="str">
        <x:v>post</x:v>
      </x:c>
      <x:c r="E129" s="72" t="b">
        <x:v>1</x:v>
      </x:c>
      <x:c r="F129" t="str">
        <x:v>Mississippi State Bulldogs</x:v>
      </x:c>
      <x:c r="G129" t="str">
        <x:v>MSST</x:v>
      </x:c>
      <x:c r="H129" s="69" t="n">
        <x:v>38</x:v>
      </x:c>
      <x:c r="I129" t="str">
        <x:v>2-0</x:v>
      </x:c>
      <x:c r="J129" t="str">
        <x:f>IF(E129&lt;&gt;TRUE,"",IF(H129&gt;M129,"W",IF(H129&lt;M129,"L","T")))</x:f>
        <x:v>W</x:v>
      </x:c>
      <x:c r="K129" t="str">
        <x:v>Minnesota Golden Gophers</x:v>
      </x:c>
      <x:c r="L129" t="str">
        <x:v>MINN</x:v>
      </x:c>
      <x:c r="M129" s="69" t="n">
        <x:v>13</x:v>
      </x:c>
      <x:c r="N129" t="str">
        <x:v>1-1</x:v>
      </x:c>
      <x:c r="O129" t="str">
        <x:f>IF(E129&lt;&gt;TRUE,"",IF(M129&gt;H129,"W",IF(M129&lt;H129,"L","T")))</x:f>
        <x:v>L</x:v>
      </x:c>
      <x:c r="P129" s="66" t="b">
        <x:v>0</x:v>
      </x:c>
      <x:c r="Q129" s="66" t="b">
        <x:v>0</x:v>
      </x:c>
      <x:c r="R129" t="str">
        <x:v>Huntington Bank Stadium</x:v>
      </x:c>
      <x:c r="S129" t="str">
        <x:v>CBS</x:v>
      </x:c>
      <x:c r="T129"/>
      <x:c r="U129" s="70"/>
      <x:c r="V129" s="70"/>
      <x:c r="W129"/>
      <x:c r="X129" t="str">
        <x:v>https://www.espn.com/college-football/game/_/gameId/401856677</x:v>
      </x:c>
    </x:row>
    <x:row r="130">
      <x:c r="A130" t="str">
        <x:v>CFB</x:v>
      </x:c>
      <x:c r="B130" t="n">
        <x:v>2</x:v>
      </x:c>
      <x:c r="C130" s="68" t="n">
        <x:v>46277.8125</x:v>
      </x:c>
      <x:c r="D130" s="71" t="str">
        <x:v>post</x:v>
      </x:c>
      <x:c r="E130" s="72" t="b">
        <x:v>1</x:v>
      </x:c>
      <x:c r="F130" t="str">
        <x:v>Weber State Wildcats</x:v>
      </x:c>
      <x:c r="G130" t="str">
        <x:v>WEB</x:v>
      </x:c>
      <x:c r="H130" s="69" t="n">
        <x:v>21</x:v>
      </x:c>
      <x:c r="I130" t="str">
        <x:v>1-2</x:v>
      </x:c>
      <x:c r="J130" t="str">
        <x:f>IF(E130&lt;&gt;TRUE,"",IF(H130&gt;M130,"W",IF(H130&lt;M130,"L","T")))</x:f>
        <x:v>L</x:v>
      </x:c>
      <x:c r="K130" t="str">
        <x:v>Colorado Buffaloes</x:v>
      </x:c>
      <x:c r="L130" t="str">
        <x:v>COLO</x:v>
      </x:c>
      <x:c r="M130" s="69" t="n">
        <x:v>52</x:v>
      </x:c>
      <x:c r="N130" t="str">
        <x:v>2-0</x:v>
      </x:c>
      <x:c r="O130" t="str">
        <x:f>IF(E130&lt;&gt;TRUE,"",IF(M130&gt;H130,"W",IF(M130&lt;H130,"L","T")))</x:f>
        <x:v>W</x:v>
      </x:c>
      <x:c r="P130" s="66" t="b">
        <x:v>0</x:v>
      </x:c>
      <x:c r="Q130" s="66" t="b">
        <x:v>0</x:v>
      </x:c>
      <x:c r="R130" t="str">
        <x:v>Folsom Field</x:v>
      </x:c>
      <x:c r="S130" t="str">
        <x:v>ESPN+</x:v>
      </x:c>
      <x:c r="T130"/>
      <x:c r="U130" s="70"/>
      <x:c r="V130" s="70"/>
      <x:c r="W130"/>
      <x:c r="X130" t="str">
        <x:v>https://www.espn.com/college-football/game/_/gameId/401856785</x:v>
      </x:c>
    </x:row>
    <x:row r="131">
      <x:c r="A131" t="str">
        <x:v>CFB</x:v>
      </x:c>
      <x:c r="B131" t="n">
        <x:v>2</x:v>
      </x:c>
      <x:c r="C131" s="68" t="n">
        <x:v>46277.8125</x:v>
      </x:c>
      <x:c r="D131" s="71" t="str">
        <x:v>post</x:v>
      </x:c>
      <x:c r="E131" s="72" t="b">
        <x:v>1</x:v>
      </x:c>
      <x:c r="F131" t="str">
        <x:v>UCF Knights</x:v>
      </x:c>
      <x:c r="G131" t="str">
        <x:v>UCF</x:v>
      </x:c>
      <x:c r="H131" s="69" t="n">
        <x:v>7</x:v>
      </x:c>
      <x:c r="I131" t="str">
        <x:v>1-1</x:v>
      </x:c>
      <x:c r="J131" t="str">
        <x:f>IF(E131&lt;&gt;TRUE,"",IF(H131&gt;M131,"W",IF(H131&lt;M131,"L","T")))</x:f>
        <x:v>L</x:v>
      </x:c>
      <x:c r="K131" t="str">
        <x:v>Pittsburgh Panthers</x:v>
      </x:c>
      <x:c r="L131" t="str">
        <x:v>PITT</x:v>
      </x:c>
      <x:c r="M131" s="69" t="n">
        <x:v>12</x:v>
      </x:c>
      <x:c r="N131" t="str">
        <x:v>2-0</x:v>
      </x:c>
      <x:c r="O131" t="str">
        <x:f>IF(E131&lt;&gt;TRUE,"",IF(M131&gt;H131,"W",IF(M131&lt;H131,"L","T")))</x:f>
        <x:v>W</x:v>
      </x:c>
      <x:c r="P131" s="66" t="b">
        <x:v>0</x:v>
      </x:c>
      <x:c r="Q131" s="66" t="b">
        <x:v>0</x:v>
      </x:c>
      <x:c r="R131" t="str">
        <x:v>Acrisure Stadium</x:v>
      </x:c>
      <x:c r="S131" t="str">
        <x:v>ESPN2</x:v>
      </x:c>
      <x:c r="T131"/>
      <x:c r="U131" s="70"/>
      <x:c r="V131" s="70"/>
      <x:c r="W131"/>
      <x:c r="X131" t="str">
        <x:v>https://www.espn.com/college-football/game/_/gameId/401856790</x:v>
      </x:c>
    </x:row>
    <x:row r="132">
      <x:c r="A132" t="str">
        <x:v>CFB</x:v>
      </x:c>
      <x:c r="B132" t="n">
        <x:v>2</x:v>
      </x:c>
      <x:c r="C132" s="68" t="n">
        <x:v>46277.8125</x:v>
      </x:c>
      <x:c r="D132" s="71" t="str">
        <x:v>post</x:v>
      </x:c>
      <x:c r="E132" s="72" t="b">
        <x:v>1</x:v>
      </x:c>
      <x:c r="F132" t="str">
        <x:v>Arizona Wildcats</x:v>
      </x:c>
      <x:c r="G132" t="str">
        <x:v>ARIZ</x:v>
      </x:c>
      <x:c r="H132" s="69" t="n">
        <x:v>17</x:v>
      </x:c>
      <x:c r="I132" t="str">
        <x:v>1-1</x:v>
      </x:c>
      <x:c r="J132" t="str">
        <x:f>IF(E132&lt;&gt;TRUE,"",IF(H132&gt;M132,"W",IF(H132&lt;M132,"L","T")))</x:f>
        <x:v>L</x:v>
      </x:c>
      <x:c r="K132" t="str">
        <x:v>BYU Cougars</x:v>
      </x:c>
      <x:c r="L132" t="str">
        <x:v>BYU</x:v>
      </x:c>
      <x:c r="M132" s="69" t="n">
        <x:v>28</x:v>
      </x:c>
      <x:c r="N132" t="str">
        <x:v>2-0</x:v>
      </x:c>
      <x:c r="O132" t="str">
        <x:f>IF(E132&lt;&gt;TRUE,"",IF(M132&gt;H132,"W",IF(M132&lt;H132,"L","T")))</x:f>
        <x:v>W</x:v>
      </x:c>
      <x:c r="P132" s="66" t="b">
        <x:v>0</x:v>
      </x:c>
      <x:c r="Q132" s="66" t="b">
        <x:v>1</x:v>
      </x:c>
      <x:c r="R132" t="str">
        <x:v>LaVell Edwards Stadium</x:v>
      </x:c>
      <x:c r="S132" t="str">
        <x:v>FOX</x:v>
      </x:c>
      <x:c r="T132"/>
      <x:c r="U132" s="70"/>
      <x:c r="V132" s="70"/>
      <x:c r="W132"/>
      <x:c r="X132" t="str">
        <x:v>https://www.espn.com/college-football/game/_/gameId/401856810</x:v>
      </x:c>
    </x:row>
    <x:row r="133">
      <x:c r="A133" t="str">
        <x:v>CFB</x:v>
      </x:c>
      <x:c r="B133" t="n">
        <x:v>2</x:v>
      </x:c>
      <x:c r="C133" s="68" t="n">
        <x:v>46277.8125</x:v>
      </x:c>
      <x:c r="D133" s="71" t="str">
        <x:v>post</x:v>
      </x:c>
      <x:c r="E133" s="72" t="b">
        <x:v>1</x:v>
      </x:c>
      <x:c r="F133" t="str">
        <x:v>California Golden Bears</x:v>
      </x:c>
      <x:c r="G133" t="str">
        <x:v>CAL</x:v>
      </x:c>
      <x:c r="H133" s="69" t="n">
        <x:v>21</x:v>
      </x:c>
      <x:c r="I133" t="str">
        <x:v>1-1</x:v>
      </x:c>
      <x:c r="J133" t="str">
        <x:f>IF(E133&lt;&gt;TRUE,"",IF(H133&gt;M133,"W",IF(H133&lt;M133,"L","T")))</x:f>
        <x:v>W</x:v>
      </x:c>
      <x:c r="K133" t="str">
        <x:v>Syracuse Orange</x:v>
      </x:c>
      <x:c r="L133" t="str">
        <x:v>SYR</x:v>
      </x:c>
      <x:c r="M133" s="69" t="n">
        <x:v>18</x:v>
      </x:c>
      <x:c r="N133" t="str">
        <x:v>1-1</x:v>
      </x:c>
      <x:c r="O133" t="str">
        <x:f>IF(E133&lt;&gt;TRUE,"",IF(M133&gt;H133,"W",IF(M133&lt;H133,"L","T")))</x:f>
        <x:v>L</x:v>
      </x:c>
      <x:c r="P133" s="66" t="b">
        <x:v>0</x:v>
      </x:c>
      <x:c r="Q133" s="66" t="b">
        <x:v>1</x:v>
      </x:c>
      <x:c r="R133" t="str">
        <x:v>JMA Wireless Dome</x:v>
      </x:c>
      <x:c r="S133" t="str">
        <x:v>ACC Network</x:v>
      </x:c>
      <x:c r="T133"/>
      <x:c r="U133" s="70"/>
      <x:c r="V133" s="70"/>
      <x:c r="W133"/>
      <x:c r="X133" t="str">
        <x:v>https://www.espn.com/college-football/game/_/gameId/401858216</x:v>
      </x:c>
    </x:row>
    <x:row r="134">
      <x:c r="A134" t="str">
        <x:v>CFB</x:v>
      </x:c>
      <x:c r="B134" t="n">
        <x:v>2</x:v>
      </x:c>
      <x:c r="C134" s="68" t="n">
        <x:v>46277.8125</x:v>
      </x:c>
      <x:c r="D134" s="71" t="str">
        <x:v>post</x:v>
      </x:c>
      <x:c r="E134" s="72" t="b">
        <x:v>1</x:v>
      </x:c>
      <x:c r="F134" t="str">
        <x:v>Duke Blue Devils</x:v>
      </x:c>
      <x:c r="G134" t="str">
        <x:v>DUKE</x:v>
      </x:c>
      <x:c r="H134" s="69" t="n">
        <x:v>31</x:v>
      </x:c>
      <x:c r="I134" t="str">
        <x:v>2-0</x:v>
      </x:c>
      <x:c r="J134" t="str">
        <x:f>IF(E134&lt;&gt;TRUE,"",IF(H134&gt;M134,"W",IF(H134&lt;M134,"L","T")))</x:f>
        <x:v>W</x:v>
      </x:c>
      <x:c r="K134" t="str">
        <x:v>Illinois Fighting Illini</x:v>
      </x:c>
      <x:c r="L134" t="str">
        <x:v>ILL</x:v>
      </x:c>
      <x:c r="M134" s="69" t="n">
        <x:v>27</x:v>
      </x:c>
      <x:c r="N134" t="str">
        <x:v>1-1</x:v>
      </x:c>
      <x:c r="O134" t="str">
        <x:f>IF(E134&lt;&gt;TRUE,"",IF(M134&gt;H134,"W",IF(M134&lt;H134,"L","T")))</x:f>
        <x:v>L</x:v>
      </x:c>
      <x:c r="P134" s="66" t="b">
        <x:v>0</x:v>
      </x:c>
      <x:c r="Q134" s="66" t="b">
        <x:v>0</x:v>
      </x:c>
      <x:c r="R134" t="str">
        <x:v>Gies Memorial Stadium</x:v>
      </x:c>
      <x:c r="S134" t="str">
        <x:v>FS1</x:v>
      </x:c>
      <x:c r="T134"/>
      <x:c r="U134" s="70"/>
      <x:c r="V134" s="70"/>
      <x:c r="W134"/>
      <x:c r="X134" t="str">
        <x:v>https://www.espn.com/college-football/game/_/gameId/401858217</x:v>
      </x:c>
    </x:row>
    <x:row r="135">
      <x:c r="A135" t="str">
        <x:v>CFB</x:v>
      </x:c>
      <x:c r="B135" t="n">
        <x:v>2</x:v>
      </x:c>
      <x:c r="C135" s="68" t="n">
        <x:v>46277.8125</x:v>
      </x:c>
      <x:c r="D135" s="71" t="str">
        <x:v>post</x:v>
      </x:c>
      <x:c r="E135" s="72" t="b">
        <x:v>1</x:v>
      </x:c>
      <x:c r="F135" t="str">
        <x:v>Eastern Michigan Eagles</x:v>
      </x:c>
      <x:c r="G135" t="str">
        <x:v>EMU</x:v>
      </x:c>
      <x:c r="H135" s="69" t="n">
        <x:v>7</x:v>
      </x:c>
      <x:c r="I135" t="str">
        <x:v>1-2</x:v>
      </x:c>
      <x:c r="J135" t="str">
        <x:f>IF(E135&lt;&gt;TRUE,"",IF(H135&gt;M135,"W",IF(H135&lt;M135,"L","T")))</x:f>
        <x:v>L</x:v>
      </x:c>
      <x:c r="K135" t="str">
        <x:v>Michigan State Spartans</x:v>
      </x:c>
      <x:c r="L135" t="str">
        <x:v>MSU</x:v>
      </x:c>
      <x:c r="M135" s="69" t="n">
        <x:v>35</x:v>
      </x:c>
      <x:c r="N135" t="str">
        <x:v>2-0</x:v>
      </x:c>
      <x:c r="O135" t="str">
        <x:f>IF(E135&lt;&gt;TRUE,"",IF(M135&gt;H135,"W",IF(M135&lt;H135,"L","T")))</x:f>
        <x:v>W</x:v>
      </x:c>
      <x:c r="P135" s="66" t="b">
        <x:v>0</x:v>
      </x:c>
      <x:c r="Q135" s="66" t="b">
        <x:v>0</x:v>
      </x:c>
      <x:c r="R135" t="str">
        <x:v>Spartan Stadium</x:v>
      </x:c>
      <x:c r="S135" t="str">
        <x:v>BTN</x:v>
      </x:c>
      <x:c r="T135"/>
      <x:c r="U135" s="70"/>
      <x:c r="V135" s="70"/>
      <x:c r="W135"/>
      <x:c r="X135" t="str">
        <x:v>https://www.espn.com/college-football/game/_/gameId/401858440</x:v>
      </x:c>
    </x:row>
    <x:row r="136">
      <x:c r="A136" t="str">
        <x:v>CFB</x:v>
      </x:c>
      <x:c r="B136" t="n">
        <x:v>2</x:v>
      </x:c>
      <x:c r="C136" s="68" t="n">
        <x:v>46277.8125</x:v>
      </x:c>
      <x:c r="D136" s="71" t="str">
        <x:v>post</x:v>
      </x:c>
      <x:c r="E136" s="72" t="b">
        <x:v>1</x:v>
      </x:c>
      <x:c r="F136" t="str">
        <x:v>Maryland Terrapins</x:v>
      </x:c>
      <x:c r="G136" t="str">
        <x:v>MD</x:v>
      </x:c>
      <x:c r="H136" s="69" t="n">
        <x:v>38</x:v>
      </x:c>
      <x:c r="I136" t="str">
        <x:v>2-0</x:v>
      </x:c>
      <x:c r="J136" t="str">
        <x:f>IF(E136&lt;&gt;TRUE,"",IF(H136&gt;M136,"W",IF(H136&lt;M136,"L","T")))</x:f>
        <x:v>W</x:v>
      </x:c>
      <x:c r="K136" t="str">
        <x:v>UConn Huskies</x:v>
      </x:c>
      <x:c r="L136" t="str">
        <x:v>CONN</x:v>
      </x:c>
      <x:c r="M136" s="69" t="n">
        <x:v>14</x:v>
      </x:c>
      <x:c r="N136" t="str">
        <x:v>1-1</x:v>
      </x:c>
      <x:c r="O136" t="str">
        <x:f>IF(E136&lt;&gt;TRUE,"",IF(M136&gt;H136,"W",IF(M136&lt;H136,"L","T")))</x:f>
        <x:v>L</x:v>
      </x:c>
      <x:c r="P136" s="66" t="b">
        <x:v>0</x:v>
      </x:c>
      <x:c r="Q136" s="66" t="b">
        <x:v>0</x:v>
      </x:c>
      <x:c r="R136" t="str">
        <x:v>Pratt &amp; Whitney Stadium</x:v>
      </x:c>
      <x:c r="S136" t="str">
        <x:v>CBSSN</x:v>
      </x:c>
      <x:c r="T136"/>
      <x:c r="U136" s="70"/>
      <x:c r="V136" s="70"/>
      <x:c r="W136"/>
      <x:c r="X136" t="str">
        <x:v>https://www.espn.com/college-football/game/_/gameId/401858444</x:v>
      </x:c>
    </x:row>
    <x:row r="137">
      <x:c r="A137" t="str">
        <x:v>CFB</x:v>
      </x:c>
      <x:c r="B137" t="n">
        <x:v>2</x:v>
      </x:c>
      <x:c r="C137" s="68" t="n">
        <x:v>46277.8125</x:v>
      </x:c>
      <x:c r="D137" s="71" t="str">
        <x:v>post</x:v>
      </x:c>
      <x:c r="E137" s="72" t="b">
        <x:v>1</x:v>
      </x:c>
      <x:c r="F137" t="str">
        <x:v>Utah State Aggies</x:v>
      </x:c>
      <x:c r="G137" t="str">
        <x:v>USU</x:v>
      </x:c>
      <x:c r="H137" s="69" t="n">
        <x:v>14</x:v>
      </x:c>
      <x:c r="I137" t="str">
        <x:v>0-2</x:v>
      </x:c>
      <x:c r="J137" t="str">
        <x:f>IF(E137&lt;&gt;TRUE,"",IF(H137&gt;M137,"W",IF(H137&lt;M137,"L","T")))</x:f>
        <x:v>L</x:v>
      </x:c>
      <x:c r="K137" t="str">
        <x:v>Washington Huskies</x:v>
      </x:c>
      <x:c r="L137" t="str">
        <x:v>WASH</x:v>
      </x:c>
      <x:c r="M137" s="69" t="n">
        <x:v>16</x:v>
      </x:c>
      <x:c r="N137" t="str">
        <x:v>2-0</x:v>
      </x:c>
      <x:c r="O137" t="str">
        <x:f>IF(E137&lt;&gt;TRUE,"",IF(M137&gt;H137,"W",IF(M137&lt;H137,"L","T")))</x:f>
        <x:v>W</x:v>
      </x:c>
      <x:c r="P137" s="66" t="b">
        <x:v>0</x:v>
      </x:c>
      <x:c r="Q137" s="66" t="b">
        <x:v>0</x:v>
      </x:c>
      <x:c r="R137" t="str">
        <x:v>Husky Stadium</x:v>
      </x:c>
      <x:c r="S137" t="str">
        <x:v>BTN</x:v>
      </x:c>
      <x:c r="T137"/>
      <x:c r="U137" s="70"/>
      <x:c r="V137" s="70"/>
      <x:c r="W137"/>
      <x:c r="X137" t="str">
        <x:v>https://www.espn.com/college-football/game/_/gameId/401858446</x:v>
      </x:c>
    </x:row>
    <x:row r="138">
      <x:c r="A138" t="str">
        <x:v>CFB</x:v>
      </x:c>
      <x:c r="B138" t="n">
        <x:v>2</x:v>
      </x:c>
      <x:c r="C138" s="68" t="n">
        <x:v>46277.8125</x:v>
      </x:c>
      <x:c r="D138" s="71" t="str">
        <x:v>post</x:v>
      </x:c>
      <x:c r="E138" s="72" t="b">
        <x:v>1</x:v>
      </x:c>
      <x:c r="F138" t="str">
        <x:v>Rice Owls</x:v>
      </x:c>
      <x:c r="G138" t="str">
        <x:v>RICE</x:v>
      </x:c>
      <x:c r="H138" s="69" t="n">
        <x:v>0</x:v>
      </x:c>
      <x:c r="I138" t="str">
        <x:v>1-1</x:v>
      </x:c>
      <x:c r="J138" t="str">
        <x:f>IF(E138&lt;&gt;TRUE,"",IF(H138&gt;M138,"W",IF(H138&lt;M138,"L","T")))</x:f>
        <x:v>L</x:v>
      </x:c>
      <x:c r="K138" t="str">
        <x:v>Notre Dame Fighting Irish</x:v>
      </x:c>
      <x:c r="L138" t="str">
        <x:v>ND</x:v>
      </x:c>
      <x:c r="M138" s="69" t="n">
        <x:v>52</x:v>
      </x:c>
      <x:c r="N138" t="str">
        <x:v>2-0</x:v>
      </x:c>
      <x:c r="O138" t="str">
        <x:f>IF(E138&lt;&gt;TRUE,"",IF(M138&gt;H138,"W",IF(M138&lt;H138,"L","T")))</x:f>
        <x:v>W</x:v>
      </x:c>
      <x:c r="P138" s="66" t="b">
        <x:v>0</x:v>
      </x:c>
      <x:c r="Q138" s="66" t="b">
        <x:v>0</x:v>
      </x:c>
      <x:c r="R138" t="str">
        <x:v>Notre Dame Stadium</x:v>
      </x:c>
      <x:c r="S138" t="str">
        <x:v>NBC</x:v>
      </x:c>
      <x:c r="T138"/>
      <x:c r="U138" s="70"/>
      <x:c r="V138" s="70"/>
      <x:c r="W138"/>
      <x:c r="X138" t="str">
        <x:v>https://www.espn.com/college-football/game/_/gameId/401859184</x:v>
      </x:c>
    </x:row>
    <x:row r="139">
      <x:c r="A139" t="str">
        <x:v>CFB</x:v>
      </x:c>
      <x:c r="B139" t="n">
        <x:v>2</x:v>
      </x:c>
      <x:c r="C139" s="68" t="n">
        <x:v>46277.8125</x:v>
      </x:c>
      <x:c r="D139" s="71" t="str">
        <x:v>post</x:v>
      </x:c>
      <x:c r="E139" s="72" t="b">
        <x:v>1</x:v>
      </x:c>
      <x:c r="F139" t="str">
        <x:v>UTSA Roadrunners</x:v>
      </x:c>
      <x:c r="G139" t="str">
        <x:v>UTSA</x:v>
      </x:c>
      <x:c r="H139" s="69" t="n">
        <x:v>31</x:v>
      </x:c>
      <x:c r="I139" t="str">
        <x:v>2-0</x:v>
      </x:c>
      <x:c r="J139" t="str">
        <x:f>IF(E139&lt;&gt;TRUE,"",IF(H139&gt;M139,"W",IF(H139&lt;M139,"L","T")))</x:f>
        <x:v>W</x:v>
      </x:c>
      <x:c r="K139" t="str">
        <x:v>Texas State Bobcats</x:v>
      </x:c>
      <x:c r="L139" t="str">
        <x:v>TXST</x:v>
      </x:c>
      <x:c r="M139" s="69" t="n">
        <x:v>26</x:v>
      </x:c>
      <x:c r="N139" t="str">
        <x:v>0-2</x:v>
      </x:c>
      <x:c r="O139" t="str">
        <x:f>IF(E139&lt;&gt;TRUE,"",IF(M139&gt;H139,"W",IF(M139&lt;H139,"L","T")))</x:f>
        <x:v>L</x:v>
      </x:c>
      <x:c r="P139" s="66" t="b">
        <x:v>0</x:v>
      </x:c>
      <x:c r="Q139" s="66" t="b">
        <x:v>0</x:v>
      </x:c>
      <x:c r="R139" t="str">
        <x:v>UFCU Stadium</x:v>
      </x:c>
      <x:c r="S139" t="str">
        <x:v>CW</x:v>
      </x:c>
      <x:c r="T139"/>
      <x:c r="U139" s="70"/>
      <x:c r="V139" s="70"/>
      <x:c r="W139"/>
      <x:c r="X139" t="str">
        <x:v>https://www.espn.com/college-football/game/_/gameId/401860884</x:v>
      </x:c>
    </x:row>
    <x:row r="140">
      <x:c r="A140" t="str">
        <x:v>CFB</x:v>
      </x:c>
      <x:c r="B140" t="n">
        <x:v>2</x:v>
      </x:c>
      <x:c r="C140" s="68" t="n">
        <x:v>46277.8125</x:v>
      </x:c>
      <x:c r="D140" s="71" t="str">
        <x:v>post</x:v>
      </x:c>
      <x:c r="E140" s="72" t="b">
        <x:v>1</x:v>
      </x:c>
      <x:c r="F140" t="str">
        <x:v>UL Monroe Warhawks</x:v>
      </x:c>
      <x:c r="G140" t="str">
        <x:v>ULM</x:v>
      </x:c>
      <x:c r="H140" s="69" t="n">
        <x:v>20</x:v>
      </x:c>
      <x:c r="I140" t="str">
        <x:v>0-2</x:v>
      </x:c>
      <x:c r="J140" t="str">
        <x:f>IF(E140&lt;&gt;TRUE,"",IF(H140&gt;M140,"W",IF(H140&lt;M140,"L","T")))</x:f>
        <x:v>L</x:v>
      </x:c>
      <x:c r="K140" t="str">
        <x:v>UAB Blazers</x:v>
      </x:c>
      <x:c r="L140" t="str">
        <x:v>UAB</x:v>
      </x:c>
      <x:c r="M140" s="69" t="n">
        <x:v>26</x:v>
      </x:c>
      <x:c r="N140" t="str">
        <x:v>1-1</x:v>
      </x:c>
      <x:c r="O140" t="str">
        <x:f>IF(E140&lt;&gt;TRUE,"",IF(M140&gt;H140,"W",IF(M140&lt;H140,"L","T")))</x:f>
        <x:v>W</x:v>
      </x:c>
      <x:c r="P140" s="66" t="b">
        <x:v>0</x:v>
      </x:c>
      <x:c r="Q140" s="66" t="b">
        <x:v>0</x:v>
      </x:c>
      <x:c r="R140" t="str">
        <x:v>Protective Stadium</x:v>
      </x:c>
      <x:c r="S140" t="str">
        <x:v>ESPN+</x:v>
      </x:c>
      <x:c r="T140"/>
      <x:c r="U140" s="70"/>
      <x:c r="V140" s="70"/>
      <x:c r="W140"/>
      <x:c r="X140" t="str">
        <x:v>https://www.espn.com/college-football/game/_/gameId/401862708</x:v>
      </x:c>
    </x:row>
    <x:row r="141">
      <x:c r="A141" t="str">
        <x:v>CFB</x:v>
      </x:c>
      <x:c r="B141" t="n">
        <x:v>2</x:v>
      </x:c>
      <x:c r="C141" s="68" t="n">
        <x:v>46277.8125</x:v>
      </x:c>
      <x:c r="D141" s="71" t="str">
        <x:v>post</x:v>
      </x:c>
      <x:c r="E141" s="72" t="b">
        <x:v>1</x:v>
      </x:c>
      <x:c r="F141" t="str">
        <x:v>Robert Morris Colonials</x:v>
      </x:c>
      <x:c r="G141" t="str">
        <x:v>RMU</x:v>
      </x:c>
      <x:c r="H141" s="69" t="n">
        <x:v>10</x:v>
      </x:c>
      <x:c r="I141" t="str">
        <x:v>2-1</x:v>
      </x:c>
      <x:c r="J141" t="str">
        <x:f>IF(E141&lt;&gt;TRUE,"",IF(H141&gt;M141,"W",IF(H141&lt;M141,"L","T")))</x:f>
        <x:v>L</x:v>
      </x:c>
      <x:c r="K141" t="str">
        <x:v>Akron Zips</x:v>
      </x:c>
      <x:c r="L141" t="str">
        <x:v>AKR</x:v>
      </x:c>
      <x:c r="M141" s="69" t="n">
        <x:v>45</x:v>
      </x:c>
      <x:c r="N141" t="str">
        <x:v>1-1</x:v>
      </x:c>
      <x:c r="O141" t="str">
        <x:f>IF(E141&lt;&gt;TRUE,"",IF(M141&gt;H141,"W",IF(M141&lt;H141,"L","T")))</x:f>
        <x:v>W</x:v>
      </x:c>
      <x:c r="P141" s="66" t="b">
        <x:v>0</x:v>
      </x:c>
      <x:c r="Q141" s="66" t="b">
        <x:v>0</x:v>
      </x:c>
      <x:c r="R141" t="str">
        <x:v>InfoCision Stadium</x:v>
      </x:c>
      <x:c r="S141" t="str">
        <x:v>ESPN+</x:v>
      </x:c>
      <x:c r="T141"/>
      <x:c r="U141" s="70"/>
      <x:c r="V141" s="70"/>
      <x:c r="W141"/>
      <x:c r="X141" t="str">
        <x:v>https://www.espn.com/college-football/game/_/gameId/401866412</x:v>
      </x:c>
    </x:row>
    <x:row r="142">
      <x:c r="A142" t="str">
        <x:v>CFB</x:v>
      </x:c>
      <x:c r="B142" t="n">
        <x:v>2</x:v>
      </x:c>
      <x:c r="C142" s="68" t="n">
        <x:v>46277.8125</x:v>
      </x:c>
      <x:c r="D142" s="71" t="str">
        <x:v>post</x:v>
      </x:c>
      <x:c r="E142" s="72" t="b">
        <x:v>1</x:v>
      </x:c>
      <x:c r="F142" t="str">
        <x:v>Central Connecticut Blue Devils</x:v>
      </x:c>
      <x:c r="G142" t="str">
        <x:v>CCSU</x:v>
      </x:c>
      <x:c r="H142" s="69" t="n">
        <x:v>10</x:v>
      </x:c>
      <x:c r="I142" t="str">
        <x:v>0-2</x:v>
      </x:c>
      <x:c r="J142" t="str">
        <x:f>IF(E142&lt;&gt;TRUE,"",IF(H142&gt;M142,"W",IF(H142&lt;M142,"L","T")))</x:f>
        <x:v>L</x:v>
      </x:c>
      <x:c r="K142" t="str">
        <x:v>Toledo Rockets</x:v>
      </x:c>
      <x:c r="L142" t="str">
        <x:v>TOL</x:v>
      </x:c>
      <x:c r="M142" s="69" t="n">
        <x:v>63</x:v>
      </x:c>
      <x:c r="N142" t="str">
        <x:v>1-1</x:v>
      </x:c>
      <x:c r="O142" t="str">
        <x:f>IF(E142&lt;&gt;TRUE,"",IF(M142&gt;H142,"W",IF(M142&lt;H142,"L","T")))</x:f>
        <x:v>W</x:v>
      </x:c>
      <x:c r="P142" s="66" t="b">
        <x:v>0</x:v>
      </x:c>
      <x:c r="Q142" s="66" t="b">
        <x:v>0</x:v>
      </x:c>
      <x:c r="R142" t="str">
        <x:v>Glass Bowl</x:v>
      </x:c>
      <x:c r="S142" t="str">
        <x:v>ESPN+</x:v>
      </x:c>
      <x:c r="T142"/>
      <x:c r="U142" s="70"/>
      <x:c r="V142" s="70"/>
      <x:c r="W142"/>
      <x:c r="X142" t="str">
        <x:v>https://www.espn.com/college-football/game/_/gameId/401866419</x:v>
      </x:c>
    </x:row>
    <x:row r="143">
      <x:c r="A143" t="str">
        <x:v>CFB</x:v>
      </x:c>
      <x:c r="B143" t="n">
        <x:v>2</x:v>
      </x:c>
      <x:c r="C143" s="68" t="n">
        <x:v>46277.8125</x:v>
      </x:c>
      <x:c r="D143" s="71" t="str">
        <x:v>post</x:v>
      </x:c>
      <x:c r="E143" s="72" t="b">
        <x:v>1</x:v>
      </x:c>
      <x:c r="F143" t="str">
        <x:v>Sacred Heart Pioneers</x:v>
      </x:c>
      <x:c r="G143" t="str">
        <x:v>SHU</x:v>
      </x:c>
      <x:c r="H143" s="69" t="n">
        <x:v>10</x:v>
      </x:c>
      <x:c r="I143" t="str">
        <x:v>0-2</x:v>
      </x:c>
      <x:c r="J143" t="str">
        <x:f>IF(E143&lt;&gt;TRUE,"",IF(H143&gt;M143,"W",IF(H143&lt;M143,"L","T")))</x:f>
        <x:v>L</x:v>
      </x:c>
      <x:c r="K143" t="str">
        <x:v>Massachusetts Minutemen</x:v>
      </x:c>
      <x:c r="L143" t="str">
        <x:v>MASS</x:v>
      </x:c>
      <x:c r="M143" s="69" t="n">
        <x:v>37</x:v>
      </x:c>
      <x:c r="N143" t="str">
        <x:v>2-0</x:v>
      </x:c>
      <x:c r="O143" t="str">
        <x:f>IF(E143&lt;&gt;TRUE,"",IF(M143&gt;H143,"W",IF(M143&lt;H143,"L","T")))</x:f>
        <x:v>W</x:v>
      </x:c>
      <x:c r="P143" s="66" t="b">
        <x:v>0</x:v>
      </x:c>
      <x:c r="Q143" s="66" t="b">
        <x:v>0</x:v>
      </x:c>
      <x:c r="R143" t="str">
        <x:v>Warren McGuirk Alumni Stadium</x:v>
      </x:c>
      <x:c r="S143" t="str">
        <x:v>ESPN+</x:v>
      </x:c>
      <x:c r="T143"/>
      <x:c r="U143" s="70"/>
      <x:c r="V143" s="70"/>
      <x:c r="W143"/>
      <x:c r="X143" t="str">
        <x:v>https://www.espn.com/college-football/game/_/gameId/401866420</x:v>
      </x:c>
    </x:row>
    <x:row r="144">
      <x:c r="A144" t="str">
        <x:v>CFB</x:v>
      </x:c>
      <x:c r="B144" t="n">
        <x:v>2</x:v>
      </x:c>
      <x:c r="C144" s="68" t="n">
        <x:v>46277.822916666664</x:v>
      </x:c>
      <x:c r="D144" s="71" t="str">
        <x:v>post</x:v>
      </x:c>
      <x:c r="E144" s="72" t="b">
        <x:v>1</x:v>
      </x:c>
      <x:c r="F144" t="str">
        <x:v>UNLV Rebels</x:v>
      </x:c>
      <x:c r="G144" t="str">
        <x:v>UNLV</x:v>
      </x:c>
      <x:c r="H144" s="69" t="n">
        <x:v>6</x:v>
      </x:c>
      <x:c r="I144" t="str">
        <x:v>1-2</x:v>
      </x:c>
      <x:c r="J144" t="str">
        <x:f>IF(E144&lt;&gt;TRUE,"",IF(H144&gt;M144,"W",IF(H144&lt;M144,"L","T")))</x:f>
        <x:v>L</x:v>
      </x:c>
      <x:c r="K144" t="str">
        <x:v>North Texas Mean Green</x:v>
      </x:c>
      <x:c r="L144" t="str">
        <x:v>UNT</x:v>
      </x:c>
      <x:c r="M144" s="69" t="n">
        <x:v>44</x:v>
      </x:c>
      <x:c r="N144" t="str">
        <x:v>1-1</x:v>
      </x:c>
      <x:c r="O144" t="str">
        <x:f>IF(E144&lt;&gt;TRUE,"",IF(M144&gt;H144,"W",IF(M144&lt;H144,"L","T")))</x:f>
        <x:v>W</x:v>
      </x:c>
      <x:c r="P144" s="66" t="b">
        <x:v>0</x:v>
      </x:c>
      <x:c r="Q144" s="66" t="b">
        <x:v>0</x:v>
      </x:c>
      <x:c r="R144" t="str">
        <x:v>DATCU Stadium</x:v>
      </x:c>
      <x:c r="S144" t="str">
        <x:v>ESPNU</x:v>
      </x:c>
      <x:c r="T144"/>
      <x:c r="U144" s="70"/>
      <x:c r="V144" s="70"/>
      <x:c r="W144"/>
      <x:c r="X144" t="str">
        <x:v>https://www.espn.com/college-football/game/_/gameId/401862705</x:v>
      </x:c>
    </x:row>
    <x:row r="145">
      <x:c r="A145" t="str">
        <x:v>CFB</x:v>
      </x:c>
      <x:c r="B145" t="n">
        <x:v>2</x:v>
      </x:c>
      <x:c r="C145" s="68" t="n">
        <x:v>46277.833333333336</x:v>
      </x:c>
      <x:c r="D145" s="71" t="str">
        <x:v>post</x:v>
      </x:c>
      <x:c r="E145" s="72" t="b">
        <x:v>1</x:v>
      </x:c>
      <x:c r="F145" t="str">
        <x:v>UC Davis Aggies</x:v>
      </x:c>
      <x:c r="G145" t="str">
        <x:v>UCD</x:v>
      </x:c>
      <x:c r="H145" s="69" t="n">
        <x:v>10</x:v>
      </x:c>
      <x:c r="I145" t="str">
        <x:v>2-1</x:v>
      </x:c>
      <x:c r="J145" t="str">
        <x:f>IF(E145&lt;&gt;TRUE,"",IF(H145&gt;M145,"W",IF(H145&lt;M145,"L","T")))</x:f>
        <x:v>L</x:v>
      </x:c>
      <x:c r="K145" t="str">
        <x:v>SMU Mustangs</x:v>
      </x:c>
      <x:c r="L145" t="str">
        <x:v>SMU</x:v>
      </x:c>
      <x:c r="M145" s="69" t="n">
        <x:v>56</x:v>
      </x:c>
      <x:c r="N145" t="str">
        <x:v>2-0</x:v>
      </x:c>
      <x:c r="O145" t="str">
        <x:f>IF(E145&lt;&gt;TRUE,"",IF(M145&gt;H145,"W",IF(M145&lt;H145,"L","T")))</x:f>
        <x:v>W</x:v>
      </x:c>
      <x:c r="P145" s="66" t="b">
        <x:v>0</x:v>
      </x:c>
      <x:c r="Q145" s="66" t="b">
        <x:v>0</x:v>
      </x:c>
      <x:c r="R145" t="str">
        <x:v>Gerald J. Ford Stadium</x:v>
      </x:c>
      <x:c r="S145" t="str">
        <x:v>ACCNX</x:v>
      </x:c>
      <x:c r="T145"/>
      <x:c r="U145" s="70"/>
      <x:c r="V145" s="70"/>
      <x:c r="W145"/>
      <x:c r="X145" t="str">
        <x:v>https://www.espn.com/college-football/game/_/gameId/401858223</x:v>
      </x:c>
    </x:row>
    <x:row r="146">
      <x:c r="A146" t="str">
        <x:v>CFB</x:v>
      </x:c>
      <x:c r="B146" t="n">
        <x:v>2</x:v>
      </x:c>
      <x:c r="C146" s="68" t="n">
        <x:v>46277.833333333336</x:v>
      </x:c>
      <x:c r="D146" s="71" t="str">
        <x:v>post</x:v>
      </x:c>
      <x:c r="E146" s="72" t="b">
        <x:v>1</x:v>
      </x:c>
      <x:c r="F146" t="str">
        <x:v>Northern Colorado Bears</x:v>
      </x:c>
      <x:c r="G146" t="str">
        <x:v>UNCO</x:v>
      </x:c>
      <x:c r="H146" s="69" t="n">
        <x:v>13</x:v>
      </x:c>
      <x:c r="I146" t="str">
        <x:v>0-3</x:v>
      </x:c>
      <x:c r="J146" t="str">
        <x:f>IF(E146&lt;&gt;TRUE,"",IF(H146&gt;M146,"W",IF(H146&lt;M146,"L","T")))</x:f>
        <x:v>L</x:v>
      </x:c>
      <x:c r="K146" t="str">
        <x:v>Wyoming Cowboys</x:v>
      </x:c>
      <x:c r="L146" t="str">
        <x:v>WYO</x:v>
      </x:c>
      <x:c r="M146" s="69" t="n">
        <x:v>21</x:v>
      </x:c>
      <x:c r="N146" t="str">
        <x:v>1-1</x:v>
      </x:c>
      <x:c r="O146" t="str">
        <x:f>IF(E146&lt;&gt;TRUE,"",IF(M146&gt;H146,"W",IF(M146&lt;H146,"L","T")))</x:f>
        <x:v>W</x:v>
      </x:c>
      <x:c r="P146" s="66" t="b">
        <x:v>0</x:v>
      </x:c>
      <x:c r="Q146" s="66" t="b">
        <x:v>0</x:v>
      </x:c>
      <x:c r="R146" t="str">
        <x:v>War Memorial Stadium</x:v>
      </x:c>
      <x:c r="S146" t="str">
        <x:v>MW+</x:v>
      </x:c>
      <x:c r="T146"/>
      <x:c r="U146" s="70"/>
      <x:c r="V146" s="70"/>
      <x:c r="W146"/>
      <x:c r="X146" t="str">
        <x:v>https://www.espn.com/college-football/game/_/gameId/401864506</x:v>
      </x:c>
    </x:row>
    <x:row r="147">
      <x:c r="A147" t="str">
        <x:v>CFB</x:v>
      </x:c>
      <x:c r="B147" t="n">
        <x:v>2</x:v>
      </x:c>
      <x:c r="C147" s="68" t="n">
        <x:v>46277.833333333336</x:v>
      </x:c>
      <x:c r="D147" s="71" t="str">
        <x:v>post</x:v>
      </x:c>
      <x:c r="E147" s="72" t="b">
        <x:v>1</x:v>
      </x:c>
      <x:c r="F147" t="str">
        <x:v>Mercyhurst Lakers</x:v>
      </x:c>
      <x:c r="G147" t="str">
        <x:v>MERC</x:v>
      </x:c>
      <x:c r="H147" s="69" t="n">
        <x:v>7</x:v>
      </x:c>
      <x:c r="I147" t="str">
        <x:v>0-3</x:v>
      </x:c>
      <x:c r="J147" t="str">
        <x:f>IF(E147&lt;&gt;TRUE,"",IF(H147&gt;M147,"W",IF(H147&lt;M147,"L","T")))</x:f>
        <x:v>L</x:v>
      </x:c>
      <x:c r="K147" t="str">
        <x:v>New Mexico Lobos</x:v>
      </x:c>
      <x:c r="L147" t="str">
        <x:v>UNM</x:v>
      </x:c>
      <x:c r="M147" s="69" t="n">
        <x:v>70</x:v>
      </x:c>
      <x:c r="N147" t="str">
        <x:v>2-0</x:v>
      </x:c>
      <x:c r="O147" t="str">
        <x:f>IF(E147&lt;&gt;TRUE,"",IF(M147&gt;H147,"W",IF(M147&lt;H147,"L","T")))</x:f>
        <x:v>W</x:v>
      </x:c>
      <x:c r="P147" s="66" t="b">
        <x:v>0</x:v>
      </x:c>
      <x:c r="Q147" s="66" t="b">
        <x:v>0</x:v>
      </x:c>
      <x:c r="R147" t="str">
        <x:v>University Stadium (NM)</x:v>
      </x:c>
      <x:c r="S147" t="str">
        <x:v>MW+</x:v>
      </x:c>
      <x:c r="T147"/>
      <x:c r="U147" s="70"/>
      <x:c r="V147" s="70"/>
      <x:c r="W147"/>
      <x:c r="X147" t="str">
        <x:v>https://www.espn.com/college-football/game/_/gameId/401865252</x:v>
      </x:c>
    </x:row>
    <x:row r="148">
      <x:c r="A148" t="str">
        <x:v>CFB</x:v>
      </x:c>
      <x:c r="B148" t="n">
        <x:v>2</x:v>
      </x:c>
      <x:c r="C148" s="68" t="n">
        <x:v>46277.833333333336</x:v>
      </x:c>
      <x:c r="D148" s="71" t="str">
        <x:v>post</x:v>
      </x:c>
      <x:c r="E148" s="72" t="b">
        <x:v>1</x:v>
      </x:c>
      <x:c r="F148" t="str">
        <x:v>Alabama State Hornets</x:v>
      </x:c>
      <x:c r="G148" t="str">
        <x:v>ALST</x:v>
      </x:c>
      <x:c r="H148" s="69" t="n">
        <x:v>17</x:v>
      </x:c>
      <x:c r="I148" t="str">
        <x:v>2-1</x:v>
      </x:c>
      <x:c r="J148" t="str">
        <x:f>IF(E148&lt;&gt;TRUE,"",IF(H148&gt;M148,"W",IF(H148&lt;M148,"L","T")))</x:f>
        <x:v>L</x:v>
      </x:c>
      <x:c r="K148" t="str">
        <x:v>Troy Trojans</x:v>
      </x:c>
      <x:c r="L148" t="str">
        <x:v>TROY</x:v>
      </x:c>
      <x:c r="M148" s="69" t="n">
        <x:v>34</x:v>
      </x:c>
      <x:c r="N148" t="str">
        <x:v>2-0</x:v>
      </x:c>
      <x:c r="O148" t="str">
        <x:f>IF(E148&lt;&gt;TRUE,"",IF(M148&gt;H148,"W",IF(M148&lt;H148,"L","T")))</x:f>
        <x:v>W</x:v>
      </x:c>
      <x:c r="P148" s="66" t="b">
        <x:v>0</x:v>
      </x:c>
      <x:c r="Q148" s="66" t="b">
        <x:v>0</x:v>
      </x:c>
      <x:c r="R148" t="str">
        <x:v>Veterans Memorial Stadium (AL)</x:v>
      </x:c>
      <x:c r="S148" t="str">
        <x:v>ESPN+</x:v>
      </x:c>
      <x:c r="T148"/>
      <x:c r="U148" s="70"/>
      <x:c r="V148" s="70"/>
      <x:c r="W148"/>
      <x:c r="X148" t="str">
        <x:v>https://www.espn.com/college-football/game/_/gameId/401868326</x:v>
      </x:c>
    </x:row>
    <x:row r="149">
      <x:c r="A149" t="str">
        <x:v>CFB</x:v>
      </x:c>
      <x:c r="B149" t="n">
        <x:v>2</x:v>
      </x:c>
      <x:c r="C149" s="68" t="n">
        <x:v>46277.84375</x:v>
      </x:c>
      <x:c r="D149" s="71" t="str">
        <x:v>post</x:v>
      </x:c>
      <x:c r="E149" s="72" t="b">
        <x:v>1</x:v>
      </x:c>
      <x:c r="F149" t="str">
        <x:v>Delaware Blue Hens</x:v>
      </x:c>
      <x:c r="G149" t="str">
        <x:v>DEL</x:v>
      </x:c>
      <x:c r="H149" s="69" t="n">
        <x:v>26</x:v>
      </x:c>
      <x:c r="I149" t="str">
        <x:v>1-1</x:v>
      </x:c>
      <x:c r="J149" t="str">
        <x:f>IF(E149&lt;&gt;TRUE,"",IF(H149&gt;M149,"W",IF(H149&lt;M149,"L","T")))</x:f>
        <x:v>L</x:v>
      </x:c>
      <x:c r="K149" t="str">
        <x:v>Vanderbilt Commodores</x:v>
      </x:c>
      <x:c r="L149" t="str">
        <x:v>VAN</x:v>
      </x:c>
      <x:c r="M149" s="69" t="n">
        <x:v>35</x:v>
      </x:c>
      <x:c r="N149" t="str">
        <x:v>2-0</x:v>
      </x:c>
      <x:c r="O149" t="str">
        <x:f>IF(E149&lt;&gt;TRUE,"",IF(M149&gt;H149,"W",IF(M149&lt;H149,"L","T")))</x:f>
        <x:v>W</x:v>
      </x:c>
      <x:c r="P149" s="66" t="b">
        <x:v>0</x:v>
      </x:c>
      <x:c r="Q149" s="66" t="b">
        <x:v>0</x:v>
      </x:c>
      <x:c r="R149" t="str">
        <x:v>FirstBank Stadium</x:v>
      </x:c>
      <x:c r="S149" t="str">
        <x:v>SEC Network</x:v>
      </x:c>
      <x:c r="T149"/>
      <x:c r="U149" s="70"/>
      <x:c r="V149" s="70"/>
      <x:c r="W149"/>
      <x:c r="X149" t="str">
        <x:v>https://www.espn.com/college-football/game/_/gameId/401856684</x:v>
      </x:c>
    </x:row>
    <x:row r="150">
      <x:c r="A150" t="str">
        <x:v>CFB</x:v>
      </x:c>
      <x:c r="B150" t="n">
        <x:v>2</x:v>
      </x:c>
      <x:c r="C150" s="68" t="n">
        <x:v>46277.895833333336</x:v>
      </x:c>
      <x:c r="D150" s="71" t="str">
        <x:v>post</x:v>
      </x:c>
      <x:c r="E150" s="72" t="b">
        <x:v>1</x:v>
      </x:c>
      <x:c r="F150" t="str">
        <x:v>Campbell Fighting Camels</x:v>
      </x:c>
      <x:c r="G150" t="str">
        <x:v>CAM</x:v>
      </x:c>
      <x:c r="H150" s="69" t="n">
        <x:v>3</x:v>
      </x:c>
      <x:c r="I150" t="str">
        <x:v>2-1</x:v>
      </x:c>
      <x:c r="J150" t="str">
        <x:f>IF(E150&lt;&gt;TRUE,"",IF(H150&gt;M150,"W",IF(H150&lt;M150,"L","T")))</x:f>
        <x:v>L</x:v>
      </x:c>
      <x:c r="K150" t="str">
        <x:v>Florida Gators</x:v>
      </x:c>
      <x:c r="L150" t="str">
        <x:v>FLA</x:v>
      </x:c>
      <x:c r="M150" s="69" t="n">
        <x:v>52</x:v>
      </x:c>
      <x:c r="N150" t="str">
        <x:v>2-0</x:v>
      </x:c>
      <x:c r="O150" t="str">
        <x:f>IF(E150&lt;&gt;TRUE,"",IF(M150&gt;H150,"W",IF(M150&lt;H150,"L","T")))</x:f>
        <x:v>W</x:v>
      </x:c>
      <x:c r="P150" s="66" t="b">
        <x:v>0</x:v>
      </x:c>
      <x:c r="Q150" s="66" t="b">
        <x:v>0</x:v>
      </x:c>
      <x:c r="R150" t="str">
        <x:v>Ben Hill Griffin Stadium</x:v>
      </x:c>
      <x:c r="S150" t="str">
        <x:v>SECN+</x:v>
      </x:c>
      <x:c r="T150"/>
      <x:c r="U150" s="70"/>
      <x:c r="V150" s="70"/>
      <x:c r="W150"/>
      <x:c r="X150" t="str">
        <x:v>https://www.espn.com/college-football/game/_/gameId/401856672</x:v>
      </x:c>
    </x:row>
    <x:row r="151">
      <x:c r="A151" t="str">
        <x:v>CFB</x:v>
      </x:c>
      <x:c r="B151" t="n">
        <x:v>2</x:v>
      </x:c>
      <x:c r="C151" s="68" t="n">
        <x:v>46277.916666666664</x:v>
      </x:c>
      <x:c r="D151" s="71" t="str">
        <x:v>post</x:v>
      </x:c>
      <x:c r="E151" s="72" t="b">
        <x:v>1</x:v>
      </x:c>
      <x:c r="F151" t="str">
        <x:v>Memphis Tigers</x:v>
      </x:c>
      <x:c r="G151" t="str">
        <x:v>MEM</x:v>
      </x:c>
      <x:c r="H151" s="69" t="n">
        <x:v>20</x:v>
      </x:c>
      <x:c r="I151" t="str">
        <x:v>2-1</x:v>
      </x:c>
      <x:c r="J151" t="str">
        <x:f>IF(E151&lt;&gt;TRUE,"",IF(H151&gt;M151,"W",IF(H151&lt;M151,"L","T")))</x:f>
        <x:v>L</x:v>
      </x:c>
      <x:c r="K151" t="str">
        <x:v>Boise State Broncos</x:v>
      </x:c>
      <x:c r="L151" t="str">
        <x:v>BOIS</x:v>
      </x:c>
      <x:c r="M151" s="69" t="n">
        <x:v>38</x:v>
      </x:c>
      <x:c r="N151" t="str">
        <x:v>1-1</x:v>
      </x:c>
      <x:c r="O151" t="str">
        <x:f>IF(E151&lt;&gt;TRUE,"",IF(M151&gt;H151,"W",IF(M151&lt;H151,"L","T")))</x:f>
        <x:v>W</x:v>
      </x:c>
      <x:c r="P151" s="66" t="b">
        <x:v>0</x:v>
      </x:c>
      <x:c r="Q151" s="66" t="b">
        <x:v>0</x:v>
      </x:c>
      <x:c r="R151" t="str">
        <x:v>Albertsons Stadium</x:v>
      </x:c>
      <x:c r="S151" t="str">
        <x:v>USA Net</x:v>
      </x:c>
      <x:c r="T151"/>
      <x:c r="U151" s="70"/>
      <x:c r="V151" s="70"/>
      <x:c r="W151"/>
      <x:c r="X151" t="str">
        <x:v>https://www.espn.com/college-football/game/_/gameId/401860881</x:v>
      </x:c>
    </x:row>
    <x:row r="152">
      <x:c r="A152" t="str">
        <x:v>CFB</x:v>
      </x:c>
      <x:c r="B152" t="n">
        <x:v>2</x:v>
      </x:c>
      <x:c r="C152" s="68" t="n">
        <x:v>46277.916666666664</x:v>
      </x:c>
      <x:c r="D152" s="71" t="str">
        <x:v>post</x:v>
      </x:c>
      <x:c r="E152" s="72" t="b">
        <x:v>1</x:v>
      </x:c>
      <x:c r="F152" t="str">
        <x:v>Buffalo Bulls</x:v>
      </x:c>
      <x:c r="G152" t="str">
        <x:v>BUFF</x:v>
      </x:c>
      <x:c r="H152" s="69" t="n">
        <x:v>20</x:v>
      </x:c>
      <x:c r="I152" t="str">
        <x:v>1-1</x:v>
      </x:c>
      <x:c r="J152" t="str">
        <x:f>IF(E152&lt;&gt;TRUE,"",IF(H152&gt;M152,"W",IF(H152&lt;M152,"L","T")))</x:f>
        <x:v>L</x:v>
      </x:c>
      <x:c r="K152" t="str">
        <x:v>Florida International Panthers</x:v>
      </x:c>
      <x:c r="L152" t="str">
        <x:v>FIU</x:v>
      </x:c>
      <x:c r="M152" s="69" t="n">
        <x:v>33</x:v>
      </x:c>
      <x:c r="N152" t="str">
        <x:v>1-1</x:v>
      </x:c>
      <x:c r="O152" t="str">
        <x:f>IF(E152&lt;&gt;TRUE,"",IF(M152&gt;H152,"W",IF(M152&lt;H152,"L","T")))</x:f>
        <x:v>W</x:v>
      </x:c>
      <x:c r="P152" s="66" t="b">
        <x:v>0</x:v>
      </x:c>
      <x:c r="Q152" s="66" t="b">
        <x:v>0</x:v>
      </x:c>
      <x:c r="R152" t="str">
        <x:v>Pitbull Stadium</x:v>
      </x:c>
      <x:c r="S152" t="str">
        <x:v>ESPN+</x:v>
      </x:c>
      <x:c r="T152"/>
      <x:c r="U152" s="70"/>
      <x:c r="V152" s="70"/>
      <x:c r="W152"/>
      <x:c r="X152" t="str">
        <x:v>https://www.espn.com/college-football/game/_/gameId/401866414</x:v>
      </x:c>
    </x:row>
    <x:row r="153">
      <x:c r="A153" t="str">
        <x:v>CFB</x:v>
      </x:c>
      <x:c r="B153" t="n">
        <x:v>2</x:v>
      </x:c>
      <x:c r="C153" s="68" t="n">
        <x:v>46277.916666666664</x:v>
      </x:c>
      <x:c r="D153" s="71" t="str">
        <x:v>post</x:v>
      </x:c>
      <x:c r="E153" s="72" t="b">
        <x:v>1</x:v>
      </x:c>
      <x:c r="F153" t="str">
        <x:v>Jacksonville State Gamecocks</x:v>
      </x:c>
      <x:c r="G153" t="str">
        <x:v>JXST</x:v>
      </x:c>
      <x:c r="H153" s="69" t="n">
        <x:v>27</x:v>
      </x:c>
      <x:c r="I153" t="str">
        <x:v>1-2</x:v>
      </x:c>
      <x:c r="J153" t="str">
        <x:f>IF(E153&lt;&gt;TRUE,"",IF(H153&gt;M153,"W",IF(H153&lt;M153,"L","T")))</x:f>
        <x:v>L</x:v>
      </x:c>
      <x:c r="K153" t="str">
        <x:v>Ohio Bobcats</x:v>
      </x:c>
      <x:c r="L153" t="str">
        <x:v>OHIO</x:v>
      </x:c>
      <x:c r="M153" s="69" t="n">
        <x:v>29</x:v>
      </x:c>
      <x:c r="N153" t="str">
        <x:v>1-1</x:v>
      </x:c>
      <x:c r="O153" t="str">
        <x:f>IF(E153&lt;&gt;TRUE,"",IF(M153&gt;H153,"W",IF(M153&lt;H153,"L","T")))</x:f>
        <x:v>W</x:v>
      </x:c>
      <x:c r="P153" s="66" t="b">
        <x:v>0</x:v>
      </x:c>
      <x:c r="Q153" s="66" t="b">
        <x:v>0</x:v>
      </x:c>
      <x:c r="R153" t="str">
        <x:v>Peden Stadium</x:v>
      </x:c>
      <x:c r="S153" t="str">
        <x:v>ESPN+</x:v>
      </x:c>
      <x:c r="T153"/>
      <x:c r="U153" s="70"/>
      <x:c r="V153" s="70"/>
      <x:c r="W153"/>
      <x:c r="X153" t="str">
        <x:v>https://www.espn.com/college-football/game/_/gameId/401866418</x:v>
      </x:c>
    </x:row>
    <x:row r="154">
      <x:c r="A154" t="str">
        <x:v>CFB</x:v>
      </x:c>
      <x:c r="B154" t="n">
        <x:v>2</x:v>
      </x:c>
      <x:c r="C154" s="68" t="n">
        <x:v>46277.9375</x:v>
      </x:c>
      <x:c r="D154" s="71" t="str">
        <x:v>post</x:v>
      </x:c>
      <x:c r="E154" s="72" t="b">
        <x:v>1</x:v>
      </x:c>
      <x:c r="F154" t="str">
        <x:v>Monmouth Hawks</x:v>
      </x:c>
      <x:c r="G154" t="str">
        <x:v>MONM</x:v>
      </x:c>
      <x:c r="H154" s="69" t="n">
        <x:v>14</x:v>
      </x:c>
      <x:c r="I154" t="str">
        <x:v>1-2</x:v>
      </x:c>
      <x:c r="J154" t="str">
        <x:f>IF(E154&lt;&gt;TRUE,"",IF(H154&gt;M154,"W",IF(H154&lt;M154,"L","T")))</x:f>
        <x:v>L</x:v>
      </x:c>
      <x:c r="K154" t="str">
        <x:v>Western Michigan Broncos</x:v>
      </x:c>
      <x:c r="L154" t="str">
        <x:v>WMU</x:v>
      </x:c>
      <x:c r="M154" s="69" t="n">
        <x:v>49</x:v>
      </x:c>
      <x:c r="N154" t="str">
        <x:v>1-1</x:v>
      </x:c>
      <x:c r="O154" t="str">
        <x:f>IF(E154&lt;&gt;TRUE,"",IF(M154&gt;H154,"W",IF(M154&lt;H154,"L","T")))</x:f>
        <x:v>W</x:v>
      </x:c>
      <x:c r="P154" s="66" t="b">
        <x:v>0</x:v>
      </x:c>
      <x:c r="Q154" s="66" t="b">
        <x:v>0</x:v>
      </x:c>
      <x:c r="R154" t="str">
        <x:v>Waldo Stadium</x:v>
      </x:c>
      <x:c r="S154" t="str">
        <x:v>ESPN+</x:v>
      </x:c>
      <x:c r="T154"/>
      <x:c r="U154" s="70"/>
      <x:c r="V154" s="70"/>
      <x:c r="W154"/>
      <x:c r="X154" t="str">
        <x:v>https://www.espn.com/college-football/game/_/gameId/401866421</x:v>
      </x:c>
    </x:row>
    <x:row r="155">
      <x:c r="A155" t="str">
        <x:v>CFB</x:v>
      </x:c>
      <x:c r="B155" t="n">
        <x:v>2</x:v>
      </x:c>
      <x:c r="C155" s="68" t="n">
        <x:v>46277.958333333336</x:v>
      </x:c>
      <x:c r="D155" s="71" t="str">
        <x:v>post</x:v>
      </x:c>
      <x:c r="E155" s="72" t="b">
        <x:v>1</x:v>
      </x:c>
      <x:c r="F155" t="str">
        <x:v>Towson Tigers</x:v>
      </x:c>
      <x:c r="G155" t="str">
        <x:v>TOW</x:v>
      </x:c>
      <x:c r="H155" s="69" t="n">
        <x:v>9</x:v>
      </x:c>
      <x:c r="I155" t="str">
        <x:v>0-3</x:v>
      </x:c>
      <x:c r="J155" t="str">
        <x:f>IF(E155&lt;&gt;TRUE,"",IF(H155&gt;M155,"W",IF(H155&lt;M155,"L","T")))</x:f>
        <x:v>L</x:v>
      </x:c>
      <x:c r="K155" t="str">
        <x:v>South Carolina Gamecocks</x:v>
      </x:c>
      <x:c r="L155" t="str">
        <x:v>SC</x:v>
      </x:c>
      <x:c r="M155" s="69" t="n">
        <x:v>45</x:v>
      </x:c>
      <x:c r="N155" t="str">
        <x:v>2-0</x:v>
      </x:c>
      <x:c r="O155" t="str">
        <x:f>IF(E155&lt;&gt;TRUE,"",IF(M155&gt;H155,"W",IF(M155&lt;H155,"L","T")))</x:f>
        <x:v>W</x:v>
      </x:c>
      <x:c r="P155" s="66" t="b">
        <x:v>0</x:v>
      </x:c>
      <x:c r="Q155" s="66" t="b">
        <x:v>0</x:v>
      </x:c>
      <x:c r="R155" t="str">
        <x:v>Williams-Brice Stadium</x:v>
      </x:c>
      <x:c r="S155" t="str">
        <x:v>SECN+</x:v>
      </x:c>
      <x:c r="T155"/>
      <x:c r="U155" s="70"/>
      <x:c r="V155" s="70"/>
      <x:c r="W155"/>
      <x:c r="X155" t="str">
        <x:v>https://www.espn.com/college-football/game/_/gameId/401856680</x:v>
      </x:c>
    </x:row>
    <x:row r="156">
      <x:c r="A156" t="str">
        <x:v>CFB</x:v>
      </x:c>
      <x:c r="B156" t="n">
        <x:v>2</x:v>
      </x:c>
      <x:c r="C156" s="68" t="n">
        <x:v>46277.958333333336</x:v>
      </x:c>
      <x:c r="D156" s="71" t="str">
        <x:v>post</x:v>
      </x:c>
      <x:c r="E156" s="72" t="b">
        <x:v>1</x:v>
      </x:c>
      <x:c r="F156" t="str">
        <x:v>Tennessee Volunteers</x:v>
      </x:c>
      <x:c r="G156" t="str">
        <x:v>TENN</x:v>
      </x:c>
      <x:c r="H156" s="69" t="n">
        <x:v>45</x:v>
      </x:c>
      <x:c r="I156" t="str">
        <x:v>2-0</x:v>
      </x:c>
      <x:c r="J156" t="str">
        <x:f>IF(E156&lt;&gt;TRUE,"",IF(H156&gt;M156,"W",IF(H156&lt;M156,"L","T")))</x:f>
        <x:v>W</x:v>
      </x:c>
      <x:c r="K156" t="str">
        <x:v>Georgia Tech Yellow Jackets</x:v>
      </x:c>
      <x:c r="L156" t="str">
        <x:v>GT</x:v>
      </x:c>
      <x:c r="M156" s="69" t="n">
        <x:v>24</x:v>
      </x:c>
      <x:c r="N156" t="str">
        <x:v>0-2</x:v>
      </x:c>
      <x:c r="O156" t="str">
        <x:f>IF(E156&lt;&gt;TRUE,"",IF(M156&gt;H156,"W",IF(M156&lt;H156,"L","T")))</x:f>
        <x:v>L</x:v>
      </x:c>
      <x:c r="P156" s="66" t="b">
        <x:v>0</x:v>
      </x:c>
      <x:c r="Q156" s="66" t="b">
        <x:v>0</x:v>
      </x:c>
      <x:c r="R156" t="str">
        <x:v>Bobby Dodd Stadium</x:v>
      </x:c>
      <x:c r="S156" t="str">
        <x:v>ESPN</x:v>
      </x:c>
      <x:c r="T156"/>
      <x:c r="U156" s="70"/>
      <x:c r="V156" s="70"/>
      <x:c r="W156"/>
      <x:c r="X156" t="str">
        <x:v>https://www.espn.com/college-football/game/_/gameId/401856681</x:v>
      </x:c>
    </x:row>
    <x:row r="157">
      <x:c r="A157" t="str">
        <x:v>CFB</x:v>
      </x:c>
      <x:c r="B157" t="n">
        <x:v>2</x:v>
      </x:c>
      <x:c r="C157" s="68" t="n">
        <x:v>46277.958333333336</x:v>
      </x:c>
      <x:c r="D157" s="71" t="str">
        <x:v>post</x:v>
      </x:c>
      <x:c r="E157" s="72" t="b">
        <x:v>1</x:v>
      </x:c>
      <x:c r="F157" t="str">
        <x:v>Western Carolina Catamounts</x:v>
      </x:c>
      <x:c r="G157" t="str">
        <x:v>WCU</x:v>
      </x:c>
      <x:c r="H157" s="69" t="n">
        <x:v>10</x:v>
      </x:c>
      <x:c r="I157" t="str">
        <x:v>1-2</x:v>
      </x:c>
      <x:c r="J157" t="str">
        <x:f>IF(E157&lt;&gt;TRUE,"",IF(H157&gt;M157,"W",IF(H157&lt;M157,"L","T")))</x:f>
        <x:v>L</x:v>
      </x:c>
      <x:c r="K157" t="str">
        <x:v>Cincinnati Bearcats</x:v>
      </x:c>
      <x:c r="L157" t="str">
        <x:v>CIN</x:v>
      </x:c>
      <x:c r="M157" s="69" t="n">
        <x:v>62</x:v>
      </x:c>
      <x:c r="N157" t="str">
        <x:v>2-0</x:v>
      </x:c>
      <x:c r="O157" t="str">
        <x:f>IF(E157&lt;&gt;TRUE,"",IF(M157&gt;H157,"W",IF(M157&lt;H157,"L","T")))</x:f>
        <x:v>W</x:v>
      </x:c>
      <x:c r="P157" s="66" t="b">
        <x:v>0</x:v>
      </x:c>
      <x:c r="Q157" s="66" t="b">
        <x:v>0</x:v>
      </x:c>
      <x:c r="R157" t="str">
        <x:v>Nippert Stadium</x:v>
      </x:c>
      <x:c r="S157" t="str">
        <x:v>ESPN+</x:v>
      </x:c>
      <x:c r="T157"/>
      <x:c r="U157" s="70"/>
      <x:c r="V157" s="70"/>
      <x:c r="W157"/>
      <x:c r="X157" t="str">
        <x:v>https://www.espn.com/college-football/game/_/gameId/401856786</x:v>
      </x:c>
    </x:row>
    <x:row r="158">
      <x:c r="A158" t="str">
        <x:v>CFB</x:v>
      </x:c>
      <x:c r="B158" t="n">
        <x:v>2</x:v>
      </x:c>
      <x:c r="C158" s="68" t="n">
        <x:v>46277.958333333336</x:v>
      </x:c>
      <x:c r="D158" s="71" t="str">
        <x:v>post</x:v>
      </x:c>
      <x:c r="E158" s="72" t="b">
        <x:v>1</x:v>
      </x:c>
      <x:c r="F158" t="str">
        <x:v>Southern Jaguars</x:v>
      </x:c>
      <x:c r="G158" t="str">
        <x:v>SOU</x:v>
      </x:c>
      <x:c r="H158" s="69" t="n">
        <x:v>6</x:v>
      </x:c>
      <x:c r="I158" t="str">
        <x:v>1-2</x:v>
      </x:c>
      <x:c r="J158" t="str">
        <x:f>IF(E158&lt;&gt;TRUE,"",IF(H158&gt;M158,"W",IF(H158&lt;M158,"L","T")))</x:f>
        <x:v>L</x:v>
      </x:c>
      <x:c r="K158" t="str">
        <x:v>Houston Cougars</x:v>
      </x:c>
      <x:c r="L158" t="str">
        <x:v>HOU</x:v>
      </x:c>
      <x:c r="M158" s="69" t="n">
        <x:v>77</x:v>
      </x:c>
      <x:c r="N158" t="str">
        <x:v>2-0</x:v>
      </x:c>
      <x:c r="O158" t="str">
        <x:f>IF(E158&lt;&gt;TRUE,"",IF(M158&gt;H158,"W",IF(M158&lt;H158,"L","T")))</x:f>
        <x:v>W</x:v>
      </x:c>
      <x:c r="P158" s="66" t="b">
        <x:v>0</x:v>
      </x:c>
      <x:c r="Q158" s="66" t="b">
        <x:v>0</x:v>
      </x:c>
      <x:c r="R158" t="str">
        <x:v>TDECU Stadium</x:v>
      </x:c>
      <x:c r="S158" t="str">
        <x:v>ESPN+</x:v>
      </x:c>
      <x:c r="T158"/>
      <x:c r="U158" s="70"/>
      <x:c r="V158" s="70"/>
      <x:c r="W158"/>
      <x:c r="X158" t="str">
        <x:v>https://www.espn.com/college-football/game/_/gameId/401856787</x:v>
      </x:c>
    </x:row>
    <x:row r="159">
      <x:c r="A159" t="str">
        <x:v>CFB</x:v>
      </x:c>
      <x:c r="B159" t="n">
        <x:v>2</x:v>
      </x:c>
      <x:c r="C159" s="68" t="n">
        <x:v>46277.958333333336</x:v>
      </x:c>
      <x:c r="D159" s="71" t="str">
        <x:v>post</x:v>
      </x:c>
      <x:c r="E159" s="72" t="b">
        <x:v>1</x:v>
      </x:c>
      <x:c r="F159" t="str">
        <x:v>Bowling Green Falcons</x:v>
      </x:c>
      <x:c r="G159" t="str">
        <x:v>BGSU</x:v>
      </x:c>
      <x:c r="H159" s="69" t="n">
        <x:v>7</x:v>
      </x:c>
      <x:c r="I159" t="str">
        <x:v>0-2</x:v>
      </x:c>
      <x:c r="J159" t="str">
        <x:f>IF(E159&lt;&gt;TRUE,"",IF(H159&gt;M159,"W",IF(H159&lt;M159,"L","T")))</x:f>
        <x:v>L</x:v>
      </x:c>
      <x:c r="K159" t="str">
        <x:v>Nebraska Cornhuskers</x:v>
      </x:c>
      <x:c r="L159" t="str">
        <x:v>NEB</x:v>
      </x:c>
      <x:c r="M159" s="69" t="n">
        <x:v>56</x:v>
      </x:c>
      <x:c r="N159" t="str">
        <x:v>2-0</x:v>
      </x:c>
      <x:c r="O159" t="str">
        <x:f>IF(E159&lt;&gt;TRUE,"",IF(M159&gt;H159,"W",IF(M159&lt;H159,"L","T")))</x:f>
        <x:v>W</x:v>
      </x:c>
      <x:c r="P159" s="66" t="b">
        <x:v>0</x:v>
      </x:c>
      <x:c r="Q159" s="66" t="b">
        <x:v>0</x:v>
      </x:c>
      <x:c r="R159" t="str">
        <x:v>Memorial Stadium (Lincoln, NE)</x:v>
      </x:c>
      <x:c r="S159" t="str">
        <x:v>FS1</x:v>
      </x:c>
      <x:c r="T159"/>
      <x:c r="U159" s="70"/>
      <x:c r="V159" s="70"/>
      <x:c r="W159"/>
      <x:c r="X159" t="str">
        <x:v>https://www.espn.com/college-football/game/_/gameId/401858441</x:v>
      </x:c>
    </x:row>
    <x:row r="160">
      <x:c r="A160" t="str">
        <x:v>CFB</x:v>
      </x:c>
      <x:c r="B160" t="n">
        <x:v>2</x:v>
      </x:c>
      <x:c r="C160" s="68" t="n">
        <x:v>46277.958333333336</x:v>
      </x:c>
      <x:c r="D160" s="71" t="str">
        <x:v>post</x:v>
      </x:c>
      <x:c r="E160" s="72" t="b">
        <x:v>1</x:v>
      </x:c>
      <x:c r="F160" t="str">
        <x:v>Southern Utah Thunderbirds</x:v>
      </x:c>
      <x:c r="G160" t="str">
        <x:v>SUU</x:v>
      </x:c>
      <x:c r="H160" s="69" t="n">
        <x:v>24</x:v>
      </x:c>
      <x:c r="I160" t="str">
        <x:v>1-2</x:v>
      </x:c>
      <x:c r="J160" t="str">
        <x:f>IF(E160&lt;&gt;TRUE,"",IF(H160&gt;M160,"W",IF(H160&lt;M160,"L","T")))</x:f>
        <x:v>L</x:v>
      </x:c>
      <x:c r="K160" t="str">
        <x:v>Colorado State Rams</x:v>
      </x:c>
      <x:c r="L160" t="str">
        <x:v>CSU</x:v>
      </x:c>
      <x:c r="M160" s="69" t="n">
        <x:v>58</x:v>
      </x:c>
      <x:c r="N160" t="str">
        <x:v>2-0</x:v>
      </x:c>
      <x:c r="O160" t="str">
        <x:f>IF(E160&lt;&gt;TRUE,"",IF(M160&gt;H160,"W",IF(M160&lt;H160,"L","T")))</x:f>
        <x:v>W</x:v>
      </x:c>
      <x:c r="P160" s="66" t="b">
        <x:v>0</x:v>
      </x:c>
      <x:c r="Q160" s="66" t="b">
        <x:v>0</x:v>
      </x:c>
      <x:c r="R160" t="str">
        <x:v>Canvas Stadium</x:v>
      </x:c>
      <x:c r="S160" t="str">
        <x:v>CBSSN</x:v>
      </x:c>
      <x:c r="T160"/>
      <x:c r="U160" s="70"/>
      <x:c r="V160" s="70"/>
      <x:c r="W160"/>
      <x:c r="X160" t="str">
        <x:v>https://www.espn.com/college-football/game/_/gameId/401860882</x:v>
      </x:c>
    </x:row>
    <x:row r="161">
      <x:c r="A161" t="str">
        <x:v>CFB</x:v>
      </x:c>
      <x:c r="B161" t="n">
        <x:v>2</x:v>
      </x:c>
      <x:c r="C161" s="68" t="n">
        <x:v>46277.958333333336</x:v>
      </x:c>
      <x:c r="D161" s="71" t="str">
        <x:v>post</x:v>
      </x:c>
      <x:c r="E161" s="72" t="b">
        <x:v>1</x:v>
      </x:c>
      <x:c r="F161" t="str">
        <x:v>Tulsa Golden Hurricane</x:v>
      </x:c>
      <x:c r="G161" t="str">
        <x:v>TLSA</x:v>
      </x:c>
      <x:c r="H161" s="69" t="n">
        <x:v>23</x:v>
      </x:c>
      <x:c r="I161" t="str">
        <x:v>2-0</x:v>
      </x:c>
      <x:c r="J161" t="str">
        <x:f>IF(E161&lt;&gt;TRUE,"",IF(H161&gt;M161,"W",IF(H161&lt;M161,"L","T")))</x:f>
        <x:v>W</x:v>
      </x:c>
      <x:c r="K161" t="str">
        <x:v>Sam Houston Bearkats</x:v>
      </x:c>
      <x:c r="L161" t="str">
        <x:v>SHSU</x:v>
      </x:c>
      <x:c r="M161" s="69" t="n">
        <x:v>17</x:v>
      </x:c>
      <x:c r="N161" t="str">
        <x:v>0-2</x:v>
      </x:c>
      <x:c r="O161" t="str">
        <x:f>IF(E161&lt;&gt;TRUE,"",IF(M161&gt;H161,"W",IF(M161&lt;H161,"L","T")))</x:f>
        <x:v>L</x:v>
      </x:c>
      <x:c r="P161" s="66" t="b">
        <x:v>0</x:v>
      </x:c>
      <x:c r="Q161" s="66" t="b">
        <x:v>0</x:v>
      </x:c>
      <x:c r="R161" t="str">
        <x:v>Elliott T. Bowers Stadium</x:v>
      </x:c>
      <x:c r="S161" t="str">
        <x:v>ESPN+</x:v>
      </x:c>
      <x:c r="T161"/>
      <x:c r="U161" s="70"/>
      <x:c r="V161" s="70"/>
      <x:c r="W161"/>
      <x:c r="X161" t="str">
        <x:v>https://www.espn.com/college-football/game/_/gameId/401862707</x:v>
      </x:c>
    </x:row>
    <x:row r="162">
      <x:c r="A162" t="str">
        <x:v>CFB</x:v>
      </x:c>
      <x:c r="B162" t="n">
        <x:v>2</x:v>
      </x:c>
      <x:c r="C162" s="68" t="n">
        <x:v>46277.958333333336</x:v>
      </x:c>
      <x:c r="D162" s="71" t="str">
        <x:v>post</x:v>
      </x:c>
      <x:c r="E162" s="72" t="b">
        <x:v>1</x:v>
      </x:c>
      <x:c r="F162" t="str">
        <x:v>Illinois State Redbirds</x:v>
      </x:c>
      <x:c r="G162" t="str">
        <x:v>ILST</x:v>
      </x:c>
      <x:c r="H162" s="69" t="n">
        <x:v>28</x:v>
      </x:c>
      <x:c r="I162" t="str">
        <x:v>3-0</x:v>
      </x:c>
      <x:c r="J162" t="str">
        <x:f>IF(E162&lt;&gt;TRUE,"",IF(H162&gt;M162,"W",IF(H162&lt;M162,"L","T")))</x:f>
        <x:v>W</x:v>
      </x:c>
      <x:c r="K162" t="str">
        <x:v>Northern Illinois Huskies</x:v>
      </x:c>
      <x:c r="L162" t="str">
        <x:v>NIU</x:v>
      </x:c>
      <x:c r="M162" s="69" t="n">
        <x:v>24</x:v>
      </x:c>
      <x:c r="N162" t="str">
        <x:v>0-2</x:v>
      </x:c>
      <x:c r="O162" t="str">
        <x:f>IF(E162&lt;&gt;TRUE,"",IF(M162&gt;H162,"W",IF(M162&lt;H162,"L","T")))</x:f>
        <x:v>L</x:v>
      </x:c>
      <x:c r="P162" s="66" t="b">
        <x:v>0</x:v>
      </x:c>
      <x:c r="Q162" s="66" t="b">
        <x:v>0</x:v>
      </x:c>
      <x:c r="R162" t="str">
        <x:v>Huskie Stadium</x:v>
      </x:c>
      <x:c r="S162" t="str">
        <x:v>MW+</x:v>
      </x:c>
      <x:c r="T162"/>
      <x:c r="U162" s="70"/>
      <x:c r="V162" s="70"/>
      <x:c r="W162"/>
      <x:c r="X162" t="str">
        <x:v>https://www.espn.com/college-football/game/_/gameId/401864503</x:v>
      </x:c>
    </x:row>
    <x:row r="163">
      <x:c r="A163" t="str">
        <x:v>CFB</x:v>
      </x:c>
      <x:c r="B163" t="n">
        <x:v>2</x:v>
      </x:c>
      <x:c r="C163" s="68" t="n">
        <x:v>46277.958333333336</x:v>
      </x:c>
      <x:c r="D163" s="71" t="str">
        <x:v>post</x:v>
      </x:c>
      <x:c r="E163" s="72" t="b">
        <x:v>1</x:v>
      </x:c>
      <x:c r="F163" t="str">
        <x:v>South Alabama Jaguars</x:v>
      </x:c>
      <x:c r="G163" t="str">
        <x:v>USA</x:v>
      </x:c>
      <x:c r="H163" s="69" t="n">
        <x:v>24</x:v>
      </x:c>
      <x:c r="I163" t="str">
        <x:v>1-1</x:v>
      </x:c>
      <x:c r="J163" t="str">
        <x:f>IF(E163&lt;&gt;TRUE,"",IF(H163&gt;M163,"W",IF(H163&lt;M163,"L","T")))</x:f>
        <x:v>L</x:v>
      </x:c>
      <x:c r="K163" t="str">
        <x:v>Tulane Green Wave</x:v>
      </x:c>
      <x:c r="L163" t="str">
        <x:v>TULN</x:v>
      </x:c>
      <x:c r="M163" s="69" t="n">
        <x:v>28</x:v>
      </x:c>
      <x:c r="N163" t="str">
        <x:v>1-1</x:v>
      </x:c>
      <x:c r="O163" t="str">
        <x:f>IF(E163&lt;&gt;TRUE,"",IF(M163&gt;H163,"W",IF(M163&lt;H163,"L","T")))</x:f>
        <x:v>W</x:v>
      </x:c>
      <x:c r="P163" s="66" t="b">
        <x:v>0</x:v>
      </x:c>
      <x:c r="Q163" s="66" t="b">
        <x:v>0</x:v>
      </x:c>
      <x:c r="R163" t="str">
        <x:v>Yulman Stadium</x:v>
      </x:c>
      <x:c r="S163" t="str">
        <x:v>ESPN+</x:v>
      </x:c>
      <x:c r="T163"/>
      <x:c r="U163" s="70"/>
      <x:c r="V163" s="70"/>
      <x:c r="W163"/>
      <x:c r="X163" t="str">
        <x:v>https://www.espn.com/college-football/game/_/gameId/401864575</x:v>
      </x:c>
    </x:row>
    <x:row r="164">
      <x:c r="A164" t="str">
        <x:v>CFB</x:v>
      </x:c>
      <x:c r="B164" t="n">
        <x:v>2</x:v>
      </x:c>
      <x:c r="C164" s="68" t="n">
        <x:v>46277.958333333336</x:v>
      </x:c>
      <x:c r="D164" s="71" t="str">
        <x:v>post</x:v>
      </x:c>
      <x:c r="E164" s="72" t="b">
        <x:v>1</x:v>
      </x:c>
      <x:c r="F164" t="str">
        <x:v>West Georgia Wolves</x:v>
      </x:c>
      <x:c r="G164" t="str">
        <x:v>WES</x:v>
      </x:c>
      <x:c r="H164" s="69" t="n">
        <x:v>7</x:v>
      </x:c>
      <x:c r="I164" t="str">
        <x:v>0-3</x:v>
      </x:c>
      <x:c r="J164" t="str">
        <x:f>IF(E164&lt;&gt;TRUE,"",IF(H164&gt;M164,"W",IF(H164&lt;M164,"L","T")))</x:f>
        <x:v>L</x:v>
      </x:c>
      <x:c r="K164" t="str">
        <x:v>Arkansas State Red Wolves</x:v>
      </x:c>
      <x:c r="L164" t="str">
        <x:v>ARST</x:v>
      </x:c>
      <x:c r="M164" s="69" t="n">
        <x:v>52</x:v>
      </x:c>
      <x:c r="N164" t="str">
        <x:v>1-1</x:v>
      </x:c>
      <x:c r="O164" t="str">
        <x:f>IF(E164&lt;&gt;TRUE,"",IF(M164&gt;H164,"W",IF(M164&lt;H164,"L","T")))</x:f>
        <x:v>W</x:v>
      </x:c>
      <x:c r="P164" s="66" t="b">
        <x:v>0</x:v>
      </x:c>
      <x:c r="Q164" s="66" t="b">
        <x:v>0</x:v>
      </x:c>
      <x:c r="R164" t="str">
        <x:v>Centennial Bank Stadium</x:v>
      </x:c>
      <x:c r="S164" t="str">
        <x:v>ESPN+</x:v>
      </x:c>
      <x:c r="T164"/>
      <x:c r="U164" s="70"/>
      <x:c r="V164" s="70"/>
      <x:c r="W164"/>
      <x:c r="X164" t="str">
        <x:v>https://www.espn.com/college-football/game/_/gameId/401868241</x:v>
      </x:c>
    </x:row>
    <x:row r="165">
      <x:c r="A165" t="str">
        <x:v>CFB</x:v>
      </x:c>
      <x:c r="B165" t="n">
        <x:v>2</x:v>
      </x:c>
      <x:c r="C165" s="68" t="n">
        <x:v>46277.958333333336</x:v>
      </x:c>
      <x:c r="D165" s="71" t="str">
        <x:v>post</x:v>
      </x:c>
      <x:c r="E165" s="72" t="b">
        <x:v>1</x:v>
      </x:c>
      <x:c r="F165" t="str">
        <x:v>Georgia State Panthers</x:v>
      </x:c>
      <x:c r="G165" t="str">
        <x:v>GAST</x:v>
      </x:c>
      <x:c r="H165" s="69" t="n">
        <x:v>31</x:v>
      </x:c>
      <x:c r="I165" t="str">
        <x:v>2-0</x:v>
      </x:c>
      <x:c r="J165" t="str">
        <x:f>IF(E165&lt;&gt;TRUE,"",IF(H165&gt;M165,"W",IF(H165&lt;M165,"L","T")))</x:f>
        <x:v>W</x:v>
      </x:c>
      <x:c r="K165" t="str">
        <x:v>Kennesaw State Owls</x:v>
      </x:c>
      <x:c r="L165" t="str">
        <x:v>KENN</x:v>
      </x:c>
      <x:c r="M165" s="69" t="n">
        <x:v>17</x:v>
      </x:c>
      <x:c r="N165" t="str">
        <x:v>1-1</x:v>
      </x:c>
      <x:c r="O165" t="str">
        <x:f>IF(E165&lt;&gt;TRUE,"",IF(M165&gt;H165,"W",IF(M165&lt;H165,"L","T")))</x:f>
        <x:v>L</x:v>
      </x:c>
      <x:c r="P165" s="66" t="b">
        <x:v>0</x:v>
      </x:c>
      <x:c r="Q165" s="66" t="b">
        <x:v>0</x:v>
      </x:c>
      <x:c r="R165" t="str">
        <x:v>Walens Family Field at Fifth Third Stadium</x:v>
      </x:c>
      <x:c r="S165" t="str">
        <x:v>ESPN+</x:v>
      </x:c>
      <x:c r="T165"/>
      <x:c r="U165" s="70"/>
      <x:c r="V165" s="70"/>
      <x:c r="W165"/>
      <x:c r="X165" t="str">
        <x:v>https://www.espn.com/college-football/game/_/gameId/401869955</x:v>
      </x:c>
    </x:row>
    <x:row r="166">
      <x:c r="A166" t="str">
        <x:v>CFB</x:v>
      </x:c>
      <x:c r="B166" t="n">
        <x:v>2</x:v>
      </x:c>
      <x:c r="C166" s="68" t="n">
        <x:v>46277.958333333336</x:v>
      </x:c>
      <x:c r="D166" s="71" t="str">
        <x:v>post</x:v>
      </x:c>
      <x:c r="E166" s="72" t="b">
        <x:v>1</x:v>
      </x:c>
      <x:c r="F166" t="str">
        <x:v>Middle Tennessee Blue Raiders</x:v>
      </x:c>
      <x:c r="G166" t="str">
        <x:v>MTSU</x:v>
      </x:c>
      <x:c r="H166" s="69" t="n">
        <x:v>26</x:v>
      </x:c>
      <x:c r="I166" t="str">
        <x:v>1-1</x:v>
      </x:c>
      <x:c r="J166" t="str">
        <x:f>IF(E166&lt;&gt;TRUE,"",IF(H166&gt;M166,"W",IF(H166&lt;M166,"L","T")))</x:f>
        <x:v>L</x:v>
      </x:c>
      <x:c r="K166" t="str">
        <x:v>Marshall Thundering Herd</x:v>
      </x:c>
      <x:c r="L166" t="str">
        <x:v>MRSH</x:v>
      </x:c>
      <x:c r="M166" s="69" t="n">
        <x:v>28</x:v>
      </x:c>
      <x:c r="N166" t="str">
        <x:v>1-1</x:v>
      </x:c>
      <x:c r="O166" t="str">
        <x:f>IF(E166&lt;&gt;TRUE,"",IF(M166&gt;H166,"W",IF(M166&lt;H166,"L","T")))</x:f>
        <x:v>W</x:v>
      </x:c>
      <x:c r="P166" s="66" t="b">
        <x:v>0</x:v>
      </x:c>
      <x:c r="Q166" s="66" t="b">
        <x:v>0</x:v>
      </x:c>
      <x:c r="R166" t="str">
        <x:v>Joan C. Edwards Stadium</x:v>
      </x:c>
      <x:c r="S166" t="str">
        <x:v>ESPN+</x:v>
      </x:c>
      <x:c r="T166"/>
      <x:c r="U166" s="70"/>
      <x:c r="V166" s="70"/>
      <x:c r="W166"/>
      <x:c r="X166" t="str">
        <x:v>https://www.espn.com/college-football/game/_/gameId/401871045</x:v>
      </x:c>
    </x:row>
    <x:row r="167">
      <x:c r="A167" t="str">
        <x:v>CFB</x:v>
      </x:c>
      <x:c r="B167" t="n">
        <x:v>2</x:v>
      </x:c>
      <x:c r="C167" s="68" t="n">
        <x:v>46277.958333333336</x:v>
      </x:c>
      <x:c r="D167" s="71" t="str">
        <x:v>post</x:v>
      </x:c>
      <x:c r="E167" s="72" t="b">
        <x:v>1</x:v>
      </x:c>
      <x:c r="F167" t="str">
        <x:v>Lindenwood Lions</x:v>
      </x:c>
      <x:c r="G167" t="str">
        <x:v>LIN</x:v>
      </x:c>
      <x:c r="H167" s="69" t="n">
        <x:v>14</x:v>
      </x:c>
      <x:c r="I167" t="str">
        <x:v>1-2</x:v>
      </x:c>
      <x:c r="J167" t="str">
        <x:f>IF(E167&lt;&gt;TRUE,"",IF(H167&gt;M167,"W",IF(H167&lt;M167,"L","T")))</x:f>
        <x:v>L</x:v>
      </x:c>
      <x:c r="K167" t="str">
        <x:v>Missouri State Bears</x:v>
      </x:c>
      <x:c r="L167" t="str">
        <x:v>MOST</x:v>
      </x:c>
      <x:c r="M167" s="69" t="n">
        <x:v>48</x:v>
      </x:c>
      <x:c r="N167" t="str">
        <x:v>1-1</x:v>
      </x:c>
      <x:c r="O167" t="str">
        <x:f>IF(E167&lt;&gt;TRUE,"",IF(M167&gt;H167,"W",IF(M167&lt;H167,"L","T")))</x:f>
        <x:v>W</x:v>
      </x:c>
      <x:c r="P167" s="66" t="b">
        <x:v>0</x:v>
      </x:c>
      <x:c r="Q167" s="66" t="b">
        <x:v>0</x:v>
      </x:c>
      <x:c r="R167" t="str">
        <x:v>Robert W. Plaster Stadium</x:v>
      </x:c>
      <x:c r="S167" t="str">
        <x:v>ESPN+</x:v>
      </x:c>
      <x:c r="T167"/>
      <x:c r="U167" s="70"/>
      <x:c r="V167" s="70"/>
      <x:c r="W167"/>
      <x:c r="X167" t="str">
        <x:v>https://www.espn.com/college-football/game/_/gameId/401871046</x:v>
      </x:c>
    </x:row>
    <x:row r="168">
      <x:c r="A168" t="str">
        <x:v>CFB</x:v>
      </x:c>
      <x:c r="B168" t="n">
        <x:v>2</x:v>
      </x:c>
      <x:c r="C168" s="68" t="n">
        <x:v>46277.96875</x:v>
      </x:c>
      <x:c r="D168" s="71" t="str">
        <x:v>post</x:v>
      </x:c>
      <x:c r="E168" s="72" t="b">
        <x:v>1</x:v>
      </x:c>
      <x:c r="F168" t="str">
        <x:v>San Diego State Aztecs</x:v>
      </x:c>
      <x:c r="G168" t="str">
        <x:v>SDSU</x:v>
      </x:c>
      <x:c r="H168" s="69" t="n">
        <x:v>10</x:v>
      </x:c>
      <x:c r="I168" t="str">
        <x:v>1-1</x:v>
      </x:c>
      <x:c r="J168" t="str">
        <x:f>IF(E168&lt;&gt;TRUE,"",IF(H168&gt;M168,"W",IF(H168&lt;M168,"L","T")))</x:f>
        <x:v>L</x:v>
      </x:c>
      <x:c r="K168" t="str">
        <x:v>UCLA Bruins</x:v>
      </x:c>
      <x:c r="L168" t="str">
        <x:v>UCLA</x:v>
      </x:c>
      <x:c r="M168" s="69" t="n">
        <x:v>28</x:v>
      </x:c>
      <x:c r="N168" t="str">
        <x:v>2-0</x:v>
      </x:c>
      <x:c r="O168" t="str">
        <x:f>IF(E168&lt;&gt;TRUE,"",IF(M168&gt;H168,"W",IF(M168&lt;H168,"L","T")))</x:f>
        <x:v>W</x:v>
      </x:c>
      <x:c r="P168" s="66" t="b">
        <x:v>0</x:v>
      </x:c>
      <x:c r="Q168" s="66" t="b">
        <x:v>0</x:v>
      </x:c>
      <x:c r="R168" t="str">
        <x:v>Rose Bowl</x:v>
      </x:c>
      <x:c r="S168" t="str">
        <x:v>BTN</x:v>
      </x:c>
      <x:c r="T168"/>
      <x:c r="U168" s="70"/>
      <x:c r="V168" s="70"/>
      <x:c r="W168"/>
      <x:c r="X168" t="str">
        <x:v>https://www.espn.com/college-football/game/_/gameId/401858443</x:v>
      </x:c>
    </x:row>
    <x:row r="169">
      <x:c r="A169" t="str">
        <x:v>CFB</x:v>
      </x:c>
      <x:c r="B169" t="n">
        <x:v>2</x:v>
      </x:c>
      <x:c r="C169" s="68" t="n">
        <x:v>46277.96875</x:v>
      </x:c>
      <x:c r="D169" s="71" t="str">
        <x:v>post</x:v>
      </x:c>
      <x:c r="E169" s="72" t="b">
        <x:v>1</x:v>
      </x:c>
      <x:c r="F169" t="str">
        <x:v>Western Illinois Leathernecks</x:v>
      </x:c>
      <x:c r="G169" t="str">
        <x:v>WIU</x:v>
      </x:c>
      <x:c r="H169" s="69" t="n">
        <x:v>9</x:v>
      </x:c>
      <x:c r="I169" t="str">
        <x:v>1-2</x:v>
      </x:c>
      <x:c r="J169" t="str">
        <x:f>IF(E169&lt;&gt;TRUE,"",IF(H169&gt;M169,"W",IF(H169&lt;M169,"L","T")))</x:f>
        <x:v>L</x:v>
      </x:c>
      <x:c r="K169" t="str">
        <x:v>Wisconsin Badgers</x:v>
      </x:c>
      <x:c r="L169" t="str">
        <x:v>WIS</x:v>
      </x:c>
      <x:c r="M169" s="69" t="n">
        <x:v>36</x:v>
      </x:c>
      <x:c r="N169" t="str">
        <x:v>1-1</x:v>
      </x:c>
      <x:c r="O169" t="str">
        <x:f>IF(E169&lt;&gt;TRUE,"",IF(M169&gt;H169,"W",IF(M169&lt;H169,"L","T")))</x:f>
        <x:v>W</x:v>
      </x:c>
      <x:c r="P169" s="66" t="b">
        <x:v>0</x:v>
      </x:c>
      <x:c r="Q169" s="66" t="b">
        <x:v>0</x:v>
      </x:c>
      <x:c r="R169" t="str">
        <x:v>Camp Randall Stadium</x:v>
      </x:c>
      <x:c r="S169" t="str">
        <x:v>BTN</x:v>
      </x:c>
      <x:c r="T169"/>
      <x:c r="U169" s="70"/>
      <x:c r="V169" s="70"/>
      <x:c r="W169"/>
      <x:c r="X169" t="str">
        <x:v>https://www.espn.com/college-football/game/_/gameId/401858447</x:v>
      </x:c>
    </x:row>
    <x:row r="170">
      <x:c r="A170" t="str">
        <x:v>CFB</x:v>
      </x:c>
      <x:c r="B170" t="n">
        <x:v>2</x:v>
      </x:c>
      <x:c r="C170" s="68" t="n">
        <x:v>46277.979166666664</x:v>
      </x:c>
      <x:c r="D170" s="71" t="str">
        <x:v>post</x:v>
      </x:c>
      <x:c r="E170" s="72" t="b">
        <x:v>1</x:v>
      </x:c>
      <x:c r="F170" t="str">
        <x:v>Ohio State Buckeyes</x:v>
      </x:c>
      <x:c r="G170" t="str">
        <x:v>OSU</x:v>
      </x:c>
      <x:c r="H170" s="69" t="n">
        <x:v>23</x:v>
      </x:c>
      <x:c r="I170" t="str">
        <x:v>1-1</x:v>
      </x:c>
      <x:c r="J170" t="str">
        <x:f>IF(E170&lt;&gt;TRUE,"",IF(H170&gt;M170,"W",IF(H170&lt;M170,"L","T")))</x:f>
        <x:v>L</x:v>
      </x:c>
      <x:c r="K170" t="str">
        <x:v>Texas Longhorns</x:v>
      </x:c>
      <x:c r="L170" t="str">
        <x:v>TEX</x:v>
      </x:c>
      <x:c r="M170" s="69" t="n">
        <x:v>24</x:v>
      </x:c>
      <x:c r="N170" t="str">
        <x:v>2-0</x:v>
      </x:c>
      <x:c r="O170" t="str">
        <x:f>IF(E170&lt;&gt;TRUE,"",IF(M170&gt;H170,"W",IF(M170&lt;H170,"L","T")))</x:f>
        <x:v>W</x:v>
      </x:c>
      <x:c r="P170" s="66" t="b">
        <x:v>0</x:v>
      </x:c>
      <x:c r="Q170" s="66" t="b">
        <x:v>0</x:v>
      </x:c>
      <x:c r="R170" t="str">
        <x:v>DKR-Texas Memorial Stadium</x:v>
      </x:c>
      <x:c r="S170" t="str">
        <x:v>ABC</x:v>
      </x:c>
      <x:c r="T170"/>
      <x:c r="U170" s="70"/>
      <x:c r="V170" s="70"/>
      <x:c r="W170"/>
      <x:c r="X170" t="str">
        <x:v>https://www.espn.com/college-football/game/_/gameId/401856682</x:v>
      </x:c>
    </x:row>
    <x:row r="171">
      <x:c r="A171" t="str">
        <x:v>CFB</x:v>
      </x:c>
      <x:c r="B171" t="n">
        <x:v>2</x:v>
      </x:c>
      <x:c r="C171" s="68" t="n">
        <x:v>46277.979166666664</x:v>
      </x:c>
      <x:c r="D171" s="71" t="str">
        <x:v>post</x:v>
      </x:c>
      <x:c r="E171" s="72" t="b">
        <x:v>1</x:v>
      </x:c>
      <x:c r="F171" t="str">
        <x:v>Texas Tech Red Raiders</x:v>
      </x:c>
      <x:c r="G171" t="str">
        <x:v>TTU</x:v>
      </x:c>
      <x:c r="H171" s="69" t="n">
        <x:v>35</x:v>
      </x:c>
      <x:c r="I171" t="str">
        <x:v>2-0</x:v>
      </x:c>
      <x:c r="J171" t="str">
        <x:f>IF(E171&lt;&gt;TRUE,"",IF(H171&gt;M171,"W",IF(H171&lt;M171,"L","T")))</x:f>
        <x:v>W</x:v>
      </x:c>
      <x:c r="K171" t="str">
        <x:v>Oregon State Beavers</x:v>
      </x:c>
      <x:c r="L171" t="str">
        <x:v>ORST</x:v>
      </x:c>
      <x:c r="M171" s="69" t="n">
        <x:v>24</x:v>
      </x:c>
      <x:c r="N171" t="str">
        <x:v>0-2</x:v>
      </x:c>
      <x:c r="O171" t="str">
        <x:f>IF(E171&lt;&gt;TRUE,"",IF(M171&gt;H171,"W",IF(M171&lt;H171,"L","T")))</x:f>
        <x:v>L</x:v>
      </x:c>
      <x:c r="P171" s="66" t="b">
        <x:v>0</x:v>
      </x:c>
      <x:c r="Q171" s="66" t="b">
        <x:v>0</x:v>
      </x:c>
      <x:c r="R171" t="str">
        <x:v>Reser Stadium</x:v>
      </x:c>
      <x:c r="S171" t="str">
        <x:v>CBS</x:v>
      </x:c>
      <x:c r="T171"/>
      <x:c r="U171" s="70"/>
      <x:c r="V171" s="70"/>
      <x:c r="W171"/>
      <x:c r="X171" t="str">
        <x:v>https://www.espn.com/college-football/game/_/gameId/401856783</x:v>
      </x:c>
    </x:row>
    <x:row r="172">
      <x:c r="A172" t="str">
        <x:v>CFB</x:v>
      </x:c>
      <x:c r="B172" t="n">
        <x:v>2</x:v>
      </x:c>
      <x:c r="C172" s="68" t="n">
        <x:v>46277.979166666664</x:v>
      </x:c>
      <x:c r="D172" s="71" t="str">
        <x:v>post</x:v>
      </x:c>
      <x:c r="E172" s="72" t="b">
        <x:v>1</x:v>
      </x:c>
      <x:c r="F172" t="str">
        <x:v>Iowa State Cyclones</x:v>
      </x:c>
      <x:c r="G172" t="str">
        <x:v>ISU</x:v>
      </x:c>
      <x:c r="H172" s="69" t="n">
        <x:v>13</x:v>
      </x:c>
      <x:c r="I172" t="str">
        <x:v>1-1</x:v>
      </x:c>
      <x:c r="J172" t="str">
        <x:f>IF(E172&lt;&gt;TRUE,"",IF(H172&gt;M172,"W",IF(H172&lt;M172,"L","T")))</x:f>
        <x:v>L</x:v>
      </x:c>
      <x:c r="K172" t="str">
        <x:v>Iowa Hawkeyes</x:v>
      </x:c>
      <x:c r="L172" t="str">
        <x:v>IOWA</x:v>
      </x:c>
      <x:c r="M172" s="69" t="n">
        <x:v>16</x:v>
      </x:c>
      <x:c r="N172" t="str">
        <x:v>2-0</x:v>
      </x:c>
      <x:c r="O172" t="str">
        <x:f>IF(E172&lt;&gt;TRUE,"",IF(M172&gt;H172,"W",IF(M172&lt;H172,"L","T")))</x:f>
        <x:v>W</x:v>
      </x:c>
      <x:c r="P172" s="66" t="b">
        <x:v>0</x:v>
      </x:c>
      <x:c r="Q172" s="66" t="b">
        <x:v>0</x:v>
      </x:c>
      <x:c r="R172" t="str">
        <x:v>Kinnick Stadium</x:v>
      </x:c>
      <x:c r="S172" t="str">
        <x:v>NBC</x:v>
      </x:c>
      <x:c r="T172"/>
      <x:c r="U172" s="70"/>
      <x:c r="V172" s="70"/>
      <x:c r="W172"/>
      <x:c r="X172" t="str">
        <x:v>https://www.espn.com/college-football/game/_/gameId/401856788</x:v>
      </x:c>
    </x:row>
    <x:row r="173">
      <x:c r="A173" t="str">
        <x:v>CFB</x:v>
      </x:c>
      <x:c r="B173" t="n">
        <x:v>2</x:v>
      </x:c>
      <x:c r="C173" s="68" t="n">
        <x:v>46277.979166666664</x:v>
      </x:c>
      <x:c r="D173" s="71" t="str">
        <x:v>post</x:v>
      </x:c>
      <x:c r="E173" s="72" t="b">
        <x:v>1</x:v>
      </x:c>
      <x:c r="F173" t="str">
        <x:v>Navy Midshipmen</x:v>
      </x:c>
      <x:c r="G173" t="str">
        <x:v>NAVY</x:v>
      </x:c>
      <x:c r="H173" s="69" t="n">
        <x:v>30</x:v>
      </x:c>
      <x:c r="I173" t="str">
        <x:v>1-1</x:v>
      </x:c>
      <x:c r="J173" t="str">
        <x:f>IF(E173&lt;&gt;TRUE,"",IF(H173&gt;M173,"W",IF(H173&lt;M173,"L","T")))</x:f>
        <x:v>L</x:v>
      </x:c>
      <x:c r="K173" t="str">
        <x:v>Florida Atlantic Owls</x:v>
      </x:c>
      <x:c r="L173" t="str">
        <x:v>FAU</x:v>
      </x:c>
      <x:c r="M173" s="69" t="n">
        <x:v>38</x:v>
      </x:c>
      <x:c r="N173" t="str">
        <x:v>1-1</x:v>
      </x:c>
      <x:c r="O173" t="str">
        <x:f>IF(E173&lt;&gt;TRUE,"",IF(M173&gt;H173,"W",IF(M173&lt;H173,"L","T")))</x:f>
        <x:v>W</x:v>
      </x:c>
      <x:c r="P173" s="66" t="b">
        <x:v>0</x:v>
      </x:c>
      <x:c r="Q173" s="66" t="b">
        <x:v>1</x:v>
      </x:c>
      <x:c r="R173" t="str">
        <x:v>Flagler Credit Union Stadium</x:v>
      </x:c>
      <x:c r="S173" t="str">
        <x:v>ESPNU</x:v>
      </x:c>
      <x:c r="T173"/>
      <x:c r="U173" s="70"/>
      <x:c r="V173" s="70"/>
      <x:c r="W173"/>
      <x:c r="X173" t="str">
        <x:v>https://www.espn.com/college-football/game/_/gameId/401862703</x:v>
      </x:c>
    </x:row>
    <x:row r="174">
      <x:c r="A174" t="str">
        <x:v>CFB</x:v>
      </x:c>
      <x:c r="B174" t="n">
        <x:v>2</x:v>
      </x:c>
      <x:c r="C174" s="68" t="n">
        <x:v>46277.979166666664</x:v>
      </x:c>
      <x:c r="D174" s="71" t="str">
        <x:v>post</x:v>
      </x:c>
      <x:c r="E174" s="72" t="b">
        <x:v>1</x:v>
      </x:c>
      <x:c r="F174" t="str">
        <x:v>Louisiana Tech Bulldogs</x:v>
      </x:c>
      <x:c r="G174" t="str">
        <x:v>LT</x:v>
      </x:c>
      <x:c r="H174" s="69" t="n">
        <x:v>14</x:v>
      </x:c>
      <x:c r="I174" t="str">
        <x:v>1-1</x:v>
      </x:c>
      <x:c r="J174" t="str">
        <x:f>IF(E174&lt;&gt;TRUE,"",IF(H174&gt;M174,"W",IF(H174&lt;M174,"L","T")))</x:f>
        <x:v>L</x:v>
      </x:c>
      <x:c r="K174" t="str">
        <x:v>LSU Tigers</x:v>
      </x:c>
      <x:c r="L174" t="str">
        <x:v>LSU</x:v>
      </x:c>
      <x:c r="M174" s="69" t="n">
        <x:v>45</x:v>
      </x:c>
      <x:c r="N174" t="str">
        <x:v>2-0</x:v>
      </x:c>
      <x:c r="O174" t="str">
        <x:f>IF(E174&lt;&gt;TRUE,"",IF(M174&gt;H174,"W",IF(M174&lt;H174,"L","T")))</x:f>
        <x:v>W</x:v>
      </x:c>
      <x:c r="P174" s="66" t="b">
        <x:v>0</x:v>
      </x:c>
      <x:c r="Q174" s="66" t="b">
        <x:v>0</x:v>
      </x:c>
      <x:c r="R174" t="str">
        <x:v>Tiger Stadium (LA)</x:v>
      </x:c>
      <x:c r="S174" t="str">
        <x:v>SECN+</x:v>
      </x:c>
      <x:c r="T174"/>
      <x:c r="U174" s="70"/>
      <x:c r="V174" s="70"/>
      <x:c r="W174"/>
      <x:c r="X174" t="str">
        <x:v>https://www.espn.com/college-football/game/_/gameId/401867796</x:v>
      </x:c>
    </x:row>
    <x:row r="175">
      <x:c r="A175" t="str">
        <x:v>CFB</x:v>
      </x:c>
      <x:c r="B175" t="n">
        <x:v>2</x:v>
      </x:c>
      <x:c r="C175" s="68" t="n">
        <x:v>46277.979166666664</x:v>
      </x:c>
      <x:c r="D175" s="71" t="str">
        <x:v>post</x:v>
      </x:c>
      <x:c r="E175" s="72" t="b">
        <x:v>1</x:v>
      </x:c>
      <x:c r="F175" t="str">
        <x:v>Fordham Rams</x:v>
      </x:c>
      <x:c r="G175" t="str">
        <x:v>FOR</x:v>
      </x:c>
      <x:c r="H175" s="69" t="n">
        <x:v>7</x:v>
      </x:c>
      <x:c r="I175" t="str">
        <x:v>0-3</x:v>
      </x:c>
      <x:c r="J175" t="str">
        <x:f>IF(E175&lt;&gt;TRUE,"",IF(H175&gt;M175,"W",IF(H175&lt;M175,"L","T")))</x:f>
        <x:v>L</x:v>
      </x:c>
      <x:c r="K175" t="str">
        <x:v>Coastal Carolina Chanticleers</x:v>
      </x:c>
      <x:c r="L175" t="str">
        <x:v>CCU</x:v>
      </x:c>
      <x:c r="M175" s="69" t="n">
        <x:v>45</x:v>
      </x:c>
      <x:c r="N175" t="str">
        <x:v>1-1</x:v>
      </x:c>
      <x:c r="O175" t="str">
        <x:f>IF(E175&lt;&gt;TRUE,"",IF(M175&gt;H175,"W",IF(M175&lt;H175,"L","T")))</x:f>
        <x:v>W</x:v>
      </x:c>
      <x:c r="P175" s="66" t="b">
        <x:v>0</x:v>
      </x:c>
      <x:c r="Q175" s="66" t="b">
        <x:v>0</x:v>
      </x:c>
      <x:c r="R175" t="str">
        <x:v>Brooks Stadium (SC)</x:v>
      </x:c>
      <x:c r="S175" t="str">
        <x:v>ESPN+</x:v>
      </x:c>
      <x:c r="T175"/>
      <x:c r="U175" s="70"/>
      <x:c r="V175" s="70"/>
      <x:c r="W175"/>
      <x:c r="X175" t="str">
        <x:v>https://www.espn.com/college-football/game/_/gameId/401868008</x:v>
      </x:c>
    </x:row>
    <x:row r="176">
      <x:c r="A176" t="str">
        <x:v>CFB</x:v>
      </x:c>
      <x:c r="B176" t="n">
        <x:v>2</x:v>
      </x:c>
      <x:c r="C176" s="68" t="n">
        <x:v>46277.989583333336</x:v>
      </x:c>
      <x:c r="D176" s="71" t="str">
        <x:v>post</x:v>
      </x:c>
      <x:c r="E176" s="72" t="b">
        <x:v>1</x:v>
      </x:c>
      <x:c r="F176" t="str">
        <x:v>Charlotte 49ers</x:v>
      </x:c>
      <x:c r="G176" t="str">
        <x:v>CLT</x:v>
      </x:c>
      <x:c r="H176" s="69" t="n">
        <x:v>9</x:v>
      </x:c>
      <x:c r="I176" t="str">
        <x:v>0-2</x:v>
      </x:c>
      <x:c r="J176" t="str">
        <x:f>IF(E176&lt;&gt;TRUE,"",IF(H176&gt;M176,"W",IF(H176&lt;M176,"L","T")))</x:f>
        <x:v>L</x:v>
      </x:c>
      <x:c r="K176" t="str">
        <x:v>Ole Miss Rebels</x:v>
      </x:c>
      <x:c r="L176" t="str">
        <x:v>MISS</x:v>
      </x:c>
      <x:c r="M176" s="69" t="n">
        <x:v>41</x:v>
      </x:c>
      <x:c r="N176" t="str">
        <x:v>2-0</x:v>
      </x:c>
      <x:c r="O176" t="str">
        <x:f>IF(E176&lt;&gt;TRUE,"",IF(M176&gt;H176,"W",IF(M176&lt;H176,"L","T")))</x:f>
        <x:v>W</x:v>
      </x:c>
      <x:c r="P176" s="66" t="b">
        <x:v>0</x:v>
      </x:c>
      <x:c r="Q176" s="66" t="b">
        <x:v>0</x:v>
      </x:c>
      <x:c r="R176" t="str">
        <x:v>Vaught-Hemingway Stadium</x:v>
      </x:c>
      <x:c r="S176" t="str">
        <x:v>ESPN2</x:v>
      </x:c>
      <x:c r="T176"/>
      <x:c r="U176" s="70"/>
      <x:c r="V176" s="70"/>
      <x:c r="W176"/>
      <x:c r="X176" t="str">
        <x:v>https://www.espn.com/college-football/game/_/gameId/401856676</x:v>
      </x:c>
    </x:row>
    <x:row r="177">
      <x:c r="A177" t="str">
        <x:v>CFB</x:v>
      </x:c>
      <x:c r="B177" t="n">
        <x:v>2</x:v>
      </x:c>
      <x:c r="C177" s="68" t="n">
        <x:v>46278</x:v>
      </x:c>
      <x:c r="D177" s="71" t="str">
        <x:v>post</x:v>
      </x:c>
      <x:c r="E177" s="72" t="b">
        <x:v>1</x:v>
      </x:c>
      <x:c r="F177" t="str">
        <x:v>Grambling Tigers</x:v>
      </x:c>
      <x:c r="G177" t="str">
        <x:v>GRAM</x:v>
      </x:c>
      <x:c r="H177" s="69" t="n">
        <x:v>7</x:v>
      </x:c>
      <x:c r="I177" t="str">
        <x:v>2-1</x:v>
      </x:c>
      <x:c r="J177" t="str">
        <x:f>IF(E177&lt;&gt;TRUE,"",IF(H177&gt;M177,"W",IF(H177&lt;M177,"L","T")))</x:f>
        <x:v>L</x:v>
      </x:c>
      <x:c r="K177" t="str">
        <x:v>TCU Horned Frogs</x:v>
      </x:c>
      <x:c r="L177" t="str">
        <x:v>TCU</x:v>
      </x:c>
      <x:c r="M177" s="69" t="n">
        <x:v>63</x:v>
      </x:c>
      <x:c r="N177" t="str">
        <x:v>1-1</x:v>
      </x:c>
      <x:c r="O177" t="str">
        <x:f>IF(E177&lt;&gt;TRUE,"",IF(M177&gt;H177,"W",IF(M177&lt;H177,"L","T")))</x:f>
        <x:v>W</x:v>
      </x:c>
      <x:c r="P177" s="66" t="b">
        <x:v>0</x:v>
      </x:c>
      <x:c r="Q177" s="66" t="b">
        <x:v>0</x:v>
      </x:c>
      <x:c r="R177" t="str">
        <x:v>Amon G. Carter Stadium</x:v>
      </x:c>
      <x:c r="S177" t="str">
        <x:v>ESPN+</x:v>
      </x:c>
      <x:c r="T177"/>
      <x:c r="U177" s="70"/>
      <x:c r="V177" s="70"/>
      <x:c r="W177"/>
      <x:c r="X177" t="str">
        <x:v>https://www.espn.com/college-football/game/_/gameId/401856789</x:v>
      </x:c>
    </x:row>
    <x:row r="178">
      <x:c r="A178" t="str">
        <x:v>CFB</x:v>
      </x:c>
      <x:c r="B178" t="n">
        <x:v>2</x:v>
      </x:c>
      <x:c r="C178" s="68" t="n">
        <x:v>46278.00555555556</x:v>
      </x:c>
      <x:c r="D178" s="71" t="str">
        <x:v>post</x:v>
      </x:c>
      <x:c r="E178" s="72" t="b">
        <x:v>1</x:v>
      </x:c>
      <x:c r="F178" t="str">
        <x:v>Prairie View A&amp;M Panthers</x:v>
      </x:c>
      <x:c r="G178" t="str">
        <x:v>PV</x:v>
      </x:c>
      <x:c r="H178" s="69" t="n">
        <x:v>3</x:v>
      </x:c>
      <x:c r="I178" t="str">
        <x:v>1-2</x:v>
      </x:c>
      <x:c r="J178" t="str">
        <x:f>IF(E178&lt;&gt;TRUE,"",IF(H178&gt;M178,"W",IF(H178&lt;M178,"L","T")))</x:f>
        <x:v>L</x:v>
      </x:c>
      <x:c r="K178" t="str">
        <x:v>Baylor Bears</x:v>
      </x:c>
      <x:c r="L178" t="str">
        <x:v>BAY</x:v>
      </x:c>
      <x:c r="M178" s="69" t="n">
        <x:v>44</x:v>
      </x:c>
      <x:c r="N178" t="str">
        <x:v>1-1</x:v>
      </x:c>
      <x:c r="O178" t="str">
        <x:f>IF(E178&lt;&gt;TRUE,"",IF(M178&gt;H178,"W",IF(M178&lt;H178,"L","T")))</x:f>
        <x:v>W</x:v>
      </x:c>
      <x:c r="P178" s="66" t="b">
        <x:v>0</x:v>
      </x:c>
      <x:c r="Q178" s="66" t="b">
        <x:v>0</x:v>
      </x:c>
      <x:c r="R178" t="str">
        <x:v>McLane Stadium</x:v>
      </x:c>
      <x:c r="S178" t="str">
        <x:v>ESPN+</x:v>
      </x:c>
      <x:c r="T178"/>
      <x:c r="U178" s="70"/>
      <x:c r="V178" s="70"/>
      <x:c r="W178"/>
      <x:c r="X178" t="str">
        <x:v>https://www.espn.com/college-football/game/_/gameId/401856784</x:v>
      </x:c>
    </x:row>
    <x:row r="179">
      <x:c r="A179" t="str">
        <x:v>CFB</x:v>
      </x:c>
      <x:c r="B179" t="n">
        <x:v>2</x:v>
      </x:c>
      <x:c r="C179" s="68" t="n">
        <x:v>46278.03472222222</x:v>
      </x:c>
      <x:c r="D179" s="71" t="str">
        <x:v>post</x:v>
      </x:c>
      <x:c r="E179" s="72" t="b">
        <x:v>1</x:v>
      </x:c>
      <x:c r="F179" t="str">
        <x:v>Southern Miss Golden Eagles</x:v>
      </x:c>
      <x:c r="G179" t="str">
        <x:v>USM</x:v>
      </x:c>
      <x:c r="H179" s="69" t="n">
        <x:v>8</x:v>
      </x:c>
      <x:c r="I179" t="str">
        <x:v>1-1</x:v>
      </x:c>
      <x:c r="J179" t="str">
        <x:f>IF(E179&lt;&gt;TRUE,"",IF(H179&gt;M179,"W",IF(H179&lt;M179,"L","T")))</x:f>
        <x:v>L</x:v>
      </x:c>
      <x:c r="K179" t="str">
        <x:v>Auburn Tigers</x:v>
      </x:c>
      <x:c r="L179" t="str">
        <x:v>AUB</x:v>
      </x:c>
      <x:c r="M179" s="69" t="n">
        <x:v>43</x:v>
      </x:c>
      <x:c r="N179" t="str">
        <x:v>2-0</x:v>
      </x:c>
      <x:c r="O179" t="str">
        <x:f>IF(E179&lt;&gt;TRUE,"",IF(M179&gt;H179,"W",IF(M179&lt;H179,"L","T")))</x:f>
        <x:v>W</x:v>
      </x:c>
      <x:c r="P179" s="66" t="b">
        <x:v>0</x:v>
      </x:c>
      <x:c r="Q179" s="66" t="b">
        <x:v>0</x:v>
      </x:c>
      <x:c r="R179" t="str">
        <x:v>Jordan-Hare Stadium</x:v>
      </x:c>
      <x:c r="S179" t="str">
        <x:v>SEC Network</x:v>
      </x:c>
      <x:c r="T179"/>
      <x:c r="U179" s="70"/>
      <x:c r="V179" s="70"/>
      <x:c r="W179"/>
      <x:c r="X179" t="str">
        <x:v>https://www.espn.com/college-football/game/_/gameId/401856671</x:v>
      </x:c>
    </x:row>
    <x:row r="180">
      <x:c r="A180" t="str">
        <x:v>CFB</x:v>
      </x:c>
      <x:c r="B180" t="n">
        <x:v>2</x:v>
      </x:c>
      <x:c r="C180" s="68" t="n">
        <x:v>46278.041666666664</x:v>
      </x:c>
      <x:c r="D180" s="71" t="str">
        <x:v>post</x:v>
      </x:c>
      <x:c r="E180" s="72" t="b">
        <x:v>1</x:v>
      </x:c>
      <x:c r="F180" t="str">
        <x:v>Cal Poly Mustangs</x:v>
      </x:c>
      <x:c r="G180" t="str">
        <x:v>CP</x:v>
      </x:c>
      <x:c r="H180" s="69" t="n">
        <x:v>20</x:v>
      </x:c>
      <x:c r="I180" t="str">
        <x:v>2-1</x:v>
      </x:c>
      <x:c r="J180" t="str">
        <x:f>IF(E180&lt;&gt;TRUE,"",IF(H180&gt;M180,"W",IF(H180&lt;M180,"L","T")))</x:f>
        <x:v>L</x:v>
      </x:c>
      <x:c r="K180" t="str">
        <x:v>San José State Spartans</x:v>
      </x:c>
      <x:c r="L180" t="str">
        <x:v>SJSU</x:v>
      </x:c>
      <x:c r="M180" s="69" t="n">
        <x:v>30</x:v>
      </x:c>
      <x:c r="N180" t="str">
        <x:v>2-1</x:v>
      </x:c>
      <x:c r="O180" t="str">
        <x:f>IF(E180&lt;&gt;TRUE,"",IF(M180&gt;H180,"W",IF(M180&lt;H180,"L","T")))</x:f>
        <x:v>W</x:v>
      </x:c>
      <x:c r="P180" s="66" t="b">
        <x:v>0</x:v>
      </x:c>
      <x:c r="Q180" s="66" t="b">
        <x:v>0</x:v>
      </x:c>
      <x:c r="R180" t="str">
        <x:v>CEFCU Stadium</x:v>
      </x:c>
      <x:c r="S180" t="str">
        <x:v>MW+</x:v>
      </x:c>
      <x:c r="T180"/>
      <x:c r="U180" s="70"/>
      <x:c r="V180" s="70"/>
      <x:c r="W180"/>
      <x:c r="X180" t="str">
        <x:v>https://www.espn.com/college-football/game/_/gameId/401864504</x:v>
      </x:c>
    </x:row>
    <x:row r="181">
      <x:c r="A181" t="str">
        <x:v>CFB</x:v>
      </x:c>
      <x:c r="B181" t="n">
        <x:v>2</x:v>
      </x:c>
      <x:c r="C181" s="68" t="n">
        <x:v>46278.041666666664</x:v>
      </x:c>
      <x:c r="D181" s="71" t="str">
        <x:v>post</x:v>
      </x:c>
      <x:c r="E181" s="72" t="b">
        <x:v>1</x:v>
      </x:c>
      <x:c r="F181" t="str">
        <x:v>Texas Southern Tigers</x:v>
      </x:c>
      <x:c r="G181" t="str">
        <x:v>TXSO</x:v>
      </x:c>
      <x:c r="H181" s="69" t="n">
        <x:v>10</x:v>
      </x:c>
      <x:c r="I181" t="str">
        <x:v>1-2</x:v>
      </x:c>
      <x:c r="J181" t="str">
        <x:f>IF(E181&lt;&gt;TRUE,"",IF(H181&gt;M181,"W",IF(H181&lt;M181,"L","T")))</x:f>
        <x:v>L</x:v>
      </x:c>
      <x:c r="K181" t="str">
        <x:v>UTEP Miners</x:v>
      </x:c>
      <x:c r="L181" t="str">
        <x:v>UTEP</x:v>
      </x:c>
      <x:c r="M181" s="69" t="n">
        <x:v>51</x:v>
      </x:c>
      <x:c r="N181" t="str">
        <x:v>1-1</x:v>
      </x:c>
      <x:c r="O181" t="str">
        <x:f>IF(E181&lt;&gt;TRUE,"",IF(M181&gt;H181,"W",IF(M181&lt;H181,"L","T")))</x:f>
        <x:v>W</x:v>
      </x:c>
      <x:c r="P181" s="66" t="b">
        <x:v>0</x:v>
      </x:c>
      <x:c r="Q181" s="66" t="b">
        <x:v>0</x:v>
      </x:c>
      <x:c r="R181" t="str">
        <x:v>Sun Bowl</x:v>
      </x:c>
      <x:c r="S181" t="str">
        <x:v>MW+</x:v>
      </x:c>
      <x:c r="T181"/>
      <x:c r="U181" s="70"/>
      <x:c r="V181" s="70"/>
      <x:c r="W181"/>
      <x:c r="X181" t="str">
        <x:v>https://www.espn.com/college-football/game/_/gameId/401864505</x:v>
      </x:c>
    </x:row>
    <x:row r="182">
      <x:c r="A182" t="str">
        <x:v>CFB</x:v>
      </x:c>
      <x:c r="B182" t="n">
        <x:v>2</x:v>
      </x:c>
      <x:c r="C182" s="68" t="n">
        <x:v>46278.0625</x:v>
      </x:c>
      <x:c r="D182" s="71" t="str">
        <x:v>post</x:v>
      </x:c>
      <x:c r="E182" s="72" t="b">
        <x:v>1</x:v>
      </x:c>
      <x:c r="F182" t="str">
        <x:v>Georgia Southern Eagles</x:v>
      </x:c>
      <x:c r="G182" t="str">
        <x:v>GASO</x:v>
      </x:c>
      <x:c r="H182" s="69" t="n">
        <x:v>7</x:v>
      </x:c>
      <x:c r="I182" t="str">
        <x:v>1-1</x:v>
      </x:c>
      <x:c r="J182" t="str">
        <x:f>IF(E182&lt;&gt;TRUE,"",IF(H182&gt;M182,"W",IF(H182&lt;M182,"L","T")))</x:f>
        <x:v>L</x:v>
      </x:c>
      <x:c r="K182" t="str">
        <x:v>Clemson Tigers</x:v>
      </x:c>
      <x:c r="L182" t="str">
        <x:v>CLEM</x:v>
      </x:c>
      <x:c r="M182" s="69" t="n">
        <x:v>22</x:v>
      </x:c>
      <x:c r="N182" t="str">
        <x:v>1-1</x:v>
      </x:c>
      <x:c r="O182" t="str">
        <x:f>IF(E182&lt;&gt;TRUE,"",IF(M182&gt;H182,"W",IF(M182&lt;H182,"L","T")))</x:f>
        <x:v>W</x:v>
      </x:c>
      <x:c r="P182" s="66" t="b">
        <x:v>0</x:v>
      </x:c>
      <x:c r="Q182" s="66" t="b">
        <x:v>0</x:v>
      </x:c>
      <x:c r="R182" t="str">
        <x:v>Memorial Stadium (Clemson, SC)</x:v>
      </x:c>
      <x:c r="S182" t="str">
        <x:v>ACC Network</x:v>
      </x:c>
      <x:c r="T182"/>
      <x:c r="U182" s="70"/>
      <x:c r="V182" s="70"/>
      <x:c r="W182"/>
      <x:c r="X182" t="str">
        <x:v>https://www.espn.com/college-football/game/_/gameId/401858219</x:v>
      </x:c>
    </x:row>
    <x:row r="183">
      <x:c r="A183" t="str">
        <x:v>CFB</x:v>
      </x:c>
      <x:c r="B183" t="n">
        <x:v>2</x:v>
      </x:c>
      <x:c r="C183" s="68" t="n">
        <x:v>46278.083333333336</x:v>
      </x:c>
      <x:c r="D183" s="71" t="str">
        <x:v>post</x:v>
      </x:c>
      <x:c r="E183" s="72" t="b">
        <x:v>1</x:v>
      </x:c>
      <x:c r="F183" t="str">
        <x:v>North Dakota State Bison</x:v>
      </x:c>
      <x:c r="G183" t="str">
        <x:v>NDSU</x:v>
      </x:c>
      <x:c r="H183" s="69" t="n">
        <x:v>38</x:v>
      </x:c>
      <x:c r="I183" t="str">
        <x:v>3-0</x:v>
      </x:c>
      <x:c r="J183" t="str">
        <x:f>IF(E183&lt;&gt;TRUE,"",IF(H183&gt;M183,"W",IF(H183&lt;M183,"L","T")))</x:f>
        <x:v>W</x:v>
      </x:c>
      <x:c r="K183" t="str">
        <x:v>Air Force Falcons</x:v>
      </x:c>
      <x:c r="L183" t="str">
        <x:v>AFA</x:v>
      </x:c>
      <x:c r="M183" s="69" t="n">
        <x:v>32</x:v>
      </x:c>
      <x:c r="N183" t="str">
        <x:v>1-1</x:v>
      </x:c>
      <x:c r="O183" t="str">
        <x:f>IF(E183&lt;&gt;TRUE,"",IF(M183&gt;H183,"W",IF(M183&lt;H183,"L","T")))</x:f>
        <x:v>L</x:v>
      </x:c>
      <x:c r="P183" s="66" t="b">
        <x:v>0</x:v>
      </x:c>
      <x:c r="Q183" s="66" t="b">
        <x:v>1</x:v>
      </x:c>
      <x:c r="R183" t="str">
        <x:v>Falcon Stadium</x:v>
      </x:c>
      <x:c r="S183" t="str">
        <x:v>FS1</x:v>
      </x:c>
      <x:c r="T183"/>
      <x:c r="U183" s="70"/>
      <x:c r="V183" s="70"/>
      <x:c r="W183"/>
      <x:c r="X183" t="str">
        <x:v>https://www.espn.com/college-football/game/_/gameId/401864502</x:v>
      </x:c>
    </x:row>
    <x:row r="184">
      <x:c r="A184" t="str">
        <x:v>CFB</x:v>
      </x:c>
      <x:c r="B184" t="n">
        <x:v>2</x:v>
      </x:c>
      <x:c r="C184" s="68" t="n">
        <x:v>46278.104166666664</x:v>
      </x:c>
      <x:c r="D184" s="71" t="str">
        <x:v>post</x:v>
      </x:c>
      <x:c r="E184" s="72" t="b">
        <x:v>1</x:v>
      </x:c>
      <x:c r="F184" t="str">
        <x:v>Arkansas Razorbacks</x:v>
      </x:c>
      <x:c r="G184" t="str">
        <x:v>ARK</x:v>
      </x:c>
      <x:c r="H184" s="69" t="n">
        <x:v>10</x:v>
      </x:c>
      <x:c r="I184" t="str">
        <x:v>1-1</x:v>
      </x:c>
      <x:c r="J184" t="str">
        <x:f>IF(E184&lt;&gt;TRUE,"",IF(H184&gt;M184,"W",IF(H184&lt;M184,"L","T")))</x:f>
        <x:v>L</x:v>
      </x:c>
      <x:c r="K184" t="str">
        <x:v>Utah Utes</x:v>
      </x:c>
      <x:c r="L184" t="str">
        <x:v>UTAH</x:v>
      </x:c>
      <x:c r="M184" s="69" t="n">
        <x:v>43</x:v>
      </x:c>
      <x:c r="N184" t="str">
        <x:v>2-0</x:v>
      </x:c>
      <x:c r="O184" t="str">
        <x:f>IF(E184&lt;&gt;TRUE,"",IF(M184&gt;H184,"W",IF(M184&lt;H184,"L","T")))</x:f>
        <x:v>W</x:v>
      </x:c>
      <x:c r="P184" s="66" t="b">
        <x:v>0</x:v>
      </x:c>
      <x:c r="Q184" s="66" t="b">
        <x:v>0</x:v>
      </x:c>
      <x:c r="R184" t="str">
        <x:v>Rice-Eccles Stadium</x:v>
      </x:c>
      <x:c r="S184" t="str">
        <x:v>ESPN</x:v>
      </x:c>
      <x:c r="T184"/>
      <x:c r="U184" s="70"/>
      <x:c r="V184" s="70"/>
      <x:c r="W184"/>
      <x:c r="X184" t="str">
        <x:v>https://www.espn.com/college-football/game/_/gameId/401856670</x:v>
      </x:c>
    </x:row>
    <x:row r="185">
      <x:c r="A185" t="str">
        <x:v>CFB</x:v>
      </x:c>
      <x:c r="B185" t="n">
        <x:v>2</x:v>
      </x:c>
      <x:c r="C185" s="68" t="n">
        <x:v>46278.104166666664</x:v>
      </x:c>
      <x:c r="D185" s="71" t="str">
        <x:v>post</x:v>
      </x:c>
      <x:c r="E185" s="72" t="b">
        <x:v>1</x:v>
      </x:c>
      <x:c r="F185" t="str">
        <x:v>Sacramento State Hornets</x:v>
      </x:c>
      <x:c r="G185" t="str">
        <x:v>SAC</x:v>
      </x:c>
      <x:c r="H185" s="69" t="n">
        <x:v>3</x:v>
      </x:c>
      <x:c r="I185" t="str">
        <x:v>1-2</x:v>
      </x:c>
      <x:c r="J185" t="str">
        <x:f>IF(E185&lt;&gt;TRUE,"",IF(H185&gt;M185,"W",IF(H185&lt;M185,"L","T")))</x:f>
        <x:v>L</x:v>
      </x:c>
      <x:c r="K185" t="str">
        <x:v>Fresno State Bulldogs</x:v>
      </x:c>
      <x:c r="L185" t="str">
        <x:v>FRES</x:v>
      </x:c>
      <x:c r="M185" s="69" t="n">
        <x:v>49</x:v>
      </x:c>
      <x:c r="N185" t="str">
        <x:v>1-1</x:v>
      </x:c>
      <x:c r="O185" t="str">
        <x:f>IF(E185&lt;&gt;TRUE,"",IF(M185&gt;H185,"W",IF(M185&lt;H185,"L","T")))</x:f>
        <x:v>W</x:v>
      </x:c>
      <x:c r="P185" s="66" t="b">
        <x:v>0</x:v>
      </x:c>
      <x:c r="Q185" s="66" t="b">
        <x:v>0</x:v>
      </x:c>
      <x:c r="R185" t="str">
        <x:v>Valley Children's Stadium</x:v>
      </x:c>
      <x:c r="S185" t="str">
        <x:v>CBSSN</x:v>
      </x:c>
      <x:c r="T185"/>
      <x:c r="U185" s="70"/>
      <x:c r="V185" s="70"/>
      <x:c r="W185"/>
      <x:c r="X185" t="str">
        <x:v>https://www.espn.com/college-football/game/_/gameId/401860883</x:v>
      </x:c>
    </x:row>
    <x:row r="186">
      <x:c r="A186" t="str">
        <x:v>CFB</x:v>
      </x:c>
      <x:c r="B186" t="n">
        <x:v>2</x:v>
      </x:c>
      <x:c r="C186" s="68" t="n">
        <x:v>46278.104166666664</x:v>
      </x:c>
      <x:c r="D186" s="71" t="str">
        <x:v>post</x:v>
      </x:c>
      <x:c r="E186" s="72" t="b">
        <x:v>1</x:v>
      </x:c>
      <x:c r="F186" t="str">
        <x:v>Montana State Bobcats</x:v>
      </x:c>
      <x:c r="G186" t="str">
        <x:v>MTST</x:v>
      </x:c>
      <x:c r="H186" s="69" t="n">
        <x:v>20</x:v>
      </x:c>
      <x:c r="I186" t="str">
        <x:v>3-0</x:v>
      </x:c>
      <x:c r="J186" t="str">
        <x:f>IF(E186&lt;&gt;TRUE,"",IF(H186&gt;M186,"W",IF(H186&lt;M186,"L","T")))</x:f>
        <x:v>W</x:v>
      </x:c>
      <x:c r="K186" t="str">
        <x:v>Nevada Wolf Pack</x:v>
      </x:c>
      <x:c r="L186" t="str">
        <x:v>NEV</x:v>
      </x:c>
      <x:c r="M186" s="69" t="n">
        <x:v>7</x:v>
      </x:c>
      <x:c r="N186" t="str">
        <x:v>1-1</x:v>
      </x:c>
      <x:c r="O186" t="str">
        <x:f>IF(E186&lt;&gt;TRUE,"",IF(M186&gt;H186,"W",IF(M186&lt;H186,"L","T")))</x:f>
        <x:v>L</x:v>
      </x:c>
      <x:c r="P186" s="66" t="b">
        <x:v>0</x:v>
      </x:c>
      <x:c r="Q186" s="66" t="b">
        <x:v>0</x:v>
      </x:c>
      <x:c r="R186" t="str">
        <x:v>Mackay Stadium</x:v>
      </x:c>
      <x:c r="S186" t="str">
        <x:v>CW</x:v>
      </x:c>
      <x:c r="T186"/>
      <x:c r="U186" s="70"/>
      <x:c r="V186" s="70"/>
      <x:c r="W186"/>
      <x:c r="X186" t="str">
        <x:v>https://www.espn.com/college-football/game/_/gameId/401864500</x:v>
      </x:c>
    </x:row>
    <x:row r="187">
      <x:c r="A187" t="str">
        <x:v>CFB</x:v>
      </x:c>
      <x:c r="B187" t="n">
        <x:v>2</x:v>
      </x:c>
      <x:c r="C187" s="68" t="n">
        <x:v>46278.125</x:v>
      </x:c>
      <x:c r="D187" s="71" t="str">
        <x:v>post</x:v>
      </x:c>
      <x:c r="E187" s="72" t="b">
        <x:v>1</x:v>
      </x:c>
      <x:c r="F187" t="str">
        <x:v>Louisiana Ragin' Cajuns</x:v>
      </x:c>
      <x:c r="G187" t="str">
        <x:v>UL</x:v>
      </x:c>
      <x:c r="H187" s="69" t="n">
        <x:v>30</x:v>
      </x:c>
      <x:c r="I187" t="str">
        <x:v>1-1</x:v>
      </x:c>
      <x:c r="J187" t="str">
        <x:f>IF(E187&lt;&gt;TRUE,"",IF(H187&gt;M187,"W",IF(H187&lt;M187,"L","T")))</x:f>
        <x:v>L</x:v>
      </x:c>
      <x:c r="K187" t="str">
        <x:v>USC Trojans</x:v>
      </x:c>
      <x:c r="L187" t="str">
        <x:v>USC</x:v>
      </x:c>
      <x:c r="M187" s="69" t="n">
        <x:v>49</x:v>
      </x:c>
      <x:c r="N187" t="str">
        <x:v>3-0</x:v>
      </x:c>
      <x:c r="O187" t="str">
        <x:f>IF(E187&lt;&gt;TRUE,"",IF(M187&gt;H187,"W",IF(M187&lt;H187,"L","T")))</x:f>
        <x:v>W</x:v>
      </x:c>
      <x:c r="P187" s="66" t="b">
        <x:v>0</x:v>
      </x:c>
      <x:c r="Q187" s="66" t="b">
        <x:v>0</x:v>
      </x:c>
      <x:c r="R187" t="str">
        <x:v>Los Angeles Memorial Coliseum</x:v>
      </x:c>
      <x:c r="S187" t="str">
        <x:v>BTN</x:v>
      </x:c>
      <x:c r="T187"/>
      <x:c r="U187" s="70"/>
      <x:c r="V187" s="70"/>
      <x:c r="W187"/>
      <x:c r="X187" t="str">
        <x:v>https://www.espn.com/college-football/game/_/gameId/401858445</x:v>
      </x:c>
    </x:row>
    <x:row r="188">
      <x:c r="A188" t="str">
        <x:v>CFB</x:v>
      </x:c>
      <x:c r="B188" t="n">
        <x:v>2</x:v>
      </x:c>
      <x:c r="C188" s="68" t="n">
        <x:v>46278.165972222225</x:v>
      </x:c>
      <x:c r="D188" s="71" t="str">
        <x:v>post</x:v>
      </x:c>
      <x:c r="E188" s="72" t="b">
        <x:v>1</x:v>
      </x:c>
      <x:c r="F188" t="str">
        <x:v>New Mexico State Aggies</x:v>
      </x:c>
      <x:c r="G188" t="str">
        <x:v>NMSU</x:v>
      </x:c>
      <x:c r="H188" s="69" t="n">
        <x:v>19</x:v>
      </x:c>
      <x:c r="I188" t="str">
        <x:v>1-2</x:v>
      </x:c>
      <x:c r="J188" t="str">
        <x:f>IF(E188&lt;&gt;TRUE,"",IF(H188&gt;M188,"W",IF(H188&lt;M188,"L","T")))</x:f>
        <x:v>L</x:v>
      </x:c>
      <x:c r="K188" t="str">
        <x:v>Hawai'i Rainbow Warriors</x:v>
      </x:c>
      <x:c r="L188" t="str">
        <x:v>HAW</x:v>
      </x:c>
      <x:c r="M188" s="69" t="n">
        <x:v>29</x:v>
      </x:c>
      <x:c r="N188" t="str">
        <x:v>1-2</x:v>
      </x:c>
      <x:c r="O188" t="str">
        <x:f>IF(E188&lt;&gt;TRUE,"",IF(M188&gt;H188,"W",IF(M188&lt;H188,"L","T")))</x:f>
        <x:v>W</x:v>
      </x:c>
      <x:c r="P188" s="66" t="b">
        <x:v>0</x:v>
      </x:c>
      <x:c r="Q188" s="66" t="b">
        <x:v>0</x:v>
      </x:c>
      <x:c r="R188" t="str">
        <x:v>Clarence T.C. Ching Athletics Complex</x:v>
      </x:c>
      <x:c r="S188" t="str">
        <x:v>MW+</x:v>
      </x:c>
      <x:c r="T188"/>
      <x:c r="U188" s="70"/>
      <x:c r="V188" s="70"/>
      <x:c r="W188"/>
      <x:c r="X188" t="str">
        <x:v>https://www.espn.com/college-football/game/_/gameId/401864578</x:v>
      </x:c>
    </x:row>
    <x:row r="189">
      <x:c r="A189" t="str">
        <x:v>CFB</x:v>
      </x:c>
      <x:c r="B189" t="n">
        <x:v>3</x:v>
      </x:c>
      <x:c r="C189" s="68" t="n">
        <x:v>46282.979166666664</x:v>
      </x:c>
      <x:c r="D189" s="71" t="str">
        <x:v>post</x:v>
      </x:c>
      <x:c r="E189" s="72" t="b">
        <x:v>1</x:v>
      </x:c>
      <x:c r="F189" t="str">
        <x:v>Syracuse Orange</x:v>
      </x:c>
      <x:c r="G189" t="str">
        <x:v>SYR</x:v>
      </x:c>
      <x:c r="H189" s="69" t="n">
        <x:v>13</x:v>
      </x:c>
      <x:c r="I189" t="str">
        <x:v>1-2</x:v>
      </x:c>
      <x:c r="J189" t="str">
        <x:f>IF(E189&lt;&gt;TRUE,"",IF(H189&gt;M189,"W",IF(H189&lt;M189,"L","T")))</x:f>
        <x:v>L</x:v>
      </x:c>
      <x:c r="K189" t="str">
        <x:v>Pittsburgh Panthers</x:v>
      </x:c>
      <x:c r="L189" t="str">
        <x:v>PITT</x:v>
      </x:c>
      <x:c r="M189" s="69" t="n">
        <x:v>27</x:v>
      </x:c>
      <x:c r="N189" t="str">
        <x:v>3-0</x:v>
      </x:c>
      <x:c r="O189" t="str">
        <x:f>IF(E189&lt;&gt;TRUE,"",IF(M189&gt;H189,"W",IF(M189&lt;H189,"L","T")))</x:f>
        <x:v>W</x:v>
      </x:c>
      <x:c r="P189" s="66" t="b">
        <x:v>0</x:v>
      </x:c>
      <x:c r="Q189" s="66" t="b">
        <x:v>1</x:v>
      </x:c>
      <x:c r="R189" t="str">
        <x:v>Acrisure Stadium</x:v>
      </x:c>
      <x:c r="S189" t="str">
        <x:v>ESPN</x:v>
      </x:c>
      <x:c r="T189"/>
      <x:c r="U189" s="70"/>
      <x:c r="V189" s="70"/>
      <x:c r="W189"/>
      <x:c r="X189" t="str">
        <x:v>https://www.espn.com/college-football/game/_/gameId/401858225</x:v>
      </x:c>
    </x:row>
    <x:row r="190">
      <x:c r="A190" t="str">
        <x:v>CFB</x:v>
      </x:c>
      <x:c r="B190" t="n">
        <x:v>3</x:v>
      </x:c>
      <x:c r="C190" s="68" t="n">
        <x:v>46283.979166666664</x:v>
      </x:c>
      <x:c r="D190" s="71" t="str">
        <x:v>post</x:v>
      </x:c>
      <x:c r="E190" s="72" t="b">
        <x:v>1</x:v>
      </x:c>
      <x:c r="F190" t="str">
        <x:v>Miami Hurricanes</x:v>
      </x:c>
      <x:c r="G190" t="str">
        <x:v>MIA</x:v>
      </x:c>
      <x:c r="H190" s="69" t="n">
        <x:v>33</x:v>
      </x:c>
      <x:c r="I190" t="str">
        <x:v>3-0</x:v>
      </x:c>
      <x:c r="J190" t="str">
        <x:f>IF(E190&lt;&gt;TRUE,"",IF(H190&gt;M190,"W",IF(H190&lt;M190,"L","T")))</x:f>
        <x:v>W</x:v>
      </x:c>
      <x:c r="K190" t="str">
        <x:v>Wake Forest Demon Deacons</x:v>
      </x:c>
      <x:c r="L190" t="str">
        <x:v>WAKE</x:v>
      </x:c>
      <x:c r="M190" s="69" t="n">
        <x:v>20</x:v>
      </x:c>
      <x:c r="N190" t="str">
        <x:v>2-1</x:v>
      </x:c>
      <x:c r="O190" t="str">
        <x:f>IF(E190&lt;&gt;TRUE,"",IF(M190&gt;H190,"W",IF(M190&lt;H190,"L","T")))</x:f>
        <x:v>L</x:v>
      </x:c>
      <x:c r="P190" s="66" t="b">
        <x:v>0</x:v>
      </x:c>
      <x:c r="Q190" s="66" t="b">
        <x:v>1</x:v>
      </x:c>
      <x:c r="R190" t="str">
        <x:v>Allegacy Federal Credit Union Stadium</x:v>
      </x:c>
      <x:c r="S190" t="str">
        <x:v>ESPN</x:v>
      </x:c>
      <x:c r="T190"/>
      <x:c r="U190" s="70"/>
      <x:c r="V190" s="70"/>
      <x:c r="W190"/>
      <x:c r="X190" t="str">
        <x:v>https://www.espn.com/college-football/game/_/gameId/401858226</x:v>
      </x:c>
    </x:row>
    <x:row r="191">
      <x:c r="A191" t="str">
        <x:v>CFB</x:v>
      </x:c>
      <x:c r="B191" t="n">
        <x:v>3</x:v>
      </x:c>
      <x:c r="C191" s="68" t="n">
        <x:v>46284</x:v>
      </x:c>
      <x:c r="D191" s="71" t="str">
        <x:v>post</x:v>
      </x:c>
      <x:c r="E191" s="72" t="b">
        <x:v>1</x:v>
      </x:c>
      <x:c r="F191" t="str">
        <x:v>Houston Cougars</x:v>
      </x:c>
      <x:c r="G191" t="str">
        <x:v>HOU</x:v>
      </x:c>
      <x:c r="H191" s="69" t="n">
        <x:v>26</x:v>
      </x:c>
      <x:c r="I191" t="str">
        <x:v>2-1</x:v>
      </x:c>
      <x:c r="J191" t="str">
        <x:f>IF(E191&lt;&gt;TRUE,"",IF(H191&gt;M191,"W",IF(H191&lt;M191,"L","T")))</x:f>
        <x:v>L</x:v>
      </x:c>
      <x:c r="K191" t="str">
        <x:v>Texas Tech Red Raiders</x:v>
      </x:c>
      <x:c r="L191" t="str">
        <x:v>TTU</x:v>
      </x:c>
      <x:c r="M191" s="69" t="n">
        <x:v>28</x:v>
      </x:c>
      <x:c r="N191" t="str">
        <x:v>3-0</x:v>
      </x:c>
      <x:c r="O191" t="str">
        <x:f>IF(E191&lt;&gt;TRUE,"",IF(M191&gt;H191,"W",IF(M191&lt;H191,"L","T")))</x:f>
        <x:v>W</x:v>
      </x:c>
      <x:c r="P191" s="66" t="b">
        <x:v>0</x:v>
      </x:c>
      <x:c r="Q191" s="66" t="b">
        <x:v>1</x:v>
      </x:c>
      <x:c r="R191" t="str">
        <x:v>Galaxy Stadium</x:v>
      </x:c>
      <x:c r="S191" t="str">
        <x:v>FOX</x:v>
      </x:c>
      <x:c r="T191"/>
      <x:c r="U191" s="70"/>
      <x:c r="V191" s="70"/>
      <x:c r="W191"/>
      <x:c r="X191" t="str">
        <x:v>https://www.espn.com/college-football/game/_/gameId/401856811</x:v>
      </x:c>
    </x:row>
    <x:row r="192">
      <x:c r="A192" t="str">
        <x:v>CFB</x:v>
      </x:c>
      <x:c r="B192" t="n">
        <x:v>3</x:v>
      </x:c>
      <x:c r="C192" s="68" t="n">
        <x:v>46284.104166666664</x:v>
      </x:c>
      <x:c r="D192" s="71" t="str">
        <x:v>post</x:v>
      </x:c>
      <x:c r="E192" s="72" t="b">
        <x:v>1</x:v>
      </x:c>
      <x:c r="F192" t="str">
        <x:v>Portland State Vikings</x:v>
      </x:c>
      <x:c r="G192" t="str">
        <x:v>PRST</x:v>
      </x:c>
      <x:c r="H192" s="69" t="n">
        <x:v>0</x:v>
      </x:c>
      <x:c r="I192" t="str">
        <x:v>0-4</x:v>
      </x:c>
      <x:c r="J192" t="str">
        <x:f>IF(E192&lt;&gt;TRUE,"",IF(H192&gt;M192,"W",IF(H192&lt;M192,"L","T")))</x:f>
        <x:v>L</x:v>
      </x:c>
      <x:c r="K192" t="str">
        <x:v>Oregon Ducks</x:v>
      </x:c>
      <x:c r="L192" t="str">
        <x:v>ORE</x:v>
      </x:c>
      <x:c r="M192" s="69" t="n">
        <x:v>84</x:v>
      </x:c>
      <x:c r="N192" t="str">
        <x:v>2-1</x:v>
      </x:c>
      <x:c r="O192" t="str">
        <x:f>IF(E192&lt;&gt;TRUE,"",IF(M192&gt;H192,"W",IF(M192&lt;H192,"L","T")))</x:f>
        <x:v>W</x:v>
      </x:c>
      <x:c r="P192" s="66" t="b">
        <x:v>0</x:v>
      </x:c>
      <x:c r="Q192" s="66" t="b">
        <x:v>0</x:v>
      </x:c>
      <x:c r="R192" t="str">
        <x:v>Autzen Stadium</x:v>
      </x:c>
      <x:c r="S192" t="str">
        <x:v>BTN</x:v>
      </x:c>
      <x:c r="T192"/>
      <x:c r="U192" s="70"/>
      <x:c r="V192" s="70"/>
      <x:c r="W192"/>
      <x:c r="X192" t="str">
        <x:v>https://www.espn.com/college-football/game/_/gameId/401858455</x:v>
      </x:c>
    </x:row>
    <x:row r="193">
      <x:c r="A193" t="str">
        <x:v>CFB</x:v>
      </x:c>
      <x:c r="B193" t="n">
        <x:v>3</x:v>
      </x:c>
      <x:c r="C193" s="68" t="n">
        <x:v>46284.645833333336</x:v>
      </x:c>
      <x:c r="D193" s="71" t="str">
        <x:v>post</x:v>
      </x:c>
      <x:c r="E193" s="72" t="b">
        <x:v>1</x:v>
      </x:c>
      <x:c r="F193" t="str">
        <x:v>Coastal Carolina Chanticleers</x:v>
      </x:c>
      <x:c r="G193" t="str">
        <x:v>CCU</x:v>
      </x:c>
      <x:c r="H193" s="69" t="n">
        <x:v>14</x:v>
      </x:c>
      <x:c r="I193" t="str">
        <x:v>1-2</x:v>
      </x:c>
      <x:c r="J193" t="str">
        <x:f>IF(E193&lt;&gt;TRUE,"",IF(H193&gt;M193,"W",IF(H193&lt;M193,"L","T")))</x:f>
        <x:v>L</x:v>
      </x:c>
      <x:c r="K193" t="str">
        <x:v>Delaware Blue Hens</x:v>
      </x:c>
      <x:c r="L193" t="str">
        <x:v>DEL</x:v>
      </x:c>
      <x:c r="M193" s="69" t="n">
        <x:v>22</x:v>
      </x:c>
      <x:c r="N193" t="str">
        <x:v>2-1</x:v>
      </x:c>
      <x:c r="O193" t="str">
        <x:f>IF(E193&lt;&gt;TRUE,"",IF(M193&gt;H193,"W",IF(M193&lt;H193,"L","T")))</x:f>
        <x:v>W</x:v>
      </x:c>
      <x:c r="P193" s="66" t="b">
        <x:v>0</x:v>
      </x:c>
      <x:c r="Q193" s="66" t="b">
        <x:v>0</x:v>
      </x:c>
      <x:c r="R193" t="str">
        <x:v>Delaware Stadium</x:v>
      </x:c>
      <x:c r="S193" t="str">
        <x:v>CBSSN</x:v>
      </x:c>
      <x:c r="T193"/>
      <x:c r="U193" s="70"/>
      <x:c r="V193" s="70"/>
      <x:c r="W193"/>
      <x:c r="X193" t="str">
        <x:v>https://www.espn.com/college-football/game/_/gameId/401869940</x:v>
      </x:c>
    </x:row>
    <x:row r="194">
      <x:c r="A194" t="str">
        <x:v>CFB</x:v>
      </x:c>
      <x:c r="B194" t="n">
        <x:v>3</x:v>
      </x:c>
      <x:c r="C194" s="68" t="n">
        <x:v>46284.666666666664</x:v>
      </x:c>
      <x:c r="D194" s="71" t="str">
        <x:v>post</x:v>
      </x:c>
      <x:c r="E194" s="72" t="b">
        <x:v>1</x:v>
      </x:c>
      <x:c r="F194" t="str">
        <x:v>Georgia Bulldogs</x:v>
      </x:c>
      <x:c r="G194" t="str">
        <x:v>UGA</x:v>
      </x:c>
      <x:c r="H194" s="69" t="n">
        <x:v>45</x:v>
      </x:c>
      <x:c r="I194" t="str">
        <x:v>3-0</x:v>
      </x:c>
      <x:c r="J194" t="str">
        <x:f>IF(E194&lt;&gt;TRUE,"",IF(H194&gt;M194,"W",IF(H194&lt;M194,"L","T")))</x:f>
        <x:v>W</x:v>
      </x:c>
      <x:c r="K194" t="str">
        <x:v>Arkansas Razorbacks</x:v>
      </x:c>
      <x:c r="L194" t="str">
        <x:v>ARK</x:v>
      </x:c>
      <x:c r="M194" s="69" t="n">
        <x:v>17</x:v>
      </x:c>
      <x:c r="N194" t="str">
        <x:v>1-2</x:v>
      </x:c>
      <x:c r="O194" t="str">
        <x:f>IF(E194&lt;&gt;TRUE,"",IF(M194&gt;H194,"W",IF(M194&lt;H194,"L","T")))</x:f>
        <x:v>L</x:v>
      </x:c>
      <x:c r="P194" s="66" t="b">
        <x:v>0</x:v>
      </x:c>
      <x:c r="Q194" s="66" t="b">
        <x:v>1</x:v>
      </x:c>
      <x:c r="R194" t="str">
        <x:v>Donald W. Reynolds Razorback Stadium</x:v>
      </x:c>
      <x:c r="S194" t="str">
        <x:v>ABC</x:v>
      </x:c>
      <x:c r="T194"/>
      <x:c r="U194" s="70"/>
      <x:c r="V194" s="70"/>
      <x:c r="W194"/>
      <x:c r="X194" t="str">
        <x:v>https://www.espn.com/college-football/game/_/gameId/401856686</x:v>
      </x:c>
    </x:row>
    <x:row r="195">
      <x:c r="A195" t="str">
        <x:v>CFB</x:v>
      </x:c>
      <x:c r="B195" t="n">
        <x:v>3</x:v>
      </x:c>
      <x:c r="C195" s="68" t="n">
        <x:v>46284.666666666664</x:v>
      </x:c>
      <x:c r="D195" s="71" t="str">
        <x:v>post</x:v>
      </x:c>
      <x:c r="E195" s="72" t="b">
        <x:v>1</x:v>
      </x:c>
      <x:c r="F195" t="str">
        <x:v>Tulane Green Wave</x:v>
      </x:c>
      <x:c r="G195" t="str">
        <x:v>TULN</x:v>
      </x:c>
      <x:c r="H195" s="69" t="n">
        <x:v>20</x:v>
      </x:c>
      <x:c r="I195" t="str">
        <x:v>1-2</x:v>
      </x:c>
      <x:c r="J195" t="str">
        <x:f>IF(E195&lt;&gt;TRUE,"",IF(H195&gt;M195,"W",IF(H195&lt;M195,"L","T")))</x:f>
        <x:v>L</x:v>
      </x:c>
      <x:c r="K195" t="str">
        <x:v>Kansas State Wildcats</x:v>
      </x:c>
      <x:c r="L195" t="str">
        <x:v>KSU</x:v>
      </x:c>
      <x:c r="M195" s="69" t="n">
        <x:v>31</x:v>
      </x:c>
      <x:c r="N195" t="str">
        <x:v>3-0</x:v>
      </x:c>
      <x:c r="O195" t="str">
        <x:f>IF(E195&lt;&gt;TRUE,"",IF(M195&gt;H195,"W",IF(M195&lt;H195,"L","T")))</x:f>
        <x:v>W</x:v>
      </x:c>
      <x:c r="P195" s="66" t="b">
        <x:v>0</x:v>
      </x:c>
      <x:c r="Q195" s="66" t="b">
        <x:v>0</x:v>
      </x:c>
      <x:c r="R195" t="str">
        <x:v>Bill Snyder Family Stadium</x:v>
      </x:c>
      <x:c r="S195" t="str">
        <x:v>ESPN2</x:v>
      </x:c>
      <x:c r="T195"/>
      <x:c r="U195" s="70"/>
      <x:c r="V195" s="70"/>
      <x:c r="W195"/>
      <x:c r="X195" t="str">
        <x:v>https://www.espn.com/college-football/game/_/gameId/401856792</x:v>
      </x:c>
    </x:row>
    <x:row r="196">
      <x:c r="A196" t="str">
        <x:v>CFB</x:v>
      </x:c>
      <x:c r="B196" t="n">
        <x:v>3</x:v>
      </x:c>
      <x:c r="C196" s="68" t="n">
        <x:v>46284.666666666664</x:v>
      </x:c>
      <x:c r="D196" s="71" t="str">
        <x:v>post</x:v>
      </x:c>
      <x:c r="E196" s="72" t="b">
        <x:v>1</x:v>
      </x:c>
      <x:c r="F196" t="str">
        <x:v>Bowling Green Falcons</x:v>
      </x:c>
      <x:c r="G196" t="str">
        <x:v>BGSU</x:v>
      </x:c>
      <x:c r="H196" s="69" t="n">
        <x:v>7</x:v>
      </x:c>
      <x:c r="I196" t="str">
        <x:v>0-3</x:v>
      </x:c>
      <x:c r="J196" t="str">
        <x:f>IF(E196&lt;&gt;TRUE,"",IF(H196&gt;M196,"W",IF(H196&lt;M196,"L","T")))</x:f>
        <x:v>L</x:v>
      </x:c>
      <x:c r="K196" t="str">
        <x:v>Iowa State Cyclones</x:v>
      </x:c>
      <x:c r="L196" t="str">
        <x:v>ISU</x:v>
      </x:c>
      <x:c r="M196" s="69" t="n">
        <x:v>55</x:v>
      </x:c>
      <x:c r="N196" t="str">
        <x:v>2-1</x:v>
      </x:c>
      <x:c r="O196" t="str">
        <x:f>IF(E196&lt;&gt;TRUE,"",IF(M196&gt;H196,"W",IF(M196&lt;H196,"L","T")))</x:f>
        <x:v>W</x:v>
      </x:c>
      <x:c r="P196" s="66" t="b">
        <x:v>0</x:v>
      </x:c>
      <x:c r="Q196" s="66" t="b">
        <x:v>0</x:v>
      </x:c>
      <x:c r="R196" t="str">
        <x:v>Jack Trice Stadium</x:v>
      </x:c>
      <x:c r="S196" t="str">
        <x:v>ESPNU</x:v>
      </x:c>
      <x:c r="T196"/>
      <x:c r="U196" s="70"/>
      <x:c r="V196" s="70"/>
      <x:c r="W196"/>
      <x:c r="X196" t="str">
        <x:v>https://www.espn.com/college-football/game/_/gameId/401856798</x:v>
      </x:c>
    </x:row>
    <x:row r="197">
      <x:c r="A197" t="str">
        <x:v>CFB</x:v>
      </x:c>
      <x:c r="B197" t="n">
        <x:v>3</x:v>
      </x:c>
      <x:c r="C197" s="68" t="n">
        <x:v>46284.666666666664</x:v>
      </x:c>
      <x:c r="D197" s="71" t="str">
        <x:v>post</x:v>
      </x:c>
      <x:c r="E197" s="72" t="b">
        <x:v>1</x:v>
      </x:c>
      <x:c r="F197" t="str">
        <x:v>Arizona State Sun Devils</x:v>
      </x:c>
      <x:c r="G197" t="str">
        <x:v>ASU</x:v>
      </x:c>
      <x:c r="H197" s="69" t="n">
        <x:v>24</x:v>
      </x:c>
      <x:c r="I197" t="str">
        <x:v>2-1</x:v>
      </x:c>
      <x:c r="J197" t="str">
        <x:f>IF(E197&lt;&gt;TRUE,"",IF(H197&gt;M197,"W",IF(H197&lt;M197,"L","T")))</x:f>
        <x:v>W</x:v>
      </x:c>
      <x:c r="K197" t="str">
        <x:v>Kansas Jayhawks</x:v>
      </x:c>
      <x:c r="L197" t="str">
        <x:v>KU</x:v>
      </x:c>
      <x:c r="M197" s="69" t="n">
        <x:v>17</x:v>
      </x:c>
      <x:c r="N197" t="str">
        <x:v>1-2</x:v>
      </x:c>
      <x:c r="O197" t="str">
        <x:f>IF(E197&lt;&gt;TRUE,"",IF(M197&gt;H197,"W",IF(M197&lt;H197,"L","T")))</x:f>
        <x:v>L</x:v>
      </x:c>
      <x:c r="P197" s="66" t="b">
        <x:v>1</x:v>
      </x:c>
      <x:c r="Q197" s="66" t="b">
        <x:v>1</x:v>
      </x:c>
      <x:c r="R197" t="str">
        <x:v>Wembley Stadium</x:v>
      </x:c>
      <x:c r="S197" t="str">
        <x:v>FS1</x:v>
      </x:c>
      <x:c r="T197"/>
      <x:c r="U197" s="70"/>
      <x:c r="V197" s="70"/>
      <x:c r="W197"/>
      <x:c r="X197" t="str">
        <x:v>https://www.espn.com/college-football/game/_/gameId/401856812</x:v>
      </x:c>
    </x:row>
    <x:row r="198">
      <x:c r="A198" t="str">
        <x:v>CFB</x:v>
      </x:c>
      <x:c r="B198" t="n">
        <x:v>3</x:v>
      </x:c>
      <x:c r="C198" s="68" t="n">
        <x:v>46284.666666666664</x:v>
      </x:c>
      <x:c r="D198" s="71" t="str">
        <x:v>post</x:v>
      </x:c>
      <x:c r="E198" s="72" t="b">
        <x:v>1</x:v>
      </x:c>
      <x:c r="F198" t="str">
        <x:v>Mercer Bears</x:v>
      </x:c>
      <x:c r="G198" t="str">
        <x:v>MER</x:v>
      </x:c>
      <x:c r="H198" s="69" t="n">
        <x:v>11</x:v>
      </x:c>
      <x:c r="I198" t="str">
        <x:v>2-2</x:v>
      </x:c>
      <x:c r="J198" t="str">
        <x:f>IF(E198&lt;&gt;TRUE,"",IF(H198&gt;M198,"W",IF(H198&lt;M198,"L","T")))</x:f>
        <x:v>L</x:v>
      </x:c>
      <x:c r="K198" t="str">
        <x:v>Georgia Tech Yellow Jackets</x:v>
      </x:c>
      <x:c r="L198" t="str">
        <x:v>GT</x:v>
      </x:c>
      <x:c r="M198" s="69" t="n">
        <x:v>44</x:v>
      </x:c>
      <x:c r="N198" t="str">
        <x:v>1-2</x:v>
      </x:c>
      <x:c r="O198" t="str">
        <x:f>IF(E198&lt;&gt;TRUE,"",IF(M198&gt;H198,"W",IF(M198&lt;H198,"L","T")))</x:f>
        <x:v>W</x:v>
      </x:c>
      <x:c r="P198" s="66" t="b">
        <x:v>0</x:v>
      </x:c>
      <x:c r="Q198" s="66" t="b">
        <x:v>0</x:v>
      </x:c>
      <x:c r="R198" t="str">
        <x:v>Bobby Dodd Stadium</x:v>
      </x:c>
      <x:c r="S198" t="str">
        <x:v>ACC Network</x:v>
      </x:c>
      <x:c r="T198"/>
      <x:c r="U198" s="70"/>
      <x:c r="V198" s="70"/>
      <x:c r="W198"/>
      <x:c r="X198" t="str">
        <x:v>https://www.espn.com/college-football/game/_/gameId/401858228</x:v>
      </x:c>
    </x:row>
    <x:row r="199">
      <x:c r="A199" t="str">
        <x:v>CFB</x:v>
      </x:c>
      <x:c r="B199" t="n">
        <x:v>3</x:v>
      </x:c>
      <x:c r="C199" s="68" t="n">
        <x:v>46284.666666666664</x:v>
      </x:c>
      <x:c r="D199" s="71" t="str">
        <x:v>post</x:v>
      </x:c>
      <x:c r="E199" s="72" t="b">
        <x:v>1</x:v>
      </x:c>
      <x:c r="F199" t="str">
        <x:v>North Carolina Tar Heels</x:v>
      </x:c>
      <x:c r="G199" t="str">
        <x:v>UNC</x:v>
      </x:c>
      <x:c r="H199" s="69" t="n">
        <x:v>20</x:v>
      </x:c>
      <x:c r="I199" t="str">
        <x:v>2-1</x:v>
      </x:c>
      <x:c r="J199" t="str">
        <x:f>IF(E199&lt;&gt;TRUE,"",IF(H199&gt;M199,"W",IF(H199&lt;M199,"L","T")))</x:f>
        <x:v>L</x:v>
      </x:c>
      <x:c r="K199" t="str">
        <x:v>Clemson Tigers</x:v>
      </x:c>
      <x:c r="L199" t="str">
        <x:v>CLEM</x:v>
      </x:c>
      <x:c r="M199" s="69" t="n">
        <x:v>28</x:v>
      </x:c>
      <x:c r="N199" t="str">
        <x:v>2-1</x:v>
      </x:c>
      <x:c r="O199" t="str">
        <x:f>IF(E199&lt;&gt;TRUE,"",IF(M199&gt;H199,"W",IF(M199&lt;H199,"L","T")))</x:f>
        <x:v>W</x:v>
      </x:c>
      <x:c r="P199" s="66" t="b">
        <x:v>0</x:v>
      </x:c>
      <x:c r="Q199" s="66" t="b">
        <x:v>1</x:v>
      </x:c>
      <x:c r="R199" t="str">
        <x:v>Memorial Stadium (Clemson, SC)</x:v>
      </x:c>
      <x:c r="S199" t="str">
        <x:v>ESPNEWS / Disney+</x:v>
      </x:c>
      <x:c r="T199"/>
      <x:c r="U199" s="70"/>
      <x:c r="V199" s="70"/>
      <x:c r="W199"/>
      <x:c r="X199" t="str">
        <x:v>https://www.espn.com/college-football/game/_/gameId/401858229</x:v>
      </x:c>
    </x:row>
    <x:row r="200">
      <x:c r="A200" t="str">
        <x:v>CFB</x:v>
      </x:c>
      <x:c r="B200" t="n">
        <x:v>3</x:v>
      </x:c>
      <x:c r="C200" s="68" t="n">
        <x:v>46284.666666666664</x:v>
      </x:c>
      <x:c r="D200" s="71" t="str">
        <x:v>post</x:v>
      </x:c>
      <x:c r="E200" s="72" t="b">
        <x:v>1</x:v>
      </x:c>
      <x:c r="F200" t="str">
        <x:v>Akron Zips</x:v>
      </x:c>
      <x:c r="G200" t="str">
        <x:v>AKR</x:v>
      </x:c>
      <x:c r="H200" s="69" t="n">
        <x:v>7</x:v>
      </x:c>
      <x:c r="I200" t="str">
        <x:v>1-2</x:v>
      </x:c>
      <x:c r="J200" t="str">
        <x:f>IF(E200&lt;&gt;TRUE,"",IF(H200&gt;M200,"W",IF(H200&lt;M200,"L","T")))</x:f>
        <x:v>L</x:v>
      </x:c>
      <x:c r="K200" t="str">
        <x:v>Minnesota Golden Gophers</x:v>
      </x:c>
      <x:c r="L200" t="str">
        <x:v>MINN</x:v>
      </x:c>
      <x:c r="M200" s="69" t="n">
        <x:v>41</x:v>
      </x:c>
      <x:c r="N200" t="str">
        <x:v>2-1</x:v>
      </x:c>
      <x:c r="O200" t="str">
        <x:f>IF(E200&lt;&gt;TRUE,"",IF(M200&gt;H200,"W",IF(M200&lt;H200,"L","T")))</x:f>
        <x:v>W</x:v>
      </x:c>
      <x:c r="P200" s="66" t="b">
        <x:v>0</x:v>
      </x:c>
      <x:c r="Q200" s="66" t="b">
        <x:v>0</x:v>
      </x:c>
      <x:c r="R200" t="str">
        <x:v>Huntington Bank Stadium</x:v>
      </x:c>
      <x:c r="S200" t="str">
        <x:v>BTN</x:v>
      </x:c>
      <x:c r="T200"/>
      <x:c r="U200" s="70"/>
      <x:c r="V200" s="70"/>
      <x:c r="W200"/>
      <x:c r="X200" t="str">
        <x:v>https://www.espn.com/college-football/game/_/gameId/401858451</x:v>
      </x:c>
    </x:row>
    <x:row r="201">
      <x:c r="A201" t="str">
        <x:v>CFB</x:v>
      </x:c>
      <x:c r="B201" t="n">
        <x:v>3</x:v>
      </x:c>
      <x:c r="C201" s="68" t="n">
        <x:v>46284.666666666664</x:v>
      </x:c>
      <x:c r="D201" s="71" t="str">
        <x:v>post</x:v>
      </x:c>
      <x:c r="E201" s="72" t="b">
        <x:v>1</x:v>
      </x:c>
      <x:c r="F201" t="str">
        <x:v>Kent State Golden Flashes</x:v>
      </x:c>
      <x:c r="G201" t="str">
        <x:v>KENT</x:v>
      </x:c>
      <x:c r="H201" s="69" t="n">
        <x:v>3</x:v>
      </x:c>
      <x:c r="I201" t="str">
        <x:v>1-2</x:v>
      </x:c>
      <x:c r="J201" t="str">
        <x:f>IF(E201&lt;&gt;TRUE,"",IF(H201&gt;M201,"W",IF(H201&lt;M201,"L","T")))</x:f>
        <x:v>L</x:v>
      </x:c>
      <x:c r="K201" t="str">
        <x:v>Ohio State Buckeyes</x:v>
      </x:c>
      <x:c r="L201" t="str">
        <x:v>OSU</x:v>
      </x:c>
      <x:c r="M201" s="69" t="n">
        <x:v>59</x:v>
      </x:c>
      <x:c r="N201" t="str">
        <x:v>2-1</x:v>
      </x:c>
      <x:c r="O201" t="str">
        <x:f>IF(E201&lt;&gt;TRUE,"",IF(M201&gt;H201,"W",IF(M201&lt;H201,"L","T")))</x:f>
        <x:v>W</x:v>
      </x:c>
      <x:c r="P201" s="66" t="b">
        <x:v>0</x:v>
      </x:c>
      <x:c r="Q201" s="66" t="b">
        <x:v>0</x:v>
      </x:c>
      <x:c r="R201" t="str">
        <x:v>Ohio Stadium</x:v>
      </x:c>
      <x:c r="S201" t="str">
        <x:v>FOX</x:v>
      </x:c>
      <x:c r="T201"/>
      <x:c r="U201" s="70"/>
      <x:c r="V201" s="70"/>
      <x:c r="W201"/>
      <x:c r="X201" t="str">
        <x:v>https://www.espn.com/college-football/game/_/gameId/401858454</x:v>
      </x:c>
    </x:row>
    <x:row r="202">
      <x:c r="A202" t="str">
        <x:v>CFB</x:v>
      </x:c>
      <x:c r="B202" t="n">
        <x:v>3</x:v>
      </x:c>
      <x:c r="C202" s="68" t="n">
        <x:v>46284.666666666664</x:v>
      </x:c>
      <x:c r="D202" s="71" t="str">
        <x:v>post</x:v>
      </x:c>
      <x:c r="E202" s="72" t="b">
        <x:v>1</x:v>
      </x:c>
      <x:c r="F202" t="str">
        <x:v>Buffalo Bulls</x:v>
      </x:c>
      <x:c r="G202" t="str">
        <x:v>BUFF</x:v>
      </x:c>
      <x:c r="H202" s="69" t="n">
        <x:v>13</x:v>
      </x:c>
      <x:c r="I202" t="str">
        <x:v>1-2</x:v>
      </x:c>
      <x:c r="J202" t="str">
        <x:f>IF(E202&lt;&gt;TRUE,"",IF(H202&gt;M202,"W",IF(H202&lt;M202,"L","T")))</x:f>
        <x:v>L</x:v>
      </x:c>
      <x:c r="K202" t="str">
        <x:v>Penn State Nittany Lions</x:v>
      </x:c>
      <x:c r="L202" t="str">
        <x:v>PSU</x:v>
      </x:c>
      <x:c r="M202" s="69" t="n">
        <x:v>55</x:v>
      </x:c>
      <x:c r="N202" t="str">
        <x:v>3-0</x:v>
      </x:c>
      <x:c r="O202" t="str">
        <x:f>IF(E202&lt;&gt;TRUE,"",IF(M202&gt;H202,"W",IF(M202&lt;H202,"L","T")))</x:f>
        <x:v>W</x:v>
      </x:c>
      <x:c r="P202" s="66" t="b">
        <x:v>0</x:v>
      </x:c>
      <x:c r="Q202" s="66" t="b">
        <x:v>0</x:v>
      </x:c>
      <x:c r="R202" t="str">
        <x:v>Beaver Stadium</x:v>
      </x:c>
      <x:c r="S202" t="str">
        <x:v>BTN</x:v>
      </x:c>
      <x:c r="T202"/>
      <x:c r="U202" s="70"/>
      <x:c r="V202" s="70"/>
      <x:c r="W202"/>
      <x:c r="X202" t="str">
        <x:v>https://www.espn.com/college-football/game/_/gameId/401858456</x:v>
      </x:c>
    </x:row>
    <x:row r="203">
      <x:c r="A203" t="str">
        <x:v>CFB</x:v>
      </x:c>
      <x:c r="B203" t="n">
        <x:v>3</x:v>
      </x:c>
      <x:c r="C203" s="68" t="n">
        <x:v>46284.666666666664</x:v>
      </x:c>
      <x:c r="D203" s="71" t="str">
        <x:v>post</x:v>
      </x:c>
      <x:c r="E203" s="72" t="b">
        <x:v>1</x:v>
      </x:c>
      <x:c r="F203" t="str">
        <x:v>North Texas Mean Green</x:v>
      </x:c>
      <x:c r="G203" t="str">
        <x:v>UNT</x:v>
      </x:c>
      <x:c r="H203" s="69" t="n">
        <x:v>35</x:v>
      </x:c>
      <x:c r="I203" t="str">
        <x:v>1-2</x:v>
      </x:c>
      <x:c r="J203" t="str">
        <x:f>IF(E203&lt;&gt;TRUE,"",IF(H203&gt;M203,"W",IF(H203&lt;M203,"L","T")))</x:f>
        <x:v>L</x:v>
      </x:c>
      <x:c r="K203" t="str">
        <x:v>Texas State Bobcats</x:v>
      </x:c>
      <x:c r="L203" t="str">
        <x:v>TXST</x:v>
      </x:c>
      <x:c r="M203" s="69" t="n">
        <x:v>49</x:v>
      </x:c>
      <x:c r="N203" t="str">
        <x:v>1-2</x:v>
      </x:c>
      <x:c r="O203" t="str">
        <x:f>IF(E203&lt;&gt;TRUE,"",IF(M203&gt;H203,"W",IF(M203&lt;H203,"L","T")))</x:f>
        <x:v>W</x:v>
      </x:c>
      <x:c r="P203" s="66" t="b">
        <x:v>0</x:v>
      </x:c>
      <x:c r="Q203" s="66" t="b">
        <x:v>0</x:v>
      </x:c>
      <x:c r="R203" t="str">
        <x:v>UFCU Stadium</x:v>
      </x:c>
      <x:c r="S203" t="str">
        <x:v>USA Net</x:v>
      </x:c>
      <x:c r="T203"/>
      <x:c r="U203" s="70"/>
      <x:c r="V203" s="70"/>
      <x:c r="W203"/>
      <x:c r="X203" t="str">
        <x:v>https://www.espn.com/college-football/game/_/gameId/401860889</x:v>
      </x:c>
    </x:row>
    <x:row r="204">
      <x:c r="A204" t="str">
        <x:v>CFB</x:v>
      </x:c>
      <x:c r="B204" t="n">
        <x:v>3</x:v>
      </x:c>
      <x:c r="C204" s="68" t="n">
        <x:v>46284.6875</x:v>
      </x:c>
      <x:c r="D204" s="71" t="str">
        <x:v>post</x:v>
      </x:c>
      <x:c r="E204" s="72" t="b">
        <x:v>1</x:v>
      </x:c>
      <x:c r="F204" t="str">
        <x:v>Eastern Michigan Eagles</x:v>
      </x:c>
      <x:c r="G204" t="str">
        <x:v>EMU</x:v>
      </x:c>
      <x:c r="H204" s="69" t="n">
        <x:v>10</x:v>
      </x:c>
      <x:c r="I204" t="str">
        <x:v>1-3</x:v>
      </x:c>
      <x:c r="J204" t="str">
        <x:f>IF(E204&lt;&gt;TRUE,"",IF(H204&gt;M204,"W",IF(H204&lt;M204,"L","T")))</x:f>
        <x:v>L</x:v>
      </x:c>
      <x:c r="K204" t="str">
        <x:v>Wisconsin Badgers</x:v>
      </x:c>
      <x:c r="L204" t="str">
        <x:v>WIS</x:v>
      </x:c>
      <x:c r="M204" s="69" t="n">
        <x:v>54</x:v>
      </x:c>
      <x:c r="N204" t="str">
        <x:v>2-1</x:v>
      </x:c>
      <x:c r="O204" t="str">
        <x:f>IF(E204&lt;&gt;TRUE,"",IF(M204&gt;H204,"W",IF(M204&lt;H204,"L","T")))</x:f>
        <x:v>W</x:v>
      </x:c>
      <x:c r="P204" s="66" t="b">
        <x:v>0</x:v>
      </x:c>
      <x:c r="Q204" s="66" t="b">
        <x:v>0</x:v>
      </x:c>
      <x:c r="R204" t="str">
        <x:v>Camp Randall Stadium</x:v>
      </x:c>
      <x:c r="S204" t="str">
        <x:v>Peacock</x:v>
      </x:c>
      <x:c r="T204"/>
      <x:c r="U204" s="70"/>
      <x:c r="V204" s="70"/>
      <x:c r="W204"/>
      <x:c r="X204" t="str">
        <x:v>https://www.espn.com/college-football/game/_/gameId/401858460</x:v>
      </x:c>
    </x:row>
    <x:row r="205">
      <x:c r="A205" t="str">
        <x:v>CFB</x:v>
      </x:c>
      <x:c r="B205" t="n">
        <x:v>3</x:v>
      </x:c>
      <x:c r="C205" s="68" t="n">
        <x:v>46284.697916666664</x:v>
      </x:c>
      <x:c r="D205" s="71" t="str">
        <x:v>post</x:v>
      </x:c>
      <x:c r="E205" s="72" t="b">
        <x:v>1</x:v>
      </x:c>
      <x:c r="F205" t="str">
        <x:v>NC State Wolfpack</x:v>
      </x:c>
      <x:c r="G205" t="str">
        <x:v>NCSU</x:v>
      </x:c>
      <x:c r="H205" s="69" t="n">
        <x:v>31</x:v>
      </x:c>
      <x:c r="I205" t="str">
        <x:v>1-2</x:v>
      </x:c>
      <x:c r="J205" t="str">
        <x:f>IF(E205&lt;&gt;TRUE,"",IF(H205&gt;M205,"W",IF(H205&lt;M205,"L","T")))</x:f>
        <x:v>L</x:v>
      </x:c>
      <x:c r="K205" t="str">
        <x:v>Vanderbilt Commodores</x:v>
      </x:c>
      <x:c r="L205" t="str">
        <x:v>VAN</x:v>
      </x:c>
      <x:c r="M205" s="69" t="n">
        <x:v>35</x:v>
      </x:c>
      <x:c r="N205" t="str">
        <x:v>3-0</x:v>
      </x:c>
      <x:c r="O205" t="str">
        <x:f>IF(E205&lt;&gt;TRUE,"",IF(M205&gt;H205,"W",IF(M205&lt;H205,"L","T")))</x:f>
        <x:v>W</x:v>
      </x:c>
      <x:c r="P205" s="66" t="b">
        <x:v>0</x:v>
      </x:c>
      <x:c r="Q205" s="66" t="b">
        <x:v>0</x:v>
      </x:c>
      <x:c r="R205" t="str">
        <x:v>FirstBank Stadium</x:v>
      </x:c>
      <x:c r="S205" t="str">
        <x:v>SEC Network</x:v>
      </x:c>
      <x:c r="T205"/>
      <x:c r="U205" s="70"/>
      <x:c r="V205" s="70"/>
      <x:c r="W205"/>
      <x:c r="X205" t="str">
        <x:v>https://www.espn.com/college-football/game/_/gameId/401856695</x:v>
      </x:c>
    </x:row>
    <x:row r="206">
      <x:c r="A206" t="str">
        <x:v>CFB</x:v>
      </x:c>
      <x:c r="B206" t="n">
        <x:v>3</x:v>
      </x:c>
      <x:c r="C206" s="68" t="n">
        <x:v>46284.708333333336</x:v>
      </x:c>
      <x:c r="D206" s="71" t="str">
        <x:v>post</x:v>
      </x:c>
      <x:c r="E206" s="72" t="b">
        <x:v>1</x:v>
      </x:c>
      <x:c r="F206" t="str">
        <x:v>Wyoming Cowboys</x:v>
      </x:c>
      <x:c r="G206" t="str">
        <x:v>WYO</x:v>
      </x:c>
      <x:c r="H206" s="69" t="n">
        <x:v>10</x:v>
      </x:c>
      <x:c r="I206" t="str">
        <x:v>1-2</x:v>
      </x:c>
      <x:c r="J206" t="str">
        <x:f>IF(E206&lt;&gt;TRUE,"",IF(H206&gt;M206,"W",IF(H206&lt;M206,"L","T")))</x:f>
        <x:v>L</x:v>
      </x:c>
      <x:c r="K206" t="str">
        <x:v>Central Michigan Chippewas</x:v>
      </x:c>
      <x:c r="L206" t="str">
        <x:v>CMU</x:v>
      </x:c>
      <x:c r="M206" s="69" t="n">
        <x:v>24</x:v>
      </x:c>
      <x:c r="N206" t="str">
        <x:v>2-1</x:v>
      </x:c>
      <x:c r="O206" t="str">
        <x:f>IF(E206&lt;&gt;TRUE,"",IF(M206&gt;H206,"W",IF(M206&lt;H206,"L","T")))</x:f>
        <x:v>W</x:v>
      </x:c>
      <x:c r="P206" s="66" t="b">
        <x:v>0</x:v>
      </x:c>
      <x:c r="Q206" s="66" t="b">
        <x:v>0</x:v>
      </x:c>
      <x:c r="R206" t="str">
        <x:v>Kelly/Shorts Stadium</x:v>
      </x:c>
      <x:c r="S206" t="str">
        <x:v>ESPN+</x:v>
      </x:c>
      <x:c r="T206"/>
      <x:c r="U206" s="70"/>
      <x:c r="V206" s="70"/>
      <x:c r="W206"/>
      <x:c r="X206" t="str">
        <x:v>https://www.espn.com/college-football/game/_/gameId/401864508</x:v>
      </x:c>
    </x:row>
    <x:row r="207">
      <x:c r="A207" t="str">
        <x:v>CFB</x:v>
      </x:c>
      <x:c r="B207" t="n">
        <x:v>3</x:v>
      </x:c>
      <x:c r="C207" s="68" t="n">
        <x:v>46284.75</x:v>
      </x:c>
      <x:c r="D207" s="71" t="str">
        <x:v>post</x:v>
      </x:c>
      <x:c r="E207" s="72" t="b">
        <x:v>1</x:v>
      </x:c>
      <x:c r="F207" t="str">
        <x:v>Maine Black Bears</x:v>
      </x:c>
      <x:c r="G207" t="str">
        <x:v>ME</x:v>
      </x:c>
      <x:c r="H207" s="69" t="n">
        <x:v>16</x:v>
      </x:c>
      <x:c r="I207" t="str">
        <x:v>1-3</x:v>
      </x:c>
      <x:c r="J207" t="str">
        <x:f>IF(E207&lt;&gt;TRUE,"",IF(H207&gt;M207,"W",IF(H207&lt;M207,"L","T")))</x:f>
        <x:v>L</x:v>
      </x:c>
      <x:c r="K207" t="str">
        <x:v>Boston College Eagles</x:v>
      </x:c>
      <x:c r="L207" t="str">
        <x:v>BC</x:v>
      </x:c>
      <x:c r="M207" s="69" t="n">
        <x:v>22</x:v>
      </x:c>
      <x:c r="N207" t="str">
        <x:v>2-1</x:v>
      </x:c>
      <x:c r="O207" t="str">
        <x:f>IF(E207&lt;&gt;TRUE,"",IF(M207&gt;H207,"W",IF(M207&lt;H207,"L","T")))</x:f>
        <x:v>W</x:v>
      </x:c>
      <x:c r="P207" s="66" t="b">
        <x:v>0</x:v>
      </x:c>
      <x:c r="Q207" s="66" t="b">
        <x:v>0</x:v>
      </x:c>
      <x:c r="R207" t="str">
        <x:v>Alumni Stadium (Chestnut Hill, MA)</x:v>
      </x:c>
      <x:c r="S207" t="str">
        <x:v>ACCNX</x:v>
      </x:c>
      <x:c r="T207"/>
      <x:c r="U207" s="70"/>
      <x:c r="V207" s="70"/>
      <x:c r="W207"/>
      <x:c r="X207" t="str">
        <x:v>https://www.espn.com/college-football/game/_/gameId/401858227</x:v>
      </x:c>
    </x:row>
    <x:row r="208">
      <x:c r="A208" t="str">
        <x:v>CFB</x:v>
      </x:c>
      <x:c r="B208" t="n">
        <x:v>3</x:v>
      </x:c>
      <x:c r="C208" s="68" t="n">
        <x:v>46284.75</x:v>
      </x:c>
      <x:c r="D208" s="71" t="str">
        <x:v>post</x:v>
      </x:c>
      <x:c r="E208" s="72" t="b">
        <x:v>1</x:v>
      </x:c>
      <x:c r="F208" t="str">
        <x:v>Southern Illinois Salukis</x:v>
      </x:c>
      <x:c r="G208" t="str">
        <x:v>SIU</x:v>
      </x:c>
      <x:c r="H208" s="69" t="n">
        <x:v>10</x:v>
      </x:c>
      <x:c r="I208" t="str">
        <x:v>2-2</x:v>
      </x:c>
      <x:c r="J208" t="str">
        <x:f>IF(E208&lt;&gt;TRUE,"",IF(H208&gt;M208,"W",IF(H208&lt;M208,"L","T")))</x:f>
        <x:v>L</x:v>
      </x:c>
      <x:c r="K208" t="str">
        <x:v>Illinois Fighting Illini</x:v>
      </x:c>
      <x:c r="L208" t="str">
        <x:v>ILL</x:v>
      </x:c>
      <x:c r="M208" s="69" t="n">
        <x:v>48</x:v>
      </x:c>
      <x:c r="N208" t="str">
        <x:v>2-1</x:v>
      </x:c>
      <x:c r="O208" t="str">
        <x:f>IF(E208&lt;&gt;TRUE,"",IF(M208&gt;H208,"W",IF(M208&lt;H208,"L","T")))</x:f>
        <x:v>W</x:v>
      </x:c>
      <x:c r="P208" s="66" t="b">
        <x:v>0</x:v>
      </x:c>
      <x:c r="Q208" s="66" t="b">
        <x:v>0</x:v>
      </x:c>
      <x:c r="R208" t="str">
        <x:v>Gies Memorial Stadium</x:v>
      </x:c>
      <x:c r="S208" t="str">
        <x:v>Peacock</x:v>
      </x:c>
      <x:c r="T208"/>
      <x:c r="U208" s="70"/>
      <x:c r="V208" s="70"/>
      <x:c r="W208"/>
      <x:c r="X208" t="str">
        <x:v>https://www.espn.com/college-football/game/_/gameId/401858448</x:v>
      </x:c>
    </x:row>
    <x:row r="209">
      <x:c r="A209" t="str">
        <x:v>CFB</x:v>
      </x:c>
      <x:c r="B209" t="n">
        <x:v>3</x:v>
      </x:c>
      <x:c r="C209" s="68" t="n">
        <x:v>46284.791666666664</x:v>
      </x:c>
      <x:c r="D209" s="71" t="str">
        <x:v>post</x:v>
      </x:c>
      <x:c r="E209" s="72" t="b">
        <x:v>1</x:v>
      </x:c>
      <x:c r="F209" t="str">
        <x:v>Temple Owls</x:v>
      </x:c>
      <x:c r="G209" t="str">
        <x:v>TEM</x:v>
      </x:c>
      <x:c r="H209" s="69" t="n">
        <x:v>48</x:v>
      </x:c>
      <x:c r="I209" t="str">
        <x:v>1-2</x:v>
      </x:c>
      <x:c r="J209" t="str">
        <x:f>IF(E209&lt;&gt;TRUE,"",IF(H209&gt;M209,"W",IF(H209&lt;M209,"L","T")))</x:f>
        <x:v>L</x:v>
      </x:c>
      <x:c r="K209" t="str">
        <x:v>Toledo Rockets</x:v>
      </x:c>
      <x:c r="L209" t="str">
        <x:v>TOL</x:v>
      </x:c>
      <x:c r="M209" s="69" t="n">
        <x:v>49</x:v>
      </x:c>
      <x:c r="N209" t="str">
        <x:v>2-1</x:v>
      </x:c>
      <x:c r="O209" t="str">
        <x:f>IF(E209&lt;&gt;TRUE,"",IF(M209&gt;H209,"W",IF(M209&lt;H209,"L","T")))</x:f>
        <x:v>W</x:v>
      </x:c>
      <x:c r="P209" s="66" t="b">
        <x:v>0</x:v>
      </x:c>
      <x:c r="Q209" s="66" t="b">
        <x:v>0</x:v>
      </x:c>
      <x:c r="R209" t="str">
        <x:v>Glass Bowl</x:v>
      </x:c>
      <x:c r="S209" t="str">
        <x:v>CBSSN</x:v>
      </x:c>
      <x:c r="T209"/>
      <x:c r="U209" s="70"/>
      <x:c r="V209" s="70"/>
      <x:c r="W209"/>
      <x:c r="X209" t="str">
        <x:v>https://www.espn.com/college-football/game/_/gameId/401862774</x:v>
      </x:c>
    </x:row>
    <x:row r="210">
      <x:c r="A210" t="str">
        <x:v>CFB</x:v>
      </x:c>
      <x:c r="B210" t="n">
        <x:v>3</x:v>
      </x:c>
      <x:c r="C210" s="68" t="n">
        <x:v>46284.8125</x:v>
      </x:c>
      <x:c r="D210" s="71" t="str">
        <x:v>post</x:v>
      </x:c>
      <x:c r="E210" s="72" t="b">
        <x:v>1</x:v>
      </x:c>
      <x:c r="F210" t="str">
        <x:v>Miami (OH) RedHawks</x:v>
      </x:c>
      <x:c r="G210" t="str">
        <x:v>M-OH</x:v>
      </x:c>
      <x:c r="H210" s="69" t="n">
        <x:v>31</x:v>
      </x:c>
      <x:c r="I210" t="str">
        <x:v>1-2</x:v>
      </x:c>
      <x:c r="J210" t="str">
        <x:f>IF(E210&lt;&gt;TRUE,"",IF(H210&gt;M210,"W",IF(H210&lt;M210,"L","T")))</x:f>
        <x:v>L</x:v>
      </x:c>
      <x:c r="K210" t="str">
        <x:v>Cincinnati Bearcats</x:v>
      </x:c>
      <x:c r="L210" t="str">
        <x:v>CIN</x:v>
      </x:c>
      <x:c r="M210" s="69" t="n">
        <x:v>35</x:v>
      </x:c>
      <x:c r="N210" t="str">
        <x:v>3-0</x:v>
      </x:c>
      <x:c r="O210" t="str">
        <x:f>IF(E210&lt;&gt;TRUE,"",IF(M210&gt;H210,"W",IF(M210&lt;H210,"L","T")))</x:f>
        <x:v>W</x:v>
      </x:c>
      <x:c r="P210" s="66" t="b">
        <x:v>0</x:v>
      </x:c>
      <x:c r="Q210" s="66" t="b">
        <x:v>0</x:v>
      </x:c>
      <x:c r="R210" t="str">
        <x:v>TQL Stadium</x:v>
      </x:c>
      <x:c r="S210" t="str">
        <x:v>ESPN+</x:v>
      </x:c>
      <x:c r="T210"/>
      <x:c r="U210" s="70"/>
      <x:c r="V210" s="70"/>
      <x:c r="W210"/>
      <x:c r="X210" t="str">
        <x:v>https://www.espn.com/college-football/game/_/gameId/401856797</x:v>
      </x:c>
    </x:row>
    <x:row r="211">
      <x:c r="A211" t="str">
        <x:v>CFB</x:v>
      </x:c>
      <x:c r="B211" t="n">
        <x:v>3</x:v>
      </x:c>
      <x:c r="C211" s="68" t="n">
        <x:v>46284.8125</x:v>
      </x:c>
      <x:c r="D211" s="71" t="str">
        <x:v>post</x:v>
      </x:c>
      <x:c r="E211" s="72" t="b">
        <x:v>1</x:v>
      </x:c>
      <x:c r="F211" t="str">
        <x:v>Utah State Aggies</x:v>
      </x:c>
      <x:c r="G211" t="str">
        <x:v>USU</x:v>
      </x:c>
      <x:c r="H211" s="69" t="n">
        <x:v>0</x:v>
      </x:c>
      <x:c r="I211" t="str">
        <x:v>0-3</x:v>
      </x:c>
      <x:c r="J211" t="str">
        <x:f>IF(E211&lt;&gt;TRUE,"",IF(H211&gt;M211,"W",IF(H211&lt;M211,"L","T")))</x:f>
        <x:v>L</x:v>
      </x:c>
      <x:c r="K211" t="str">
        <x:v>Utah Utes</x:v>
      </x:c>
      <x:c r="L211" t="str">
        <x:v>UTAH</x:v>
      </x:c>
      <x:c r="M211" s="69" t="n">
        <x:v>33</x:v>
      </x:c>
      <x:c r="N211" t="str">
        <x:v>3-0</x:v>
      </x:c>
      <x:c r="O211" t="str">
        <x:f>IF(E211&lt;&gt;TRUE,"",IF(M211&gt;H211,"W",IF(M211&lt;H211,"L","T")))</x:f>
        <x:v>W</x:v>
      </x:c>
      <x:c r="P211" s="66" t="b">
        <x:v>0</x:v>
      </x:c>
      <x:c r="Q211" s="66" t="b">
        <x:v>0</x:v>
      </x:c>
      <x:c r="R211" t="str">
        <x:v>Rice-Eccles Stadium</x:v>
      </x:c>
      <x:c r="S211" t="str">
        <x:v>FOX</x:v>
      </x:c>
      <x:c r="T211"/>
      <x:c r="U211" s="70"/>
      <x:c r="V211" s="70"/>
      <x:c r="W211"/>
      <x:c r="X211" t="str">
        <x:v>https://www.espn.com/college-football/game/_/gameId/401856801</x:v>
      </x:c>
    </x:row>
    <x:row r="212">
      <x:c r="A212" t="str">
        <x:v>CFB</x:v>
      </x:c>
      <x:c r="B212" t="n">
        <x:v>3</x:v>
      </x:c>
      <x:c r="C212" s="68" t="n">
        <x:v>46284.8125</x:v>
      </x:c>
      <x:c r="D212" s="71" t="str">
        <x:v>post</x:v>
      </x:c>
      <x:c r="E212" s="72" t="b">
        <x:v>1</x:v>
      </x:c>
      <x:c r="F212" t="str">
        <x:v>SMU Mustangs</x:v>
      </x:c>
      <x:c r="G212" t="str">
        <x:v>SMU</x:v>
      </x:c>
      <x:c r="H212" s="69" t="n">
        <x:v>31</x:v>
      </x:c>
      <x:c r="I212" t="str">
        <x:v>2-1</x:v>
      </x:c>
      <x:c r="J212" t="str">
        <x:f>IF(E212&lt;&gt;TRUE,"",IF(H212&gt;M212,"W",IF(H212&lt;M212,"L","T")))</x:f>
        <x:v>L</x:v>
      </x:c>
      <x:c r="K212" t="str">
        <x:v>Louisville Cardinals</x:v>
      </x:c>
      <x:c r="L212" t="str">
        <x:v>LOU</x:v>
      </x:c>
      <x:c r="M212" s="69" t="n">
        <x:v>41</x:v>
      </x:c>
      <x:c r="N212" t="str">
        <x:v>2-1</x:v>
      </x:c>
      <x:c r="O212" t="str">
        <x:f>IF(E212&lt;&gt;TRUE,"",IF(M212&gt;H212,"W",IF(M212&lt;H212,"L","T")))</x:f>
        <x:v>W</x:v>
      </x:c>
      <x:c r="P212" s="66" t="b">
        <x:v>0</x:v>
      </x:c>
      <x:c r="Q212" s="66" t="b">
        <x:v>1</x:v>
      </x:c>
      <x:c r="R212" t="str">
        <x:v>L&amp;N Federal Credit Union Stadium</x:v>
      </x:c>
      <x:c r="S212" t="str">
        <x:v>ESPN2</x:v>
      </x:c>
      <x:c r="T212"/>
      <x:c r="U212" s="70"/>
      <x:c r="V212" s="70"/>
      <x:c r="W212"/>
      <x:c r="X212" t="str">
        <x:v>https://www.espn.com/college-football/game/_/gameId/401858230</x:v>
      </x:c>
    </x:row>
    <x:row r="213">
      <x:c r="A213" t="str">
        <x:v>CFB</x:v>
      </x:c>
      <x:c r="B213" t="n">
        <x:v>3</x:v>
      </x:c>
      <x:c r="C213" s="68" t="n">
        <x:v>46284.8125</x:v>
      </x:c>
      <x:c r="D213" s="71" t="str">
        <x:v>post</x:v>
      </x:c>
      <x:c r="E213" s="72" t="b">
        <x:v>1</x:v>
      </x:c>
      <x:c r="F213" t="str">
        <x:v>Wagner Seahawks</x:v>
      </x:c>
      <x:c r="G213" t="str">
        <x:v>WAG</x:v>
      </x:c>
      <x:c r="H213" s="69" t="n">
        <x:v>7</x:v>
      </x:c>
      <x:c r="I213" t="str">
        <x:v>1-3</x:v>
      </x:c>
      <x:c r="J213" t="str">
        <x:f>IF(E213&lt;&gt;TRUE,"",IF(H213&gt;M213,"W",IF(H213&lt;M213,"L","T")))</x:f>
        <x:v>L</x:v>
      </x:c>
      <x:c r="K213" t="str">
        <x:v>California Golden Bears</x:v>
      </x:c>
      <x:c r="L213" t="str">
        <x:v>CAL</x:v>
      </x:c>
      <x:c r="M213" s="69" t="n">
        <x:v>49</x:v>
      </x:c>
      <x:c r="N213" t="str">
        <x:v>2-1</x:v>
      </x:c>
      <x:c r="O213" t="str">
        <x:f>IF(E213&lt;&gt;TRUE,"",IF(M213&gt;H213,"W",IF(M213&lt;H213,"L","T")))</x:f>
        <x:v>W</x:v>
      </x:c>
      <x:c r="P213" s="66" t="b">
        <x:v>0</x:v>
      </x:c>
      <x:c r="Q213" s="66" t="b">
        <x:v>0</x:v>
      </x:c>
      <x:c r="R213" t="str">
        <x:v>California Memorial Stadium</x:v>
      </x:c>
      <x:c r="S213" t="str">
        <x:v>ACC Network</x:v>
      </x:c>
      <x:c r="T213"/>
      <x:c r="U213" s="70"/>
      <x:c r="V213" s="70"/>
      <x:c r="W213"/>
      <x:c r="X213" t="str">
        <x:v>https://www.espn.com/college-football/game/_/gameId/401858233</x:v>
      </x:c>
    </x:row>
    <x:row r="214">
      <x:c r="A214" t="str">
        <x:v>CFB</x:v>
      </x:c>
      <x:c r="B214" t="n">
        <x:v>3</x:v>
      </x:c>
      <x:c r="C214" s="68" t="n">
        <x:v>46284.8125</x:v>
      </x:c>
      <x:c r="D214" s="71" t="str">
        <x:v>post</x:v>
      </x:c>
      <x:c r="E214" s="72" t="b">
        <x:v>1</x:v>
      </x:c>
      <x:c r="F214" t="str">
        <x:v>UTEP Miners</x:v>
      </x:c>
      <x:c r="G214" t="str">
        <x:v>UTEP</x:v>
      </x:c>
      <x:c r="H214" s="69" t="n">
        <x:v>17</x:v>
      </x:c>
      <x:c r="I214" t="str">
        <x:v>1-2</x:v>
      </x:c>
      <x:c r="J214" t="str">
        <x:f>IF(E214&lt;&gt;TRUE,"",IF(H214&gt;M214,"W",IF(H214&lt;M214,"L","T")))</x:f>
        <x:v>L</x:v>
      </x:c>
      <x:c r="K214" t="str">
        <x:v>Michigan Wolverines</x:v>
      </x:c>
      <x:c r="L214" t="str">
        <x:v>MICH</x:v>
      </x:c>
      <x:c r="M214" s="69" t="n">
        <x:v>52</x:v>
      </x:c>
      <x:c r="N214" t="str">
        <x:v>3-0</x:v>
      </x:c>
      <x:c r="O214" t="str">
        <x:f>IF(E214&lt;&gt;TRUE,"",IF(M214&gt;H214,"W",IF(M214&lt;H214,"L","T")))</x:f>
        <x:v>W</x:v>
      </x:c>
      <x:c r="P214" s="66" t="b">
        <x:v>0</x:v>
      </x:c>
      <x:c r="Q214" s="66" t="b">
        <x:v>0</x:v>
      </x:c>
      <x:c r="R214" t="str">
        <x:v>Michigan Stadium</x:v>
      </x:c>
      <x:c r="S214" t="str">
        <x:v>BTN</x:v>
      </x:c>
      <x:c r="T214"/>
      <x:c r="U214" s="70"/>
      <x:c r="V214" s="70"/>
      <x:c r="W214"/>
      <x:c r="X214" t="str">
        <x:v>https://www.espn.com/college-football/game/_/gameId/401858450</x:v>
      </x:c>
    </x:row>
    <x:row r="215">
      <x:c r="A215" t="str">
        <x:v>CFB</x:v>
      </x:c>
      <x:c r="B215" t="n">
        <x:v>3</x:v>
      </x:c>
      <x:c r="C215" s="68" t="n">
        <x:v>46284.8125</x:v>
      </x:c>
      <x:c r="D215" s="71" t="str">
        <x:v>post</x:v>
      </x:c>
      <x:c r="E215" s="72" t="b">
        <x:v>1</x:v>
      </x:c>
      <x:c r="F215" t="str">
        <x:v>USC Trojans</x:v>
      </x:c>
      <x:c r="G215" t="str">
        <x:v>USC</x:v>
      </x:c>
      <x:c r="H215" s="69" t="n">
        <x:v>42</x:v>
      </x:c>
      <x:c r="I215" t="str">
        <x:v>4-0</x:v>
      </x:c>
      <x:c r="J215" t="str">
        <x:f>IF(E215&lt;&gt;TRUE,"",IF(H215&gt;M215,"W",IF(H215&lt;M215,"L","T")))</x:f>
        <x:v>W</x:v>
      </x:c>
      <x:c r="K215" t="str">
        <x:v>Rutgers Scarlet Knights</x:v>
      </x:c>
      <x:c r="L215" t="str">
        <x:v>RUTG</x:v>
      </x:c>
      <x:c r="M215" s="69" t="n">
        <x:v>35</x:v>
      </x:c>
      <x:c r="N215" t="str">
        <x:v>0-3</x:v>
      </x:c>
      <x:c r="O215" t="str">
        <x:f>IF(E215&lt;&gt;TRUE,"",IF(M215&gt;H215,"W",IF(M215&lt;H215,"L","T")))</x:f>
        <x:v>L</x:v>
      </x:c>
      <x:c r="P215" s="66" t="b">
        <x:v>0</x:v>
      </x:c>
      <x:c r="Q215" s="66" t="b">
        <x:v>1</x:v>
      </x:c>
      <x:c r="R215" t="str">
        <x:v>SHI Stadium</x:v>
      </x:c>
      <x:c r="S215" t="str">
        <x:v>CBS</x:v>
      </x:c>
      <x:c r="T215"/>
      <x:c r="U215" s="70"/>
      <x:c r="V215" s="70"/>
      <x:c r="W215"/>
      <x:c r="X215" t="str">
        <x:v>https://www.espn.com/college-football/game/_/gameId/401858457</x:v>
      </x:c>
    </x:row>
    <x:row r="216">
      <x:c r="A216" t="str">
        <x:v>CFB</x:v>
      </x:c>
      <x:c r="B216" t="n">
        <x:v>3</x:v>
      </x:c>
      <x:c r="C216" s="68" t="n">
        <x:v>46284.8125</x:v>
      </x:c>
      <x:c r="D216" s="71" t="str">
        <x:v>post</x:v>
      </x:c>
      <x:c r="E216" s="72" t="b">
        <x:v>1</x:v>
      </x:c>
      <x:c r="F216" t="str">
        <x:v>Duquesne Dukes</x:v>
      </x:c>
      <x:c r="G216" t="str">
        <x:v>DUQ</x:v>
      </x:c>
      <x:c r="H216" s="69" t="n">
        <x:v>7</x:v>
      </x:c>
      <x:c r="I216" t="str">
        <x:v>0-3</x:v>
      </x:c>
      <x:c r="J216" t="str">
        <x:f>IF(E216&lt;&gt;TRUE,"",IF(H216&gt;M216,"W",IF(H216&lt;M216,"L","T")))</x:f>
        <x:v>L</x:v>
      </x:c>
      <x:c r="K216" t="str">
        <x:v>Washington State Cougars</x:v>
      </x:c>
      <x:c r="L216" t="str">
        <x:v>WSU</x:v>
      </x:c>
      <x:c r="M216" s="69" t="n">
        <x:v>48</x:v>
      </x:c>
      <x:c r="N216" t="str">
        <x:v>1-2</x:v>
      </x:c>
      <x:c r="O216" t="str">
        <x:f>IF(E216&lt;&gt;TRUE,"",IF(M216&gt;H216,"W",IF(M216&lt;H216,"L","T")))</x:f>
        <x:v>W</x:v>
      </x:c>
      <x:c r="P216" s="66" t="b">
        <x:v>0</x:v>
      </x:c>
      <x:c r="Q216" s="66" t="b">
        <x:v>0</x:v>
      </x:c>
      <x:c r="R216" t="str">
        <x:v>Martin Stadium</x:v>
      </x:c>
      <x:c r="S216" t="str">
        <x:v>USA Net</x:v>
      </x:c>
      <x:c r="T216"/>
      <x:c r="U216" s="70"/>
      <x:c r="V216" s="70"/>
      <x:c r="W216"/>
      <x:c r="X216" t="str">
        <x:v>https://www.espn.com/college-football/game/_/gameId/401860890</x:v>
      </x:c>
    </x:row>
    <x:row r="217">
      <x:c r="A217" t="str">
        <x:v>CFB</x:v>
      </x:c>
      <x:c r="B217" t="n">
        <x:v>3</x:v>
      </x:c>
      <x:c r="C217" s="68" t="n">
        <x:v>46284.8125</x:v>
      </x:c>
      <x:c r="D217" s="71" t="str">
        <x:v>post</x:v>
      </x:c>
      <x:c r="E217" s="72" t="b">
        <x:v>1</x:v>
      </x:c>
      <x:c r="F217" t="str">
        <x:v>Stonehill Skyhawks</x:v>
      </x:c>
      <x:c r="G217" t="str">
        <x:v>STO</x:v>
      </x:c>
      <x:c r="H217" s="69" t="n">
        <x:v>14</x:v>
      </x:c>
      <x:c r="I217" t="str">
        <x:v>1-3</x:v>
      </x:c>
      <x:c r="J217" t="str">
        <x:f>IF(E217&lt;&gt;TRUE,"",IF(H217&gt;M217,"W",IF(H217&lt;M217,"L","T")))</x:f>
        <x:v>L</x:v>
      </x:c>
      <x:c r="K217" t="str">
        <x:v>Massachusetts Minutemen</x:v>
      </x:c>
      <x:c r="L217" t="str">
        <x:v>MASS</x:v>
      </x:c>
      <x:c r="M217" s="69" t="n">
        <x:v>36</x:v>
      </x:c>
      <x:c r="N217" t="str">
        <x:v>3-0</x:v>
      </x:c>
      <x:c r="O217" t="str">
        <x:f>IF(E217&lt;&gt;TRUE,"",IF(M217&gt;H217,"W",IF(M217&lt;H217,"L","T")))</x:f>
        <x:v>W</x:v>
      </x:c>
      <x:c r="P217" s="66" t="b">
        <x:v>0</x:v>
      </x:c>
      <x:c r="Q217" s="66" t="b">
        <x:v>0</x:v>
      </x:c>
      <x:c r="R217" t="str">
        <x:v>Warren McGuirk Alumni Stadium</x:v>
      </x:c>
      <x:c r="S217" t="str">
        <x:v>ESPN+</x:v>
      </x:c>
      <x:c r="T217"/>
      <x:c r="U217" s="70"/>
      <x:c r="V217" s="70"/>
      <x:c r="W217"/>
      <x:c r="X217" t="str">
        <x:v>https://www.espn.com/college-football/game/_/gameId/401866424</x:v>
      </x:c>
    </x:row>
    <x:row r="218">
      <x:c r="A218" t="str">
        <x:v>CFB</x:v>
      </x:c>
      <x:c r="B218" t="n">
        <x:v>3</x:v>
      </x:c>
      <x:c r="C218" s="68" t="n">
        <x:v>46284.819444444445</x:v>
      </x:c>
      <x:c r="D218" s="71" t="str">
        <x:v>post</x:v>
      </x:c>
      <x:c r="E218" s="72" t="b">
        <x:v>1</x:v>
      </x:c>
      <x:c r="F218" t="str">
        <x:v>Kentucky Wildcats</x:v>
      </x:c>
      <x:c r="G218" t="str">
        <x:v>UK</x:v>
      </x:c>
      <x:c r="H218" s="69" t="n">
        <x:v>31</x:v>
      </x:c>
      <x:c r="I218" t="str">
        <x:v>2-1</x:v>
      </x:c>
      <x:c r="J218" t="str">
        <x:f>IF(E218&lt;&gt;TRUE,"",IF(H218&gt;M218,"W",IF(H218&lt;M218,"L","T")))</x:f>
        <x:v>W</x:v>
      </x:c>
      <x:c r="K218" t="str">
        <x:v>Texas A&amp;M Aggies</x:v>
      </x:c>
      <x:c r="L218" t="str">
        <x:v>TA&amp;M</x:v>
      </x:c>
      <x:c r="M218" s="69" t="n">
        <x:v>21</x:v>
      </x:c>
      <x:c r="N218" t="str">
        <x:v>2-1</x:v>
      </x:c>
      <x:c r="O218" t="str">
        <x:f>IF(E218&lt;&gt;TRUE,"",IF(M218&gt;H218,"W",IF(M218&lt;H218,"L","T")))</x:f>
        <x:v>L</x:v>
      </x:c>
      <x:c r="P218" s="66" t="b">
        <x:v>0</x:v>
      </x:c>
      <x:c r="Q218" s="66" t="b">
        <x:v>1</x:v>
      </x:c>
      <x:c r="R218" t="str">
        <x:v>Kyle Field</x:v>
      </x:c>
      <x:c r="S218" t="str">
        <x:v>ESPN</x:v>
      </x:c>
      <x:c r="T218"/>
      <x:c r="U218" s="70"/>
      <x:c r="V218" s="70"/>
      <x:c r="W218"/>
      <x:c r="X218" t="str">
        <x:v>https://www.espn.com/college-football/game/_/gameId/401856694</x:v>
      </x:c>
    </x:row>
    <x:row r="219">
      <x:c r="A219" t="str">
        <x:v>CFB</x:v>
      </x:c>
      <x:c r="B219" t="n">
        <x:v>3</x:v>
      </x:c>
      <x:c r="C219" s="68" t="n">
        <x:v>46284.833333333336</x:v>
      </x:c>
      <x:c r="D219" s="71" t="str">
        <x:v>post</x:v>
      </x:c>
      <x:c r="E219" s="72" t="b">
        <x:v>1</x:v>
      </x:c>
      <x:c r="F219" t="str">
        <x:v>Stanford Cardinal</x:v>
      </x:c>
      <x:c r="G219" t="str">
        <x:v>STAN</x:v>
      </x:c>
      <x:c r="H219" s="69" t="n">
        <x:v>7</x:v>
      </x:c>
      <x:c r="I219" t="str">
        <x:v>1-2</x:v>
      </x:c>
      <x:c r="J219" t="str">
        <x:f>IF(E219&lt;&gt;TRUE,"",IF(H219&gt;M219,"W",IF(H219&lt;M219,"L","T")))</x:f>
        <x:v>L</x:v>
      </x:c>
      <x:c r="K219" t="str">
        <x:v>Duke Blue Devils</x:v>
      </x:c>
      <x:c r="L219" t="str">
        <x:v>DUKE</x:v>
      </x:c>
      <x:c r="M219" s="69" t="n">
        <x:v>35</x:v>
      </x:c>
      <x:c r="N219" t="str">
        <x:v>3-0</x:v>
      </x:c>
      <x:c r="O219" t="str">
        <x:f>IF(E219&lt;&gt;TRUE,"",IF(M219&gt;H219,"W",IF(M219&lt;H219,"L","T")))</x:f>
        <x:v>W</x:v>
      </x:c>
      <x:c r="P219" s="66" t="b">
        <x:v>0</x:v>
      </x:c>
      <x:c r="Q219" s="66" t="b">
        <x:v>1</x:v>
      </x:c>
      <x:c r="R219" t="str">
        <x:v>Wallace Wade Stadium</x:v>
      </x:c>
      <x:c r="S219" t="str">
        <x:v>CW</x:v>
      </x:c>
      <x:c r="T219"/>
      <x:c r="U219" s="70"/>
      <x:c r="V219" s="70"/>
      <x:c r="W219"/>
      <x:c r="X219" t="str">
        <x:v>https://www.espn.com/college-football/game/_/gameId/401858231</x:v>
      </x:c>
    </x:row>
    <x:row r="220">
      <x:c r="A220" t="str">
        <x:v>CFB</x:v>
      </x:c>
      <x:c r="B220" t="n">
        <x:v>3</x:v>
      </x:c>
      <x:c r="C220" s="68" t="n">
        <x:v>46284.833333333336</x:v>
      </x:c>
      <x:c r="D220" s="71" t="str">
        <x:v>post</x:v>
      </x:c>
      <x:c r="E220" s="72" t="b">
        <x:v>1</x:v>
      </x:c>
      <x:c r="F220" t="str">
        <x:v>Western Kentucky Hilltoppers</x:v>
      </x:c>
      <x:c r="G220" t="str">
        <x:v>WKU</x:v>
      </x:c>
      <x:c r="H220" s="69" t="n">
        <x:v>0</x:v>
      </x:c>
      <x:c r="I220" t="str">
        <x:v>0-3</x:v>
      </x:c>
      <x:c r="J220" t="str">
        <x:f>IF(E220&lt;&gt;TRUE,"",IF(H220&gt;M220,"W",IF(H220&lt;M220,"L","T")))</x:f>
        <x:v>L</x:v>
      </x:c>
      <x:c r="K220" t="str">
        <x:v>Indiana Hoosiers</x:v>
      </x:c>
      <x:c r="L220" t="str">
        <x:v>IU</x:v>
      </x:c>
      <x:c r="M220" s="69" t="n">
        <x:v>38</x:v>
      </x:c>
      <x:c r="N220" t="str">
        <x:v>3-0</x:v>
      </x:c>
      <x:c r="O220" t="str">
        <x:f>IF(E220&lt;&gt;TRUE,"",IF(M220&gt;H220,"W",IF(M220&lt;H220,"L","T")))</x:f>
        <x:v>W</x:v>
      </x:c>
      <x:c r="P220" s="66" t="b">
        <x:v>0</x:v>
      </x:c>
      <x:c r="Q220" s="66" t="b">
        <x:v>0</x:v>
      </x:c>
      <x:c r="R220" t="str">
        <x:v>Memorial Stadium (Bloomington, IN)</x:v>
      </x:c>
      <x:c r="S220" t="str">
        <x:v>Peacock</x:v>
      </x:c>
      <x:c r="T220"/>
      <x:c r="U220" s="70"/>
      <x:c r="V220" s="70"/>
      <x:c r="W220"/>
      <x:c r="X220" t="str">
        <x:v>https://www.espn.com/college-football/game/_/gameId/401858449</x:v>
      </x:c>
    </x:row>
    <x:row r="221">
      <x:c r="A221" t="str">
        <x:v>CFB</x:v>
      </x:c>
      <x:c r="B221" t="n">
        <x:v>3</x:v>
      </x:c>
      <x:c r="C221" s="68" t="n">
        <x:v>46284.833333333336</x:v>
      </x:c>
      <x:c r="D221" s="71" t="str">
        <x:v>post</x:v>
      </x:c>
      <x:c r="E221" s="72" t="b">
        <x:v>1</x:v>
      </x:c>
      <x:c r="F221" t="str">
        <x:v>Northern Iowa Panthers</x:v>
      </x:c>
      <x:c r="G221" t="str">
        <x:v>UNI</x:v>
      </x:c>
      <x:c r="H221" s="69" t="n">
        <x:v>0</x:v>
      </x:c>
      <x:c r="I221" t="str">
        <x:v>1-2</x:v>
      </x:c>
      <x:c r="J221" t="str">
        <x:f>IF(E221&lt;&gt;TRUE,"",IF(H221&gt;M221,"W",IF(H221&lt;M221,"L","T")))</x:f>
        <x:v>L</x:v>
      </x:c>
      <x:c r="K221" t="str">
        <x:v>Iowa Hawkeyes</x:v>
      </x:c>
      <x:c r="L221" t="str">
        <x:v>IOWA</x:v>
      </x:c>
      <x:c r="M221" s="69" t="n">
        <x:v>55</x:v>
      </x:c>
      <x:c r="N221" t="str">
        <x:v>3-0</x:v>
      </x:c>
      <x:c r="O221" t="str">
        <x:f>IF(E221&lt;&gt;TRUE,"",IF(M221&gt;H221,"W",IF(M221&lt;H221,"L","T")))</x:f>
        <x:v>W</x:v>
      </x:c>
      <x:c r="P221" s="66" t="b">
        <x:v>0</x:v>
      </x:c>
      <x:c r="Q221" s="66" t="b">
        <x:v>0</x:v>
      </x:c>
      <x:c r="R221" t="str">
        <x:v>Kinnick Stadium</x:v>
      </x:c>
      <x:c r="S221" t="str">
        <x:v>FS1</x:v>
      </x:c>
      <x:c r="T221"/>
      <x:c r="U221" s="70"/>
      <x:c r="V221" s="70"/>
      <x:c r="W221"/>
      <x:c r="X221" t="str">
        <x:v>https://www.espn.com/college-football/game/_/gameId/401858471</x:v>
      </x:c>
    </x:row>
    <x:row r="222">
      <x:c r="A222" t="str">
        <x:v>CFB</x:v>
      </x:c>
      <x:c r="B222" t="n">
        <x:v>3</x:v>
      </x:c>
      <x:c r="C222" s="68" t="n">
        <x:v>46284.833333333336</x:v>
      </x:c>
      <x:c r="D222" s="71" t="str">
        <x:v>post</x:v>
      </x:c>
      <x:c r="E222" s="72" t="b">
        <x:v>1</x:v>
      </x:c>
      <x:c r="F222" t="str">
        <x:v>Ball State Cardinals</x:v>
      </x:c>
      <x:c r="G222" t="str">
        <x:v>BALL</x:v>
      </x:c>
      <x:c r="H222" s="69" t="n">
        <x:v>15</x:v>
      </x:c>
      <x:c r="I222" t="str">
        <x:v>1-2</x:v>
      </x:c>
      <x:c r="J222" t="str">
        <x:f>IF(E222&lt;&gt;TRUE,"",IF(H222&gt;M222,"W",IF(H222&lt;M222,"L","T")))</x:f>
        <x:v>L</x:v>
      </x:c>
      <x:c r="K222" t="str">
        <x:v>Liberty Flames</x:v>
      </x:c>
      <x:c r="L222" t="str">
        <x:v>LIB</x:v>
      </x:c>
      <x:c r="M222" s="69" t="n">
        <x:v>51</x:v>
      </x:c>
      <x:c r="N222" t="str">
        <x:v>2-1</x:v>
      </x:c>
      <x:c r="O222" t="str">
        <x:f>IF(E222&lt;&gt;TRUE,"",IF(M222&gt;H222,"W",IF(M222&lt;H222,"L","T")))</x:f>
        <x:v>W</x:v>
      </x:c>
      <x:c r="P222" s="66" t="b">
        <x:v>0</x:v>
      </x:c>
      <x:c r="Q222" s="66" t="b">
        <x:v>0</x:v>
      </x:c>
      <x:c r="R222" t="str">
        <x:v>Williams Stadium (VA)</x:v>
      </x:c>
      <x:c r="S222" t="str">
        <x:v>ESPN+</x:v>
      </x:c>
      <x:c r="T222"/>
      <x:c r="U222" s="70"/>
      <x:c r="V222" s="70"/>
      <x:c r="W222"/>
      <x:c r="X222" t="str">
        <x:v>https://www.espn.com/college-football/game/_/gameId/401866422</x:v>
      </x:c>
    </x:row>
    <x:row r="223">
      <x:c r="A223" t="str">
        <x:v>CFB</x:v>
      </x:c>
      <x:c r="B223" t="n">
        <x:v>3</x:v>
      </x:c>
      <x:c r="C223" s="68" t="n">
        <x:v>46284.833333333336</x:v>
      </x:c>
      <x:c r="D223" s="71" t="str">
        <x:v>post</x:v>
      </x:c>
      <x:c r="E223" s="72" t="b">
        <x:v>1</x:v>
      </x:c>
      <x:c r="F223" t="str">
        <x:v>Louisiana Tech Bulldogs</x:v>
      </x:c>
      <x:c r="G223" t="str">
        <x:v>LT</x:v>
      </x:c>
      <x:c r="H223" s="69" t="n">
        <x:v>19</x:v>
      </x:c>
      <x:c r="I223" t="str">
        <x:v>1-2</x:v>
      </x:c>
      <x:c r="J223" t="str">
        <x:f>IF(E223&lt;&gt;TRUE,"",IF(H223&gt;M223,"W",IF(H223&lt;M223,"L","T")))</x:f>
        <x:v>L</x:v>
      </x:c>
      <x:c r="K223" t="str">
        <x:v>Baylor Bears</x:v>
      </x:c>
      <x:c r="L223" t="str">
        <x:v>BAY</x:v>
      </x:c>
      <x:c r="M223" s="69" t="n">
        <x:v>36</x:v>
      </x:c>
      <x:c r="N223" t="str">
        <x:v>2-1</x:v>
      </x:c>
      <x:c r="O223" t="str">
        <x:f>IF(E223&lt;&gt;TRUE,"",IF(M223&gt;H223,"W",IF(M223&lt;H223,"L","T")))</x:f>
        <x:v>W</x:v>
      </x:c>
      <x:c r="P223" s="66" t="b">
        <x:v>0</x:v>
      </x:c>
      <x:c r="Q223" s="66" t="b">
        <x:v>0</x:v>
      </x:c>
      <x:c r="R223" t="str">
        <x:v>McLane Stadium</x:v>
      </x:c>
      <x:c r="S223" t="str">
        <x:v>ESPNU</x:v>
      </x:c>
      <x:c r="T223"/>
      <x:c r="U223" s="70"/>
      <x:c r="V223" s="70"/>
      <x:c r="W223"/>
      <x:c r="X223" t="str">
        <x:v>https://www.espn.com/college-football/game/_/gameId/401867804</x:v>
      </x:c>
    </x:row>
    <x:row r="224">
      <x:c r="A224" t="str">
        <x:v>CFB</x:v>
      </x:c>
      <x:c r="B224" t="n">
        <x:v>3</x:v>
      </x:c>
      <x:c r="C224" s="68" t="n">
        <x:v>46284.854166666664</x:v>
      </x:c>
      <x:c r="D224" s="71" t="str">
        <x:v>post</x:v>
      </x:c>
      <x:c r="E224" s="72" t="b">
        <x:v>1</x:v>
      </x:c>
      <x:c r="F224" t="str">
        <x:v>SE Louisiana Lions</x:v>
      </x:c>
      <x:c r="G224" t="str">
        <x:v>SELA</x:v>
      </x:c>
      <x:c r="H224" s="69" t="n">
        <x:v>38</x:v>
      </x:c>
      <x:c r="I224" t="str">
        <x:v>2-2</x:v>
      </x:c>
      <x:c r="J224" t="str">
        <x:f>IF(E224&lt;&gt;TRUE,"",IF(H224&gt;M224,"W",IF(H224&lt;M224,"L","T")))</x:f>
        <x:v>W</x:v>
      </x:c>
      <x:c r="K224" t="str">
        <x:v>UL Monroe Warhawks</x:v>
      </x:c>
      <x:c r="L224" t="str">
        <x:v>ULM</x:v>
      </x:c>
      <x:c r="M224" s="69" t="n">
        <x:v>35</x:v>
      </x:c>
      <x:c r="N224" t="str">
        <x:v>0-3</x:v>
      </x:c>
      <x:c r="O224" t="str">
        <x:f>IF(E224&lt;&gt;TRUE,"",IF(M224&gt;H224,"W",IF(M224&lt;H224,"L","T")))</x:f>
        <x:v>L</x:v>
      </x:c>
      <x:c r="P224" s="66" t="b">
        <x:v>0</x:v>
      </x:c>
      <x:c r="Q224" s="66" t="b">
        <x:v>0</x:v>
      </x:c>
      <x:c r="R224" t="str">
        <x:v>Malone Stadium</x:v>
      </x:c>
      <x:c r="S224" t="str">
        <x:v>ESPN+</x:v>
      </x:c>
      <x:c r="T224"/>
      <x:c r="U224" s="70"/>
      <x:c r="V224" s="70"/>
      <x:c r="W224"/>
      <x:c r="X224" t="str">
        <x:v>https://www.espn.com/college-football/game/_/gameId/401868317</x:v>
      </x:c>
    </x:row>
    <x:row r="225">
      <x:c r="A225" t="str">
        <x:v>CFB</x:v>
      </x:c>
      <x:c r="B225" t="n">
        <x:v>3</x:v>
      </x:c>
      <x:c r="C225" s="68" t="n">
        <x:v>46284.885416666664</x:v>
      </x:c>
      <x:c r="D225" s="71" t="str">
        <x:v>post</x:v>
      </x:c>
      <x:c r="E225" s="72" t="b">
        <x:v>1</x:v>
      </x:c>
      <x:c r="F225" t="str">
        <x:v>Florida State Seminoles</x:v>
      </x:c>
      <x:c r="G225" t="str">
        <x:v>FSU</x:v>
      </x:c>
      <x:c r="H225" s="69" t="n">
        <x:v>36</x:v>
      </x:c>
      <x:c r="I225" t="str">
        <x:v>1-2</x:v>
      </x:c>
      <x:c r="J225" t="str">
        <x:f>IF(E225&lt;&gt;TRUE,"",IF(H225&gt;M225,"W",IF(H225&lt;M225,"L","T")))</x:f>
        <x:v>L</x:v>
      </x:c>
      <x:c r="K225" t="str">
        <x:v>Alabama Crimson Tide</x:v>
      </x:c>
      <x:c r="L225" t="str">
        <x:v>ALA</x:v>
      </x:c>
      <x:c r="M225" s="69" t="n">
        <x:v>50</x:v>
      </x:c>
      <x:c r="N225" t="str">
        <x:v>3-0</x:v>
      </x:c>
      <x:c r="O225" t="str">
        <x:f>IF(E225&lt;&gt;TRUE,"",IF(M225&gt;H225,"W",IF(M225&lt;H225,"L","T")))</x:f>
        <x:v>W</x:v>
      </x:c>
      <x:c r="P225" s="66" t="b">
        <x:v>0</x:v>
      </x:c>
      <x:c r="Q225" s="66" t="b">
        <x:v>0</x:v>
      </x:c>
      <x:c r="R225" t="str">
        <x:v>Bryant-Denny Stadium</x:v>
      </x:c>
      <x:c r="S225" t="str">
        <x:v>ESPN2</x:v>
      </x:c>
      <x:c r="T225"/>
      <x:c r="U225" s="70"/>
      <x:c r="V225" s="70"/>
      <x:c r="W225"/>
      <x:c r="X225" t="str">
        <x:v>https://www.espn.com/college-football/game/_/gameId/401856685</x:v>
      </x:c>
    </x:row>
    <x:row r="226">
      <x:c r="A226" t="str">
        <x:v>CFB</x:v>
      </x:c>
      <x:c r="B226" t="n">
        <x:v>3</x:v>
      </x:c>
      <x:c r="C226" s="68" t="n">
        <x:v>46284.899305555555</x:v>
      </x:c>
      <x:c r="D226" s="71" t="str">
        <x:v>post</x:v>
      </x:c>
      <x:c r="E226" s="72" t="b">
        <x:v>1</x:v>
      </x:c>
      <x:c r="F226" t="str">
        <x:v>Mississippi State Bulldogs</x:v>
      </x:c>
      <x:c r="G226" t="str">
        <x:v>MSST</x:v>
      </x:c>
      <x:c r="H226" s="69" t="n">
        <x:v>41</x:v>
      </x:c>
      <x:c r="I226" t="str">
        <x:v>3-0</x:v>
      </x:c>
      <x:c r="J226" t="str">
        <x:f>IF(E226&lt;&gt;TRUE,"",IF(H226&gt;M226,"W",IF(H226&lt;M226,"L","T")))</x:f>
        <x:v>W</x:v>
      </x:c>
      <x:c r="K226" t="str">
        <x:v>South Carolina Gamecocks</x:v>
      </x:c>
      <x:c r="L226" t="str">
        <x:v>SC</x:v>
      </x:c>
      <x:c r="M226" s="69" t="n">
        <x:v>34</x:v>
      </x:c>
      <x:c r="N226" t="str">
        <x:v>2-1</x:v>
      </x:c>
      <x:c r="O226" t="str">
        <x:f>IF(E226&lt;&gt;TRUE,"",IF(M226&gt;H226,"W",IF(M226&lt;H226,"L","T")))</x:f>
        <x:v>L</x:v>
      </x:c>
      <x:c r="P226" s="66" t="b">
        <x:v>0</x:v>
      </x:c>
      <x:c r="Q226" s="66" t="b">
        <x:v>1</x:v>
      </x:c>
      <x:c r="R226" t="str">
        <x:v>Williams-Brice Stadium</x:v>
      </x:c>
      <x:c r="S226" t="str">
        <x:v>SEC Network</x:v>
      </x:c>
      <x:c r="T226"/>
      <x:c r="U226" s="70"/>
      <x:c r="V226" s="70"/>
      <x:c r="W226"/>
      <x:c r="X226" t="str">
        <x:v>https://www.espn.com/college-football/game/_/gameId/401856691</x:v>
      </x:c>
    </x:row>
    <x:row r="227">
      <x:c r="A227" t="str">
        <x:v>CFB</x:v>
      </x:c>
      <x:c r="B227" t="n">
        <x:v>3</x:v>
      </x:c>
      <x:c r="C227" s="68" t="n">
        <x:v>46284.916666666664</x:v>
      </x:c>
      <x:c r="D227" s="71" t="str">
        <x:v>post</x:v>
      </x:c>
      <x:c r="E227" s="72" t="b">
        <x:v>1</x:v>
      </x:c>
      <x:c r="F227" t="str">
        <x:v>East Carolina Pirates</x:v>
      </x:c>
      <x:c r="G227" t="str">
        <x:v>ECU</x:v>
      </x:c>
      <x:c r="H227" s="69" t="n">
        <x:v>20</x:v>
      </x:c>
      <x:c r="I227" t="str">
        <x:v>1-2</x:v>
      </x:c>
      <x:c r="J227" t="str">
        <x:f>IF(E227&lt;&gt;TRUE,"",IF(H227&gt;M227,"W",IF(H227&lt;M227,"L","T")))</x:f>
        <x:v>W</x:v>
      </x:c>
      <x:c r="K227" t="str">
        <x:v>Old Dominion Monarchs</x:v>
      </x:c>
      <x:c r="L227" t="str">
        <x:v>ODU</x:v>
      </x:c>
      <x:c r="M227" s="69" t="n">
        <x:v>17</x:v>
      </x:c>
      <x:c r="N227" t="str">
        <x:v>1-2</x:v>
      </x:c>
      <x:c r="O227" t="str">
        <x:f>IF(E227&lt;&gt;TRUE,"",IF(M227&gt;H227,"W",IF(M227&lt;H227,"L","T")))</x:f>
        <x:v>L</x:v>
      </x:c>
      <x:c r="P227" s="66" t="b">
        <x:v>0</x:v>
      </x:c>
      <x:c r="Q227" s="66" t="b">
        <x:v>0</x:v>
      </x:c>
      <x:c r="R227" t="str">
        <x:v>S.B. Ballard Stadium</x:v>
      </x:c>
      <x:c r="S227" t="str">
        <x:v>ESPN+</x:v>
      </x:c>
      <x:c r="T227"/>
      <x:c r="U227" s="70"/>
      <x:c r="V227" s="70"/>
      <x:c r="W227"/>
      <x:c r="X227" t="str">
        <x:v>https://www.espn.com/college-football/game/_/gameId/401862710</x:v>
      </x:c>
    </x:row>
    <x:row r="228">
      <x:c r="A228" t="str">
        <x:v>CFB</x:v>
      </x:c>
      <x:c r="B228" t="n">
        <x:v>3</x:v>
      </x:c>
      <x:c r="C228" s="68" t="n">
        <x:v>46284.916666666664</x:v>
      </x:c>
      <x:c r="D228" s="71" t="str">
        <x:v>post</x:v>
      </x:c>
      <x:c r="E228" s="72" t="b">
        <x:v>1</x:v>
      </x:c>
      <x:c r="F228" t="str">
        <x:v>Florida International Panthers</x:v>
      </x:c>
      <x:c r="G228" t="str">
        <x:v>FIU</x:v>
      </x:c>
      <x:c r="H228" s="69" t="n">
        <x:v>10</x:v>
      </x:c>
      <x:c r="I228" t="str">
        <x:v>1-2</x:v>
      </x:c>
      <x:c r="J228" t="str">
        <x:f>IF(E228&lt;&gt;TRUE,"",IF(H228&gt;M228,"W",IF(H228&lt;M228,"L","T")))</x:f>
        <x:v>L</x:v>
      </x:c>
      <x:c r="K228" t="str">
        <x:v>Florida Atlantic Owls</x:v>
      </x:c>
      <x:c r="L228" t="str">
        <x:v>FAU</x:v>
      </x:c>
      <x:c r="M228" s="69" t="n">
        <x:v>16</x:v>
      </x:c>
      <x:c r="N228" t="str">
        <x:v>2-1</x:v>
      </x:c>
      <x:c r="O228" t="str">
        <x:f>IF(E228&lt;&gt;TRUE,"",IF(M228&gt;H228,"W",IF(M228&lt;H228,"L","T")))</x:f>
        <x:v>W</x:v>
      </x:c>
      <x:c r="P228" s="66" t="b">
        <x:v>0</x:v>
      </x:c>
      <x:c r="Q228" s="66" t="b">
        <x:v>0</x:v>
      </x:c>
      <x:c r="R228" t="str">
        <x:v>Flagler Credit Union Stadium</x:v>
      </x:c>
      <x:c r="S228" t="str">
        <x:v>ESPN+</x:v>
      </x:c>
      <x:c r="T228"/>
      <x:c r="U228" s="70"/>
      <x:c r="V228" s="70"/>
      <x:c r="W228"/>
      <x:c r="X228" t="str">
        <x:v>https://www.espn.com/college-football/game/_/gameId/401862771</x:v>
      </x:c>
    </x:row>
    <x:row r="229">
      <x:c r="A229" t="str">
        <x:v>CFB</x:v>
      </x:c>
      <x:c r="B229" t="n">
        <x:v>3</x:v>
      </x:c>
      <x:c r="C229" s="68" t="n">
        <x:v>46284.9375</x:v>
      </x:c>
      <x:c r="D229" s="71" t="str">
        <x:v>post</x:v>
      </x:c>
      <x:c r="E229" s="72" t="b">
        <x:v>1</x:v>
      </x:c>
      <x:c r="F229" t="str">
        <x:v>Marshall Thundering Herd</x:v>
      </x:c>
      <x:c r="G229" t="str">
        <x:v>MRSH</x:v>
      </x:c>
      <x:c r="H229" s="69" t="n">
        <x:v>30</x:v>
      </x:c>
      <x:c r="I229" t="str">
        <x:v>2-1</x:v>
      </x:c>
      <x:c r="J229" t="str">
        <x:f>IF(E229&lt;&gt;TRUE,"",IF(H229&gt;M229,"W",IF(H229&lt;M229,"L","T")))</x:f>
        <x:v>W</x:v>
      </x:c>
      <x:c r="K229" t="str">
        <x:v>Missouri State Bears</x:v>
      </x:c>
      <x:c r="L229" t="str">
        <x:v>MOST</x:v>
      </x:c>
      <x:c r="M229" s="69" t="n">
        <x:v>24</x:v>
      </x:c>
      <x:c r="N229" t="str">
        <x:v>1-2</x:v>
      </x:c>
      <x:c r="O229" t="str">
        <x:f>IF(E229&lt;&gt;TRUE,"",IF(M229&gt;H229,"W",IF(M229&lt;H229,"L","T")))</x:f>
        <x:v>L</x:v>
      </x:c>
      <x:c r="P229" s="66" t="b">
        <x:v>0</x:v>
      </x:c>
      <x:c r="Q229" s="66" t="b">
        <x:v>0</x:v>
      </x:c>
      <x:c r="R229" t="str">
        <x:v>Robert W. Plaster Stadium</x:v>
      </x:c>
      <x:c r="S229" t="str">
        <x:v>CBSSN</x:v>
      </x:c>
      <x:c r="T229"/>
      <x:c r="U229" s="70"/>
      <x:c r="V229" s="70"/>
      <x:c r="W229"/>
      <x:c r="X229" t="str">
        <x:v>https://www.espn.com/college-football/game/_/gameId/401871047</x:v>
      </x:c>
    </x:row>
    <x:row r="230">
      <x:c r="A230" t="str">
        <x:v>CFB</x:v>
      </x:c>
      <x:c r="B230" t="n">
        <x:v>3</x:v>
      </x:c>
      <x:c r="C230" s="68" t="n">
        <x:v>46284.958333333336</x:v>
      </x:c>
      <x:c r="D230" s="71" t="str">
        <x:v>post</x:v>
      </x:c>
      <x:c r="E230" s="72" t="b">
        <x:v>1</x:v>
      </x:c>
      <x:c r="F230" t="str">
        <x:v>Florida Gators</x:v>
      </x:c>
      <x:c r="G230" t="str">
        <x:v>FLA</x:v>
      </x:c>
      <x:c r="H230" s="69" t="n">
        <x:v>44</x:v>
      </x:c>
      <x:c r="I230" t="str">
        <x:v>3-0</x:v>
      </x:c>
      <x:c r="J230" t="str">
        <x:f>IF(E230&lt;&gt;TRUE,"",IF(H230&gt;M230,"W",IF(H230&lt;M230,"L","T")))</x:f>
        <x:v>W</x:v>
      </x:c>
      <x:c r="K230" t="str">
        <x:v>Auburn Tigers</x:v>
      </x:c>
      <x:c r="L230" t="str">
        <x:v>AUB</x:v>
      </x:c>
      <x:c r="M230" s="69" t="n">
        <x:v>39</x:v>
      </x:c>
      <x:c r="N230" t="str">
        <x:v>2-1</x:v>
      </x:c>
      <x:c r="O230" t="str">
        <x:f>IF(E230&lt;&gt;TRUE,"",IF(M230&gt;H230,"W",IF(M230&lt;H230,"L","T")))</x:f>
        <x:v>L</x:v>
      </x:c>
      <x:c r="P230" s="66" t="b">
        <x:v>0</x:v>
      </x:c>
      <x:c r="Q230" s="66" t="b">
        <x:v>1</x:v>
      </x:c>
      <x:c r="R230" t="str">
        <x:v>Jordan-Hare Stadium</x:v>
      </x:c>
      <x:c r="S230" t="str">
        <x:v>ESPN</x:v>
      </x:c>
      <x:c r="T230"/>
      <x:c r="U230" s="70"/>
      <x:c r="V230" s="70"/>
      <x:c r="W230"/>
      <x:c r="X230" t="str">
        <x:v>https://www.espn.com/college-football/game/_/gameId/401856687</x:v>
      </x:c>
    </x:row>
    <x:row r="231">
      <x:c r="A231" t="str">
        <x:v>CFB</x:v>
      </x:c>
      <x:c r="B231" t="n">
        <x:v>3</x:v>
      </x:c>
      <x:c r="C231" s="68" t="n">
        <x:v>46284.958333333336</x:v>
      </x:c>
      <x:c r="D231" s="71" t="str">
        <x:v>post</x:v>
      </x:c>
      <x:c r="E231" s="72" t="b">
        <x:v>1</x:v>
      </x:c>
      <x:c r="F231" t="str">
        <x:v>Troy Trojans</x:v>
      </x:c>
      <x:c r="G231" t="str">
        <x:v>TROY</x:v>
      </x:c>
      <x:c r="H231" s="69" t="n">
        <x:v>17</x:v>
      </x:c>
      <x:c r="I231" t="str">
        <x:v>2-1</x:v>
      </x:c>
      <x:c r="J231" t="str">
        <x:f>IF(E231&lt;&gt;TRUE,"",IF(H231&gt;M231,"W",IF(H231&lt;M231,"L","T")))</x:f>
        <x:v>L</x:v>
      </x:c>
      <x:c r="K231" t="str">
        <x:v>Missouri Tigers</x:v>
      </x:c>
      <x:c r="L231" t="str">
        <x:v>MIZ</x:v>
      </x:c>
      <x:c r="M231" s="69" t="n">
        <x:v>27</x:v>
      </x:c>
      <x:c r="N231" t="str">
        <x:v>3-0</x:v>
      </x:c>
      <x:c r="O231" t="str">
        <x:f>IF(E231&lt;&gt;TRUE,"",IF(M231&gt;H231,"W",IF(M231&lt;H231,"L","T")))</x:f>
        <x:v>W</x:v>
      </x:c>
      <x:c r="P231" s="66" t="b">
        <x:v>0</x:v>
      </x:c>
      <x:c r="Q231" s="66" t="b">
        <x:v>0</x:v>
      </x:c>
      <x:c r="R231" t="str">
        <x:v>Memorial Stadium</x:v>
      </x:c>
      <x:c r="S231" t="str">
        <x:v>SECN+</x:v>
      </x:c>
      <x:c r="T231"/>
      <x:c r="U231" s="70"/>
      <x:c r="V231" s="70"/>
      <x:c r="W231"/>
      <x:c r="X231" t="str">
        <x:v>https://www.espn.com/college-football/game/_/gameId/401856689</x:v>
      </x:c>
    </x:row>
    <x:row r="232">
      <x:c r="A232" t="str">
        <x:v>CFB</x:v>
      </x:c>
      <x:c r="B232" t="n">
        <x:v>3</x:v>
      </x:c>
      <x:c r="C232" s="68" t="n">
        <x:v>46284.958333333336</x:v>
      </x:c>
      <x:c r="D232" s="71" t="str">
        <x:v>post</x:v>
      </x:c>
      <x:c r="E232" s="72" t="b">
        <x:v>1</x:v>
      </x:c>
      <x:c r="F232" t="str">
        <x:v>Georgia State Panthers</x:v>
      </x:c>
      <x:c r="G232" t="str">
        <x:v>GAST</x:v>
      </x:c>
      <x:c r="H232" s="69" t="n">
        <x:v>30</x:v>
      </x:c>
      <x:c r="I232" t="str">
        <x:v>2-1</x:v>
      </x:c>
      <x:c r="J232" t="str">
        <x:f>IF(E232&lt;&gt;TRUE,"",IF(H232&gt;M232,"W",IF(H232&lt;M232,"L","T")))</x:f>
        <x:v>L</x:v>
      </x:c>
      <x:c r="K232" t="str">
        <x:v>UCF Knights</x:v>
      </x:c>
      <x:c r="L232" t="str">
        <x:v>UCF</x:v>
      </x:c>
      <x:c r="M232" s="69" t="n">
        <x:v>44</x:v>
      </x:c>
      <x:c r="N232" t="str">
        <x:v>2-1</x:v>
      </x:c>
      <x:c r="O232" t="str">
        <x:f>IF(E232&lt;&gt;TRUE,"",IF(M232&gt;H232,"W",IF(M232&lt;H232,"L","T")))</x:f>
        <x:v>W</x:v>
      </x:c>
      <x:c r="P232" s="66" t="b">
        <x:v>0</x:v>
      </x:c>
      <x:c r="Q232" s="66" t="b">
        <x:v>0</x:v>
      </x:c>
      <x:c r="R232" t="str">
        <x:v>Acrisure Bounce House</x:v>
      </x:c>
      <x:c r="S232" t="str">
        <x:v>ESPN+</x:v>
      </x:c>
      <x:c r="T232"/>
      <x:c r="U232" s="70"/>
      <x:c r="V232" s="70"/>
      <x:c r="W232"/>
      <x:c r="X232" t="str">
        <x:v>https://www.espn.com/college-football/game/_/gameId/401856800</x:v>
      </x:c>
    </x:row>
    <x:row r="233">
      <x:c r="A233" t="str">
        <x:v>CFB</x:v>
      </x:c>
      <x:c r="B233" t="n">
        <x:v>3</x:v>
      </x:c>
      <x:c r="C233" s="68" t="n">
        <x:v>46284.958333333336</x:v>
      </x:c>
      <x:c r="D233" s="71" t="str">
        <x:v>post</x:v>
      </x:c>
      <x:c r="E233" s="72" t="b">
        <x:v>1</x:v>
      </x:c>
      <x:c r="F233" t="str">
        <x:v>Murray State Racers</x:v>
      </x:c>
      <x:c r="G233" t="str">
        <x:v>MUR</x:v>
      </x:c>
      <x:c r="H233" s="69" t="n">
        <x:v>0</x:v>
      </x:c>
      <x:c r="I233" t="str">
        <x:v>1-3</x:v>
      </x:c>
      <x:c r="J233" t="str">
        <x:f>IF(E233&lt;&gt;TRUE,"",IF(H233&gt;M233,"W",IF(H233&lt;M233,"L","T")))</x:f>
        <x:v>L</x:v>
      </x:c>
      <x:c r="K233" t="str">
        <x:v>Oklahoma State Cowboys</x:v>
      </x:c>
      <x:c r="L233" t="str">
        <x:v>OKST</x:v>
      </x:c>
      <x:c r="M233" s="69" t="n">
        <x:v>59</x:v>
      </x:c>
      <x:c r="N233" t="str">
        <x:v>2-1</x:v>
      </x:c>
      <x:c r="O233" t="str">
        <x:f>IF(E233&lt;&gt;TRUE,"",IF(M233&gt;H233,"W",IF(M233&lt;H233,"L","T")))</x:f>
        <x:v>W</x:v>
      </x:c>
      <x:c r="P233" s="66" t="b">
        <x:v>0</x:v>
      </x:c>
      <x:c r="Q233" s="66" t="b">
        <x:v>0</x:v>
      </x:c>
      <x:c r="R233" t="str">
        <x:v>Boone Pickens Stadium</x:v>
      </x:c>
      <x:c r="S233" t="str">
        <x:v>ESPN+</x:v>
      </x:c>
      <x:c r="T233"/>
      <x:c r="U233" s="70"/>
      <x:c r="V233" s="70"/>
      <x:c r="W233"/>
      <x:c r="X233" t="str">
        <x:v>https://www.espn.com/college-football/game/_/gameId/401856803</x:v>
      </x:c>
    </x:row>
    <x:row r="234">
      <x:c r="A234" t="str">
        <x:v>CFB</x:v>
      </x:c>
      <x:c r="B234" t="n">
        <x:v>3</x:v>
      </x:c>
      <x:c r="C234" s="68" t="n">
        <x:v>46284.958333333336</x:v>
      </x:c>
      <x:c r="D234" s="71" t="str">
        <x:v>post</x:v>
      </x:c>
      <x:c r="E234" s="72" t="b">
        <x:v>1</x:v>
      </x:c>
      <x:c r="F234" t="str">
        <x:v>UConn Huskies</x:v>
      </x:c>
      <x:c r="G234" t="str">
        <x:v>CONN</x:v>
      </x:c>
      <x:c r="H234" s="69" t="n">
        <x:v>48</x:v>
      </x:c>
      <x:c r="I234" t="str">
        <x:v>2-1</x:v>
      </x:c>
      <x:c r="J234" t="str">
        <x:f>IF(E234&lt;&gt;TRUE,"",IF(H234&gt;M234,"W",IF(H234&lt;M234,"L","T")))</x:f>
        <x:v>W</x:v>
      </x:c>
      <x:c r="K234" t="str">
        <x:v>Southern Miss Golden Eagles</x:v>
      </x:c>
      <x:c r="L234" t="str">
        <x:v>USM</x:v>
      </x:c>
      <x:c r="M234" s="69" t="n">
        <x:v>20</x:v>
      </x:c>
      <x:c r="N234" t="str">
        <x:v>1-2</x:v>
      </x:c>
      <x:c r="O234" t="str">
        <x:f>IF(E234&lt;&gt;TRUE,"",IF(M234&gt;H234,"W",IF(M234&lt;H234,"L","T")))</x:f>
        <x:v>L</x:v>
      </x:c>
      <x:c r="P234" s="66" t="b">
        <x:v>0</x:v>
      </x:c>
      <x:c r="Q234" s="66" t="b">
        <x:v>0</x:v>
      </x:c>
      <x:c r="R234" t="str">
        <x:v>M. M. Roberts Stadium</x:v>
      </x:c>
      <x:c r="S234" t="str">
        <x:v>ESPN+</x:v>
      </x:c>
      <x:c r="T234"/>
      <x:c r="U234" s="70"/>
      <x:c r="V234" s="70"/>
      <x:c r="W234"/>
      <x:c r="X234" t="str">
        <x:v>https://www.espn.com/college-football/game/_/gameId/401861963</x:v>
      </x:c>
    </x:row>
    <x:row r="235">
      <x:c r="A235" t="str">
        <x:v>CFB</x:v>
      </x:c>
      <x:c r="B235" t="n">
        <x:v>3</x:v>
      </x:c>
      <x:c r="C235" s="68" t="n">
        <x:v>46284.958333333336</x:v>
      </x:c>
      <x:c r="D235" s="71" t="str">
        <x:v>post</x:v>
      </x:c>
      <x:c r="E235" s="72" t="b">
        <x:v>1</x:v>
      </x:c>
      <x:c r="F235" t="str">
        <x:v>UT Martin Skyhawks</x:v>
      </x:c>
      <x:c r="G235" t="str">
        <x:v>UTM</x:v>
      </x:c>
      <x:c r="H235" s="69" t="n">
        <x:v>21</x:v>
      </x:c>
      <x:c r="I235" t="str">
        <x:v>1-3</x:v>
      </x:c>
      <x:c r="J235" t="str">
        <x:f>IF(E235&lt;&gt;TRUE,"",IF(H235&gt;M235,"W",IF(H235&lt;M235,"L","T")))</x:f>
        <x:v>L</x:v>
      </x:c>
      <x:c r="K235" t="str">
        <x:v>Memphis Tigers</x:v>
      </x:c>
      <x:c r="L235" t="str">
        <x:v>MEM</x:v>
      </x:c>
      <x:c r="M235" s="69" t="n">
        <x:v>45</x:v>
      </x:c>
      <x:c r="N235" t="str">
        <x:v>3-1</x:v>
      </x:c>
      <x:c r="O235" t="str">
        <x:f>IF(E235&lt;&gt;TRUE,"",IF(M235&gt;H235,"W",IF(M235&lt;H235,"L","T")))</x:f>
        <x:v>W</x:v>
      </x:c>
      <x:c r="P235" s="66" t="b">
        <x:v>0</x:v>
      </x:c>
      <x:c r="Q235" s="66" t="b">
        <x:v>0</x:v>
      </x:c>
      <x:c r="R235" t="str">
        <x:v>Simmons Bank Liberty Stadium</x:v>
      </x:c>
      <x:c r="S235" t="str">
        <x:v>ESPN+</x:v>
      </x:c>
      <x:c r="T235"/>
      <x:c r="U235" s="70"/>
      <x:c r="V235" s="70"/>
      <x:c r="W235"/>
      <x:c r="X235" t="str">
        <x:v>https://www.espn.com/college-football/game/_/gameId/401862772</x:v>
      </x:c>
    </x:row>
    <x:row r="236">
      <x:c r="A236" t="str">
        <x:v>CFB</x:v>
      </x:c>
      <x:c r="B236" t="n">
        <x:v>3</x:v>
      </x:c>
      <x:c r="C236" s="68" t="n">
        <x:v>46284.958333333336</x:v>
      </x:c>
      <x:c r="D236" s="71" t="str">
        <x:v>post</x:v>
      </x:c>
      <x:c r="E236" s="72" t="b">
        <x:v>1</x:v>
      </x:c>
      <x:c r="F236" t="str">
        <x:v>Western Michigan Broncos</x:v>
      </x:c>
      <x:c r="G236" t="str">
        <x:v>WMU</x:v>
      </x:c>
      <x:c r="H236" s="69" t="n">
        <x:v>28</x:v>
      </x:c>
      <x:c r="I236" t="str">
        <x:v>2-1</x:v>
      </x:c>
      <x:c r="J236" t="str">
        <x:f>IF(E236&lt;&gt;TRUE,"",IF(H236&gt;M236,"W",IF(H236&lt;M236,"L","T")))</x:f>
        <x:v>W</x:v>
      </x:c>
      <x:c r="K236" t="str">
        <x:v>Rice Owls</x:v>
      </x:c>
      <x:c r="L236" t="str">
        <x:v>RICE</x:v>
      </x:c>
      <x:c r="M236" s="69" t="n">
        <x:v>21</x:v>
      </x:c>
      <x:c r="N236" t="str">
        <x:v>1-2</x:v>
      </x:c>
      <x:c r="O236" t="str">
        <x:f>IF(E236&lt;&gt;TRUE,"",IF(M236&gt;H236,"W",IF(M236&lt;H236,"L","T")))</x:f>
        <x:v>L</x:v>
      </x:c>
      <x:c r="P236" s="66" t="b">
        <x:v>0</x:v>
      </x:c>
      <x:c r="Q236" s="66" t="b">
        <x:v>0</x:v>
      </x:c>
      <x:c r="R236" t="str">
        <x:v>Rice Stadium</x:v>
      </x:c>
      <x:c r="S236" t="str">
        <x:v>ESPN+</x:v>
      </x:c>
      <x:c r="T236"/>
      <x:c r="U236" s="70"/>
      <x:c r="V236" s="70"/>
      <x:c r="W236"/>
      <x:c r="X236" t="str">
        <x:v>https://www.espn.com/college-football/game/_/gameId/401862773</x:v>
      </x:c>
    </x:row>
    <x:row r="237">
      <x:c r="A237" t="str">
        <x:v>CFB</x:v>
      </x:c>
      <x:c r="B237" t="n">
        <x:v>3</x:v>
      </x:c>
      <x:c r="C237" s="68" t="n">
        <x:v>46284.958333333336</x:v>
      </x:c>
      <x:c r="D237" s="71" t="str">
        <x:v>post</x:v>
      </x:c>
      <x:c r="E237" s="72" t="b">
        <x:v>1</x:v>
      </x:c>
      <x:c r="F237" t="str">
        <x:v>Delaware State Hornets</x:v>
      </x:c>
      <x:c r="G237" t="str">
        <x:v>DSU</x:v>
      </x:c>
      <x:c r="H237" s="69" t="n">
        <x:v>17</x:v>
      </x:c>
      <x:c r="I237" t="str">
        <x:v>2-2</x:v>
      </x:c>
      <x:c r="J237" t="str">
        <x:f>IF(E237&lt;&gt;TRUE,"",IF(H237&gt;M237,"W",IF(H237&lt;M237,"L","T")))</x:f>
        <x:v>L</x:v>
      </x:c>
      <x:c r="K237" t="str">
        <x:v>South Florida Bulls</x:v>
      </x:c>
      <x:c r="L237" t="str">
        <x:v>USF</x:v>
      </x:c>
      <x:c r="M237" s="69" t="n">
        <x:v>59</x:v>
      </x:c>
      <x:c r="N237" t="str">
        <x:v>3-0</x:v>
      </x:c>
      <x:c r="O237" t="str">
        <x:f>IF(E237&lt;&gt;TRUE,"",IF(M237&gt;H237,"W",IF(M237&lt;H237,"L","T")))</x:f>
        <x:v>W</x:v>
      </x:c>
      <x:c r="P237" s="66" t="b">
        <x:v>0</x:v>
      </x:c>
      <x:c r="Q237" s="66" t="b">
        <x:v>0</x:v>
      </x:c>
      <x:c r="R237" t="str">
        <x:v>Raymond James Stadium</x:v>
      </x:c>
      <x:c r="S237" t="str">
        <x:v>ESPN+</x:v>
      </x:c>
      <x:c r="T237"/>
      <x:c r="U237" s="70"/>
      <x:c r="V237" s="70"/>
      <x:c r="W237"/>
      <x:c r="X237" t="str">
        <x:v>https://www.espn.com/college-football/game/_/gameId/401862777</x:v>
      </x:c>
    </x:row>
    <x:row r="238">
      <x:c r="A238" t="str">
        <x:v>CFB</x:v>
      </x:c>
      <x:c r="B238" t="n">
        <x:v>3</x:v>
      </x:c>
      <x:c r="C238" s="68" t="n">
        <x:v>46284.958333333336</x:v>
      </x:c>
      <x:c r="D238" s="71" t="str">
        <x:v>post</x:v>
      </x:c>
      <x:c r="E238" s="72" t="b">
        <x:v>1</x:v>
      </x:c>
      <x:c r="F238" t="str">
        <x:v>Nevada Wolf Pack</x:v>
      </x:c>
      <x:c r="G238" t="str">
        <x:v>NEV</x:v>
      </x:c>
      <x:c r="H238" s="69" t="n">
        <x:v>20</x:v>
      </x:c>
      <x:c r="I238" t="str">
        <x:v>1-2</x:v>
      </x:c>
      <x:c r="J238" t="str">
        <x:f>IF(E238&lt;&gt;TRUE,"",IF(H238&gt;M238,"W",IF(H238&lt;M238,"L","T")))</x:f>
        <x:v>L</x:v>
      </x:c>
      <x:c r="K238" t="str">
        <x:v>Middle Tennessee Blue Raiders</x:v>
      </x:c>
      <x:c r="L238" t="str">
        <x:v>MTSU</x:v>
      </x:c>
      <x:c r="M238" s="69" t="n">
        <x:v>27</x:v>
      </x:c>
      <x:c r="N238" t="str">
        <x:v>2-1</x:v>
      </x:c>
      <x:c r="O238" t="str">
        <x:f>IF(E238&lt;&gt;TRUE,"",IF(M238&gt;H238,"W",IF(M238&lt;H238,"L","T")))</x:f>
        <x:v>W</x:v>
      </x:c>
      <x:c r="P238" s="66" t="b">
        <x:v>0</x:v>
      </x:c>
      <x:c r="Q238" s="66" t="b">
        <x:v>0</x:v>
      </x:c>
      <x:c r="R238" t="str">
        <x:v>Johnny "Red" Floyd Stadium</x:v>
      </x:c>
      <x:c r="S238" t="str">
        <x:v>ESPN+</x:v>
      </x:c>
      <x:c r="T238"/>
      <x:c r="U238" s="70"/>
      <x:c r="V238" s="70"/>
      <x:c r="W238"/>
      <x:c r="X238" t="str">
        <x:v>https://www.espn.com/college-football/game/_/gameId/401864443</x:v>
      </x:c>
    </x:row>
    <x:row r="239">
      <x:c r="A239" t="str">
        <x:v>CFB</x:v>
      </x:c>
      <x:c r="B239" t="n">
        <x:v>3</x:v>
      </x:c>
      <x:c r="C239" s="68" t="n">
        <x:v>46284.958333333336</x:v>
      </x:c>
      <x:c r="D239" s="71" t="str">
        <x:v>post</x:v>
      </x:c>
      <x:c r="E239" s="72" t="b">
        <x:v>1</x:v>
      </x:c>
      <x:c r="F239" t="str">
        <x:v>Ohio Bobcats</x:v>
      </x:c>
      <x:c r="G239" t="str">
        <x:v>OHIO</x:v>
      </x:c>
      <x:c r="H239" s="69" t="n">
        <x:v>36</x:v>
      </x:c>
      <x:c r="I239" t="str">
        <x:v>1-2</x:v>
      </x:c>
      <x:c r="J239" t="str">
        <x:f>IF(E239&lt;&gt;TRUE,"",IF(H239&gt;M239,"W",IF(H239&lt;M239,"L","T")))</x:f>
        <x:v>L</x:v>
      </x:c>
      <x:c r="K239" t="str">
        <x:v>South Alabama Jaguars</x:v>
      </x:c>
      <x:c r="L239" t="str">
        <x:v>USA</x:v>
      </x:c>
      <x:c r="M239" s="69" t="n">
        <x:v>41</x:v>
      </x:c>
      <x:c r="N239" t="str">
        <x:v>2-1</x:v>
      </x:c>
      <x:c r="O239" t="str">
        <x:f>IF(E239&lt;&gt;TRUE,"",IF(M239&gt;H239,"W",IF(M239&lt;H239,"L","T")))</x:f>
        <x:v>W</x:v>
      </x:c>
      <x:c r="P239" s="66" t="b">
        <x:v>0</x:v>
      </x:c>
      <x:c r="Q239" s="66" t="b">
        <x:v>0</x:v>
      </x:c>
      <x:c r="R239" t="str">
        <x:v>Hancock Whitney Stadium</x:v>
      </x:c>
      <x:c r="S239" t="str">
        <x:v>ESPN+</x:v>
      </x:c>
      <x:c r="T239"/>
      <x:c r="U239" s="70"/>
      <x:c r="V239" s="70"/>
      <x:c r="W239"/>
      <x:c r="X239" t="str">
        <x:v>https://www.espn.com/college-football/game/_/gameId/401866423</x:v>
      </x:c>
    </x:row>
    <x:row r="240">
      <x:c r="A240" t="str">
        <x:v>CFB</x:v>
      </x:c>
      <x:c r="B240" t="n">
        <x:v>3</x:v>
      </x:c>
      <x:c r="C240" s="68" t="n">
        <x:v>46284.958333333336</x:v>
      </x:c>
      <x:c r="D240" s="71" t="str">
        <x:v>post</x:v>
      </x:c>
      <x:c r="E240" s="72" t="b">
        <x:v>1</x:v>
      </x:c>
      <x:c r="F240" t="str">
        <x:v>Georgia Southern Eagles</x:v>
      </x:c>
      <x:c r="G240" t="str">
        <x:v>GASO</x:v>
      </x:c>
      <x:c r="H240" s="69" t="n">
        <x:v>27</x:v>
      </x:c>
      <x:c r="I240" t="str">
        <x:v>1-2</x:v>
      </x:c>
      <x:c r="J240" t="str">
        <x:f>IF(E240&lt;&gt;TRUE,"",IF(H240&gt;M240,"W",IF(H240&lt;M240,"L","T")))</x:f>
        <x:v>L</x:v>
      </x:c>
      <x:c r="K240" t="str">
        <x:v>Jacksonville State Gamecocks</x:v>
      </x:c>
      <x:c r="L240" t="str">
        <x:v>JXST</x:v>
      </x:c>
      <x:c r="M240" s="69" t="n">
        <x:v>31</x:v>
      </x:c>
      <x:c r="N240" t="str">
        <x:v>2-2</x:v>
      </x:c>
      <x:c r="O240" t="str">
        <x:f>IF(E240&lt;&gt;TRUE,"",IF(M240&gt;H240,"W",IF(M240&lt;H240,"L","T")))</x:f>
        <x:v>W</x:v>
      </x:c>
      <x:c r="P240" s="66" t="b">
        <x:v>0</x:v>
      </x:c>
      <x:c r="Q240" s="66" t="b">
        <x:v>0</x:v>
      </x:c>
      <x:c r="R240" t="str">
        <x:v>AmFirst Stadium</x:v>
      </x:c>
      <x:c r="S240" t="str">
        <x:v>ESPN+</x:v>
      </x:c>
      <x:c r="T240"/>
      <x:c r="U240" s="70"/>
      <x:c r="V240" s="70"/>
      <x:c r="W240"/>
      <x:c r="X240" t="str">
        <x:v>https://www.espn.com/college-football/game/_/gameId/401869948</x:v>
      </x:c>
    </x:row>
    <x:row r="241">
      <x:c r="A241" t="str">
        <x:v>CFB</x:v>
      </x:c>
      <x:c r="B241" t="n">
        <x:v>3</x:v>
      </x:c>
      <x:c r="C241" s="68" t="n">
        <x:v>46284.958333333336</x:v>
      </x:c>
      <x:c r="D241" s="71" t="str">
        <x:v>post</x:v>
      </x:c>
      <x:c r="E241" s="72" t="b">
        <x:v>1</x:v>
      </x:c>
      <x:c r="F241" t="str">
        <x:v>Nicholls Colonels</x:v>
      </x:c>
      <x:c r="G241" t="str">
        <x:v>NICH</x:v>
      </x:c>
      <x:c r="H241" s="69" t="n">
        <x:v>0</x:v>
      </x:c>
      <x:c r="I241" t="str">
        <x:v>2-2</x:v>
      </x:c>
      <x:c r="J241" t="str">
        <x:f>IF(E241&lt;&gt;TRUE,"",IF(H241&gt;M241,"W",IF(H241&lt;M241,"L","T")))</x:f>
        <x:v>L</x:v>
      </x:c>
      <x:c r="K241" t="str">
        <x:v>Sam Houston Bearkats</x:v>
      </x:c>
      <x:c r="L241" t="str">
        <x:v>SHSU</x:v>
      </x:c>
      <x:c r="M241" s="69" t="n">
        <x:v>59</x:v>
      </x:c>
      <x:c r="N241" t="str">
        <x:v>1-2</x:v>
      </x:c>
      <x:c r="O241" t="str">
        <x:f>IF(E241&lt;&gt;TRUE,"",IF(M241&gt;H241,"W",IF(M241&lt;H241,"L","T")))</x:f>
        <x:v>W</x:v>
      </x:c>
      <x:c r="P241" s="66" t="b">
        <x:v>0</x:v>
      </x:c>
      <x:c r="Q241" s="66" t="b">
        <x:v>0</x:v>
      </x:c>
      <x:c r="R241" t="str">
        <x:v>Elliott T. Bowers Stadium</x:v>
      </x:c>
      <x:c r="S241" t="str">
        <x:v>ESPN+</x:v>
      </x:c>
      <x:c r="T241"/>
      <x:c r="U241" s="70"/>
      <x:c r="V241" s="70"/>
      <x:c r="W241"/>
      <x:c r="X241" t="str">
        <x:v>https://www.espn.com/college-football/game/_/gameId/401870764</x:v>
      </x:c>
    </x:row>
    <x:row r="242">
      <x:c r="A242" t="str">
        <x:v>CFB</x:v>
      </x:c>
      <x:c r="B242" t="n">
        <x:v>3</x:v>
      </x:c>
      <x:c r="C242" s="68" t="n">
        <x:v>46284.96875</x:v>
      </x:c>
      <x:c r="D242" s="71" t="str">
        <x:v>post</x:v>
      </x:c>
      <x:c r="E242" s="72" t="b">
        <x:v>1</x:v>
      </x:c>
      <x:c r="F242" t="str">
        <x:v>North Dakota Fighting Hawks</x:v>
      </x:c>
      <x:c r="G242" t="str">
        <x:v>UND</x:v>
      </x:c>
      <x:c r="H242" s="69" t="n">
        <x:v>7</x:v>
      </x:c>
      <x:c r="I242" t="str">
        <x:v>3-1</x:v>
      </x:c>
      <x:c r="J242" t="str">
        <x:f>IF(E242&lt;&gt;TRUE,"",IF(H242&gt;M242,"W",IF(H242&lt;M242,"L","T")))</x:f>
        <x:v>L</x:v>
      </x:c>
      <x:c r="K242" t="str">
        <x:v>Nebraska Cornhuskers</x:v>
      </x:c>
      <x:c r="L242" t="str">
        <x:v>NEB</x:v>
      </x:c>
      <x:c r="M242" s="69" t="n">
        <x:v>34</x:v>
      </x:c>
      <x:c r="N242" t="str">
        <x:v>3-0</x:v>
      </x:c>
      <x:c r="O242" t="str">
        <x:f>IF(E242&lt;&gt;TRUE,"",IF(M242&gt;H242,"W",IF(M242&lt;H242,"L","T")))</x:f>
        <x:v>W</x:v>
      </x:c>
      <x:c r="P242" s="66" t="b">
        <x:v>0</x:v>
      </x:c>
      <x:c r="Q242" s="66" t="b">
        <x:v>0</x:v>
      </x:c>
      <x:c r="R242" t="str">
        <x:v>Memorial Stadium (Lincoln, NE)</x:v>
      </x:c>
      <x:c r="S242" t="str">
        <x:v>BTN</x:v>
      </x:c>
      <x:c r="T242"/>
      <x:c r="U242" s="70"/>
      <x:c r="V242" s="70"/>
      <x:c r="W242"/>
      <x:c r="X242" t="str">
        <x:v>https://www.espn.com/college-football/game/_/gameId/401858452</x:v>
      </x:c>
    </x:row>
    <x:row r="243">
      <x:c r="A243" t="str">
        <x:v>CFB</x:v>
      </x:c>
      <x:c r="B243" t="n">
        <x:v>3</x:v>
      </x:c>
      <x:c r="C243" s="68" t="n">
        <x:v>46284.96875</x:v>
      </x:c>
      <x:c r="D243" s="71" t="str">
        <x:v>post</x:v>
      </x:c>
      <x:c r="E243" s="72" t="b">
        <x:v>1</x:v>
      </x:c>
      <x:c r="F243" t="str">
        <x:v>Eastern Washington Eagles</x:v>
      </x:c>
      <x:c r="G243" t="str">
        <x:v>EWU</x:v>
      </x:c>
      <x:c r="H243" s="69" t="n">
        <x:v>16</x:v>
      </x:c>
      <x:c r="I243" t="str">
        <x:v>1-3</x:v>
      </x:c>
      <x:c r="J243" t="str">
        <x:f>IF(E243&lt;&gt;TRUE,"",IF(H243&gt;M243,"W",IF(H243&lt;M243,"L","T")))</x:f>
        <x:v>L</x:v>
      </x:c>
      <x:c r="K243" t="str">
        <x:v>Washington Huskies</x:v>
      </x:c>
      <x:c r="L243" t="str">
        <x:v>WASH</x:v>
      </x:c>
      <x:c r="M243" s="69" t="n">
        <x:v>48</x:v>
      </x:c>
      <x:c r="N243" t="str">
        <x:v>3-0</x:v>
      </x:c>
      <x:c r="O243" t="str">
        <x:f>IF(E243&lt;&gt;TRUE,"",IF(M243&gt;H243,"W",IF(M243&lt;H243,"L","T")))</x:f>
        <x:v>W</x:v>
      </x:c>
      <x:c r="P243" s="66" t="b">
        <x:v>0</x:v>
      </x:c>
      <x:c r="Q243" s="66" t="b">
        <x:v>0</x:v>
      </x:c>
      <x:c r="R243" t="str">
        <x:v>Husky Stadium</x:v>
      </x:c>
      <x:c r="S243" t="str">
        <x:v>BTN</x:v>
      </x:c>
      <x:c r="T243"/>
      <x:c r="U243" s="70"/>
      <x:c r="V243" s="70"/>
      <x:c r="W243"/>
      <x:c r="X243" t="str">
        <x:v>https://www.espn.com/college-football/game/_/gameId/401858459</x:v>
      </x:c>
    </x:row>
    <x:row r="244">
      <x:c r="A244" t="str">
        <x:v>CFB</x:v>
      </x:c>
      <x:c r="B244" t="n">
        <x:v>3</x:v>
      </x:c>
      <x:c r="C244" s="68" t="n">
        <x:v>46284.979166666664</x:v>
      </x:c>
      <x:c r="D244" s="71" t="str">
        <x:v>post</x:v>
      </x:c>
      <x:c r="E244" s="72" t="b">
        <x:v>1</x:v>
      </x:c>
      <x:c r="F244" t="str">
        <x:v>LSU Tigers</x:v>
      </x:c>
      <x:c r="G244" t="str">
        <x:v>LSU</x:v>
      </x:c>
      <x:c r="H244" s="69" t="n">
        <x:v>24</x:v>
      </x:c>
      <x:c r="I244" t="str">
        <x:v>2-1</x:v>
      </x:c>
      <x:c r="J244" t="str">
        <x:f>IF(E244&lt;&gt;TRUE,"",IF(H244&gt;M244,"W",IF(H244&lt;M244,"L","T")))</x:f>
        <x:v>L</x:v>
      </x:c>
      <x:c r="K244" t="str">
        <x:v>Ole Miss Rebels</x:v>
      </x:c>
      <x:c r="L244" t="str">
        <x:v>MISS</x:v>
      </x:c>
      <x:c r="M244" s="69" t="n">
        <x:v>32</x:v>
      </x:c>
      <x:c r="N244" t="str">
        <x:v>3-0</x:v>
      </x:c>
      <x:c r="O244" t="str">
        <x:f>IF(E244&lt;&gt;TRUE,"",IF(M244&gt;H244,"W",IF(M244&lt;H244,"L","T")))</x:f>
        <x:v>W</x:v>
      </x:c>
      <x:c r="P244" s="66" t="b">
        <x:v>0</x:v>
      </x:c>
      <x:c r="Q244" s="66" t="b">
        <x:v>1</x:v>
      </x:c>
      <x:c r="R244" t="str">
        <x:v>Vaught-Hemingway Stadium</x:v>
      </x:c>
      <x:c r="S244" t="str">
        <x:v>ABC</x:v>
      </x:c>
      <x:c r="T244"/>
      <x:c r="U244" s="70"/>
      <x:c r="V244" s="70"/>
      <x:c r="W244"/>
      <x:c r="X244" t="str">
        <x:v>https://www.espn.com/college-football/game/_/gameId/401856688</x:v>
      </x:c>
    </x:row>
    <x:row r="245">
      <x:c r="A245" t="str">
        <x:v>CFB</x:v>
      </x:c>
      <x:c r="B245" t="n">
        <x:v>3</x:v>
      </x:c>
      <x:c r="C245" s="68" t="n">
        <x:v>46284.979166666664</x:v>
      </x:c>
      <x:c r="D245" s="71" t="str">
        <x:v>post</x:v>
      </x:c>
      <x:c r="E245" s="72" t="b">
        <x:v>1</x:v>
      </x:c>
      <x:c r="F245" t="str">
        <x:v>New Mexico Lobos</x:v>
      </x:c>
      <x:c r="G245" t="str">
        <x:v>UNM</x:v>
      </x:c>
      <x:c r="H245" s="69" t="n">
        <x:v>6</x:v>
      </x:c>
      <x:c r="I245" t="str">
        <x:v>2-1</x:v>
      </x:c>
      <x:c r="J245" t="str">
        <x:f>IF(E245&lt;&gt;TRUE,"",IF(H245&gt;M245,"W",IF(H245&lt;M245,"L","T")))</x:f>
        <x:v>L</x:v>
      </x:c>
      <x:c r="K245" t="str">
        <x:v>Oklahoma Sooners</x:v>
      </x:c>
      <x:c r="L245" t="str">
        <x:v>OU</x:v>
      </x:c>
      <x:c r="M245" s="69" t="n">
        <x:v>14</x:v>
      </x:c>
      <x:c r="N245" t="str">
        <x:v>2-1</x:v>
      </x:c>
      <x:c r="O245" t="str">
        <x:f>IF(E245&lt;&gt;TRUE,"",IF(M245&gt;H245,"W",IF(M245&lt;H245,"L","T")))</x:f>
        <x:v>W</x:v>
      </x:c>
      <x:c r="P245" s="66" t="b">
        <x:v>0</x:v>
      </x:c>
      <x:c r="Q245" s="66" t="b">
        <x:v>0</x:v>
      </x:c>
      <x:c r="R245" t="str">
        <x:v>Memorial Stadium (Norman, OK)</x:v>
      </x:c>
      <x:c r="S245" t="str">
        <x:v>ESPNEWS</x:v>
      </x:c>
      <x:c r="T245"/>
      <x:c r="U245" s="70"/>
      <x:c r="V245" s="70"/>
      <x:c r="W245"/>
      <x:c r="X245" t="str">
        <x:v>https://www.espn.com/college-football/game/_/gameId/401856690</x:v>
      </x:c>
    </x:row>
    <x:row r="246">
      <x:c r="A246" t="str">
        <x:v>CFB</x:v>
      </x:c>
      <x:c r="B246" t="n">
        <x:v>3</x:v>
      </x:c>
      <x:c r="C246" s="68" t="n">
        <x:v>46284.979166666664</x:v>
      </x:c>
      <x:c r="D246" s="71" t="str">
        <x:v>post</x:v>
      </x:c>
      <x:c r="E246" s="72" t="b">
        <x:v>1</x:v>
      </x:c>
      <x:c r="F246" t="str">
        <x:v>Colorado Buffaloes</x:v>
      </x:c>
      <x:c r="G246" t="str">
        <x:v>COLO</x:v>
      </x:c>
      <x:c r="H246" s="69" t="n">
        <x:v>7</x:v>
      </x:c>
      <x:c r="I246" t="str">
        <x:v>2-1</x:v>
      </x:c>
      <x:c r="J246" t="str">
        <x:f>IF(E246&lt;&gt;TRUE,"",IF(H246&gt;M246,"W",IF(H246&lt;M246,"L","T")))</x:f>
        <x:v>L</x:v>
      </x:c>
      <x:c r="K246" t="str">
        <x:v>Northwestern Wildcats</x:v>
      </x:c>
      <x:c r="L246" t="str">
        <x:v>NU</x:v>
      </x:c>
      <x:c r="M246" s="69" t="n">
        <x:v>41</x:v>
      </x:c>
      <x:c r="N246" t="str">
        <x:v>2-0</x:v>
      </x:c>
      <x:c r="O246" t="str">
        <x:f>IF(E246&lt;&gt;TRUE,"",IF(M246&gt;H246,"W",IF(M246&lt;H246,"L","T")))</x:f>
        <x:v>W</x:v>
      </x:c>
      <x:c r="P246" s="66" t="b">
        <x:v>0</x:v>
      </x:c>
      <x:c r="Q246" s="66" t="b">
        <x:v>0</x:v>
      </x:c>
      <x:c r="R246" t="str">
        <x:v>Northwestern Medicine Field at Martin Stadium</x:v>
      </x:c>
      <x:c r="S246" t="str">
        <x:v>FOX</x:v>
      </x:c>
      <x:c r="T246"/>
      <x:c r="U246" s="70"/>
      <x:c r="V246" s="70"/>
      <x:c r="W246"/>
      <x:c r="X246" t="str">
        <x:v>https://www.espn.com/college-football/game/_/gameId/401856796</x:v>
      </x:c>
    </x:row>
    <x:row r="247">
      <x:c r="A247" t="str">
        <x:v>CFB</x:v>
      </x:c>
      <x:c r="B247" t="n">
        <x:v>3</x:v>
      </x:c>
      <x:c r="C247" s="68" t="n">
        <x:v>46284.979166666664</x:v>
      </x:c>
      <x:c r="D247" s="71" t="str">
        <x:v>post</x:v>
      </x:c>
      <x:c r="E247" s="72" t="b">
        <x:v>1</x:v>
      </x:c>
      <x:c r="F247" t="str">
        <x:v>West Virginia Mountaineers</x:v>
      </x:c>
      <x:c r="G247" t="str">
        <x:v>WVU</x:v>
      </x:c>
      <x:c r="H247" s="69" t="n">
        <x:v>38</x:v>
      </x:c>
      <x:c r="I247" t="str">
        <x:v>3-0</x:v>
      </x:c>
      <x:c r="J247" t="str">
        <x:f>IF(E247&lt;&gt;TRUE,"",IF(H247&gt;M247,"W",IF(H247&lt;M247,"L","T")))</x:f>
        <x:v>W</x:v>
      </x:c>
      <x:c r="K247" t="str">
        <x:v>Virginia Cavaliers</x:v>
      </x:c>
      <x:c r="L247" t="str">
        <x:v>UVA</x:v>
      </x:c>
      <x:c r="M247" s="69" t="n">
        <x:v>27</x:v>
      </x:c>
      <x:c r="N247" t="str">
        <x:v>2-1</x:v>
      </x:c>
      <x:c r="O247" t="str">
        <x:f>IF(E247&lt;&gt;TRUE,"",IF(M247&gt;H247,"W",IF(M247&lt;H247,"L","T")))</x:f>
        <x:v>L</x:v>
      </x:c>
      <x:c r="P247" s="66" t="b">
        <x:v>1</x:v>
      </x:c>
      <x:c r="Q247" s="66" t="b">
        <x:v>0</x:v>
      </x:c>
      <x:c r="R247" t="str">
        <x:v>Bank of America Stadium</x:v>
      </x:c>
      <x:c r="S247" t="str">
        <x:v>ACC Network</x:v>
      </x:c>
      <x:c r="T247"/>
      <x:c r="U247" s="70"/>
      <x:c r="V247" s="70"/>
      <x:c r="W247"/>
      <x:c r="X247" t="str">
        <x:v>https://www.espn.com/college-football/game/_/gameId/401856802</x:v>
      </x:c>
    </x:row>
    <x:row r="248">
      <x:c r="A248" t="str">
        <x:v>CFB</x:v>
      </x:c>
      <x:c r="B248" t="n">
        <x:v>3</x:v>
      </x:c>
      <x:c r="C248" s="68" t="n">
        <x:v>46284.979166666664</x:v>
      </x:c>
      <x:c r="D248" s="71" t="str">
        <x:v>post</x:v>
      </x:c>
      <x:c r="E248" s="72" t="b">
        <x:v>1</x:v>
      </x:c>
      <x:c r="F248" t="str">
        <x:v>Virginia Tech Hokies</x:v>
      </x:c>
      <x:c r="G248" t="str">
        <x:v>VT</x:v>
      </x:c>
      <x:c r="H248" s="69" t="n">
        <x:v>35</x:v>
      </x:c>
      <x:c r="I248" t="str">
        <x:v>3-0</x:v>
      </x:c>
      <x:c r="J248" t="str">
        <x:f>IF(E248&lt;&gt;TRUE,"",IF(H248&gt;M248,"W",IF(H248&lt;M248,"L","T")))</x:f>
        <x:v>W</x:v>
      </x:c>
      <x:c r="K248" t="str">
        <x:v>Maryland Terrapins</x:v>
      </x:c>
      <x:c r="L248" t="str">
        <x:v>MD</x:v>
      </x:c>
      <x:c r="M248" s="69" t="n">
        <x:v>26</x:v>
      </x:c>
      <x:c r="N248" t="str">
        <x:v>2-1</x:v>
      </x:c>
      <x:c r="O248" t="str">
        <x:f>IF(E248&lt;&gt;TRUE,"",IF(M248&gt;H248,"W",IF(M248&lt;H248,"L","T")))</x:f>
        <x:v>L</x:v>
      </x:c>
      <x:c r="P248" s="66" t="b">
        <x:v>0</x:v>
      </x:c>
      <x:c r="Q248" s="66" t="b">
        <x:v>0</x:v>
      </x:c>
      <x:c r="R248" t="str">
        <x:v>SECU Stadium</x:v>
      </x:c>
      <x:c r="S248" t="str">
        <x:v>FS1</x:v>
      </x:c>
      <x:c r="T248"/>
      <x:c r="U248" s="70"/>
      <x:c r="V248" s="70"/>
      <x:c r="W248"/>
      <x:c r="X248" t="str">
        <x:v>https://www.espn.com/college-football/game/_/gameId/401858232</x:v>
      </x:c>
    </x:row>
    <x:row r="249">
      <x:c r="A249" t="str">
        <x:v>CFB</x:v>
      </x:c>
      <x:c r="B249" t="n">
        <x:v>3</x:v>
      </x:c>
      <x:c r="C249" s="68" t="n">
        <x:v>46284.979166666664</x:v>
      </x:c>
      <x:c r="D249" s="71" t="str">
        <x:v>post</x:v>
      </x:c>
      <x:c r="E249" s="72" t="b">
        <x:v>1</x:v>
      </x:c>
      <x:c r="F249" t="str">
        <x:v>Michigan State Spartans</x:v>
      </x:c>
      <x:c r="G249" t="str">
        <x:v>MSU</x:v>
      </x:c>
      <x:c r="H249" s="69" t="n">
        <x:v>10</x:v>
      </x:c>
      <x:c r="I249" t="str">
        <x:v>2-1</x:v>
      </x:c>
      <x:c r="J249" t="str">
        <x:f>IF(E249&lt;&gt;TRUE,"",IF(H249&gt;M249,"W",IF(H249&lt;M249,"L","T")))</x:f>
        <x:v>L</x:v>
      </x:c>
      <x:c r="K249" t="str">
        <x:v>Notre Dame Fighting Irish</x:v>
      </x:c>
      <x:c r="L249" t="str">
        <x:v>ND</x:v>
      </x:c>
      <x:c r="M249" s="69" t="n">
        <x:v>27</x:v>
      </x:c>
      <x:c r="N249" t="str">
        <x:v>3-0</x:v>
      </x:c>
      <x:c r="O249" t="str">
        <x:f>IF(E249&lt;&gt;TRUE,"",IF(M249&gt;H249,"W",IF(M249&lt;H249,"L","T")))</x:f>
        <x:v>W</x:v>
      </x:c>
      <x:c r="P249" s="66" t="b">
        <x:v>0</x:v>
      </x:c>
      <x:c r="Q249" s="66" t="b">
        <x:v>0</x:v>
      </x:c>
      <x:c r="R249" t="str">
        <x:v>Notre Dame Stadium</x:v>
      </x:c>
      <x:c r="S249" t="str">
        <x:v>NBC</x:v>
      </x:c>
      <x:c r="T249"/>
      <x:c r="U249" s="70"/>
      <x:c r="V249" s="70"/>
      <x:c r="W249"/>
      <x:c r="X249" t="str">
        <x:v>https://www.espn.com/college-football/game/_/gameId/401858453</x:v>
      </x:c>
    </x:row>
    <x:row r="250">
      <x:c r="A250" t="str">
        <x:v>CFB</x:v>
      </x:c>
      <x:c r="B250" t="n">
        <x:v>3</x:v>
      </x:c>
      <x:c r="C250" s="68" t="n">
        <x:v>46284.989583333336</x:v>
      </x:c>
      <x:c r="D250" s="71" t="str">
        <x:v>post</x:v>
      </x:c>
      <x:c r="E250" s="72" t="b">
        <x:v>1</x:v>
      </x:c>
      <x:c r="F250" t="str">
        <x:v>Kennesaw State Owls</x:v>
      </x:c>
      <x:c r="G250" t="str">
        <x:v>KENN</x:v>
      </x:c>
      <x:c r="H250" s="69" t="n">
        <x:v>9</x:v>
      </x:c>
      <x:c r="I250" t="str">
        <x:v>1-2</x:v>
      </x:c>
      <x:c r="J250" t="str">
        <x:f>IF(E250&lt;&gt;TRUE,"",IF(H250&gt;M250,"W",IF(H250&lt;M250,"L","T")))</x:f>
        <x:v>L</x:v>
      </x:c>
      <x:c r="K250" t="str">
        <x:v>Tennessee Volunteers</x:v>
      </x:c>
      <x:c r="L250" t="str">
        <x:v>TENN</x:v>
      </x:c>
      <x:c r="M250" s="69" t="n">
        <x:v>42</x:v>
      </x:c>
      <x:c r="N250" t="str">
        <x:v>3-0</x:v>
      </x:c>
      <x:c r="O250" t="str">
        <x:f>IF(E250&lt;&gt;TRUE,"",IF(M250&gt;H250,"W",IF(M250&lt;H250,"L","T")))</x:f>
        <x:v>W</x:v>
      </x:c>
      <x:c r="P250" s="66" t="b">
        <x:v>0</x:v>
      </x:c>
      <x:c r="Q250" s="66" t="b">
        <x:v>0</x:v>
      </x:c>
      <x:c r="R250" t="str">
        <x:v>Neyland Stadium</x:v>
      </x:c>
      <x:c r="S250" t="str">
        <x:v>SECN+</x:v>
      </x:c>
      <x:c r="T250"/>
      <x:c r="U250" s="70"/>
      <x:c r="V250" s="70"/>
      <x:c r="W250"/>
      <x:c r="X250" t="str">
        <x:v>https://www.espn.com/college-football/game/_/gameId/401856692</x:v>
      </x:c>
    </x:row>
    <x:row r="251">
      <x:c r="A251" t="str">
        <x:v>CFB</x:v>
      </x:c>
      <x:c r="B251" t="n">
        <x:v>3</x:v>
      </x:c>
      <x:c r="C251" s="68" t="n">
        <x:v>46285</x:v>
      </x:c>
      <x:c r="D251" s="71" t="str">
        <x:v>post</x:v>
      </x:c>
      <x:c r="E251" s="72" t="b">
        <x:v>1</x:v>
      </x:c>
      <x:c r="F251" t="str">
        <x:v>UTSA Roadrunners</x:v>
      </x:c>
      <x:c r="G251" t="str">
        <x:v>UTSA</x:v>
      </x:c>
      <x:c r="H251" s="69" t="n">
        <x:v>6</x:v>
      </x:c>
      <x:c r="I251" t="str">
        <x:v>2-1</x:v>
      </x:c>
      <x:c r="J251" t="str">
        <x:f>IF(E251&lt;&gt;TRUE,"",IF(H251&gt;M251,"W",IF(H251&lt;M251,"L","T")))</x:f>
        <x:v>L</x:v>
      </x:c>
      <x:c r="K251" t="str">
        <x:v>Texas Longhorns</x:v>
      </x:c>
      <x:c r="L251" t="str">
        <x:v>TEX</x:v>
      </x:c>
      <x:c r="M251" s="69" t="n">
        <x:v>30</x:v>
      </x:c>
      <x:c r="N251" t="str">
        <x:v>3-0</x:v>
      </x:c>
      <x:c r="O251" t="str">
        <x:f>IF(E251&lt;&gt;TRUE,"",IF(M251&gt;H251,"W",IF(M251&lt;H251,"L","T")))</x:f>
        <x:v>W</x:v>
      </x:c>
      <x:c r="P251" s="66" t="b">
        <x:v>0</x:v>
      </x:c>
      <x:c r="Q251" s="66" t="b">
        <x:v>0</x:v>
      </x:c>
      <x:c r="R251" t="str">
        <x:v>DKR-Texas Memorial Stadium</x:v>
      </x:c>
      <x:c r="S251" t="str">
        <x:v>SECN+</x:v>
      </x:c>
      <x:c r="T251"/>
      <x:c r="U251" s="70"/>
      <x:c r="V251" s="70"/>
      <x:c r="W251"/>
      <x:c r="X251" t="str">
        <x:v>https://www.espn.com/college-football/game/_/gameId/401856693</x:v>
      </x:c>
    </x:row>
    <x:row r="252">
      <x:c r="A252" t="str">
        <x:v>CFB</x:v>
      </x:c>
      <x:c r="B252" t="n">
        <x:v>3</x:v>
      </x:c>
      <x:c r="C252" s="68" t="n">
        <x:v>46285</x:v>
      </x:c>
      <x:c r="D252" s="71" t="str">
        <x:v>post</x:v>
      </x:c>
      <x:c r="E252" s="72" t="b">
        <x:v>1</x:v>
      </x:c>
      <x:c r="F252" t="str">
        <x:v>Arkansas State Red Wolves</x:v>
      </x:c>
      <x:c r="G252" t="str">
        <x:v>ARST</x:v>
      </x:c>
      <x:c r="H252" s="69" t="n">
        <x:v>7</x:v>
      </x:c>
      <x:c r="I252" t="str">
        <x:v>1-2</x:v>
      </x:c>
      <x:c r="J252" t="str">
        <x:f>IF(E252&lt;&gt;TRUE,"",IF(H252&gt;M252,"W",IF(H252&lt;M252,"L","T")))</x:f>
        <x:v>L</x:v>
      </x:c>
      <x:c r="K252" t="str">
        <x:v>TCU Horned Frogs</x:v>
      </x:c>
      <x:c r="L252" t="str">
        <x:v>TCU</x:v>
      </x:c>
      <x:c r="M252" s="69" t="n">
        <x:v>31</x:v>
      </x:c>
      <x:c r="N252" t="str">
        <x:v>2-1</x:v>
      </x:c>
      <x:c r="O252" t="str">
        <x:f>IF(E252&lt;&gt;TRUE,"",IF(M252&gt;H252,"W",IF(M252&lt;H252,"L","T")))</x:f>
        <x:v>W</x:v>
      </x:c>
      <x:c r="P252" s="66" t="b">
        <x:v>0</x:v>
      </x:c>
      <x:c r="Q252" s="66" t="b">
        <x:v>0</x:v>
      </x:c>
      <x:c r="R252" t="str">
        <x:v>Amon G. Carter Stadium</x:v>
      </x:c>
      <x:c r="S252" t="str">
        <x:v>ESPNU</x:v>
      </x:c>
      <x:c r="T252"/>
      <x:c r="U252" s="70"/>
      <x:c r="V252" s="70"/>
      <x:c r="W252"/>
      <x:c r="X252" t="str">
        <x:v>https://www.espn.com/college-football/game/_/gameId/401856799</x:v>
      </x:c>
    </x:row>
    <x:row r="253">
      <x:c r="A253" t="str">
        <x:v>CFB</x:v>
      </x:c>
      <x:c r="B253" t="n">
        <x:v>3</x:v>
      </x:c>
      <x:c r="C253" s="68" t="n">
        <x:v>46285</x:v>
      </x:c>
      <x:c r="D253" s="71" t="str">
        <x:v>post</x:v>
      </x:c>
      <x:c r="E253" s="72" t="b">
        <x:v>1</x:v>
      </x:c>
      <x:c r="F253" t="str">
        <x:v>East Texas A&amp;M Lions</x:v>
      </x:c>
      <x:c r="G253" t="str">
        <x:v>ETAM</x:v>
      </x:c>
      <x:c r="H253" s="69" t="n">
        <x:v>0</x:v>
      </x:c>
      <x:c r="I253" t="str">
        <x:v>1-3</x:v>
      </x:c>
      <x:c r="J253" t="str">
        <x:f>IF(E253&lt;&gt;TRUE,"",IF(H253&gt;M253,"W",IF(H253&lt;M253,"L","T")))</x:f>
        <x:v>L</x:v>
      </x:c>
      <x:c r="K253" t="str">
        <x:v>Tulsa Golden Hurricane</x:v>
      </x:c>
      <x:c r="L253" t="str">
        <x:v>TLSA</x:v>
      </x:c>
      <x:c r="M253" s="69" t="n">
        <x:v>42</x:v>
      </x:c>
      <x:c r="N253" t="str">
        <x:v>3-0</x:v>
      </x:c>
      <x:c r="O253" t="str">
        <x:f>IF(E253&lt;&gt;TRUE,"",IF(M253&gt;H253,"W",IF(M253&lt;H253,"L","T")))</x:f>
        <x:v>W</x:v>
      </x:c>
      <x:c r="P253" s="66" t="b">
        <x:v>0</x:v>
      </x:c>
      <x:c r="Q253" s="66" t="b">
        <x:v>0</x:v>
      </x:c>
      <x:c r="R253" t="str">
        <x:v>H. A. Chapman Stadium</x:v>
      </x:c>
      <x:c r="S253" t="str">
        <x:v>ESPN+</x:v>
      </x:c>
      <x:c r="T253"/>
      <x:c r="U253" s="70"/>
      <x:c r="V253" s="70"/>
      <x:c r="W253"/>
      <x:c r="X253" t="str">
        <x:v>https://www.espn.com/college-football/game/_/gameId/401862775</x:v>
      </x:c>
    </x:row>
    <x:row r="254">
      <x:c r="A254" t="str">
        <x:v>CFB</x:v>
      </x:c>
      <x:c r="B254" t="n">
        <x:v>3</x:v>
      </x:c>
      <x:c r="C254" s="68" t="n">
        <x:v>46285</x:v>
      </x:c>
      <x:c r="D254" s="71" t="str">
        <x:v>post</x:v>
      </x:c>
      <x:c r="E254" s="72" t="b">
        <x:v>1</x:v>
      </x:c>
      <x:c r="F254" t="str">
        <x:v>UAB Blazers</x:v>
      </x:c>
      <x:c r="G254" t="str">
        <x:v>UAB</x:v>
      </x:c>
      <x:c r="H254" s="69" t="n">
        <x:v>14</x:v>
      </x:c>
      <x:c r="I254" t="str">
        <x:v>1-2</x:v>
      </x:c>
      <x:c r="J254" t="str">
        <x:f>IF(E254&lt;&gt;TRUE,"",IF(H254&gt;M254,"W",IF(H254&lt;M254,"L","T")))</x:f>
        <x:v>L</x:v>
      </x:c>
      <x:c r="K254" t="str">
        <x:v>Louisiana Ragin' Cajuns</x:v>
      </x:c>
      <x:c r="L254" t="str">
        <x:v>UL</x:v>
      </x:c>
      <x:c r="M254" s="69" t="n">
        <x:v>21</x:v>
      </x:c>
      <x:c r="N254" t="str">
        <x:v>2-1</x:v>
      </x:c>
      <x:c r="O254" t="str">
        <x:f>IF(E254&lt;&gt;TRUE,"",IF(M254&gt;H254,"W",IF(M254&lt;H254,"L","T")))</x:f>
        <x:v>W</x:v>
      </x:c>
      <x:c r="P254" s="66" t="b">
        <x:v>0</x:v>
      </x:c>
      <x:c r="Q254" s="66" t="b">
        <x:v>0</x:v>
      </x:c>
      <x:c r="R254" t="str">
        <x:v>Our Lady of Lourdes Stadium</x:v>
      </x:c>
      <x:c r="S254" t="str">
        <x:v>ESPN+</x:v>
      </x:c>
      <x:c r="T254"/>
      <x:c r="U254" s="70"/>
      <x:c r="V254" s="70"/>
      <x:c r="W254"/>
      <x:c r="X254" t="str">
        <x:v>https://www.espn.com/college-football/game/_/gameId/401862776</x:v>
      </x:c>
    </x:row>
    <x:row r="255">
      <x:c r="A255" t="str">
        <x:v>CFB</x:v>
      </x:c>
      <x:c r="B255" t="n">
        <x:v>3</x:v>
      </x:c>
      <x:c r="C255" s="68" t="n">
        <x:v>46285.010416666664</x:v>
      </x:c>
      <x:c r="D255" s="71" t="str">
        <x:v>post</x:v>
      </x:c>
      <x:c r="E255" s="72" t="b">
        <x:v>1</x:v>
      </x:c>
      <x:c r="F255" t="str">
        <x:v>BYU Cougars</x:v>
      </x:c>
      <x:c r="G255" t="str">
        <x:v>BYU</x:v>
      </x:c>
      <x:c r="H255" s="69" t="n">
        <x:v>41</x:v>
      </x:c>
      <x:c r="I255" t="str">
        <x:v>3-0</x:v>
      </x:c>
      <x:c r="J255" t="str">
        <x:f>IF(E255&lt;&gt;TRUE,"",IF(H255&gt;M255,"W",IF(H255&lt;M255,"L","T")))</x:f>
        <x:v>W</x:v>
      </x:c>
      <x:c r="K255" t="str">
        <x:v>Colorado State Rams</x:v>
      </x:c>
      <x:c r="L255" t="str">
        <x:v>CSU</x:v>
      </x:c>
      <x:c r="M255" s="69" t="n">
        <x:v>23</x:v>
      </x:c>
      <x:c r="N255" t="str">
        <x:v>2-1</x:v>
      </x:c>
      <x:c r="O255" t="str">
        <x:f>IF(E255&lt;&gt;TRUE,"",IF(M255&gt;H255,"W",IF(M255&lt;H255,"L","T")))</x:f>
        <x:v>L</x:v>
      </x:c>
      <x:c r="P255" s="66" t="b">
        <x:v>0</x:v>
      </x:c>
      <x:c r="Q255" s="66" t="b">
        <x:v>0</x:v>
      </x:c>
      <x:c r="R255" t="str">
        <x:v>Canvas Stadium</x:v>
      </x:c>
      <x:c r="S255" t="str">
        <x:v>CBS</x:v>
      </x:c>
      <x:c r="T255"/>
      <x:c r="U255" s="70"/>
      <x:c r="V255" s="70"/>
      <x:c r="W255"/>
      <x:c r="X255" t="str">
        <x:v>https://www.espn.com/college-football/game/_/gameId/401856795</x:v>
      </x:c>
    </x:row>
    <x:row r="256">
      <x:c r="A256" t="str">
        <x:v>CFB</x:v>
      </x:c>
      <x:c r="B256" t="n">
        <x:v>3</x:v>
      </x:c>
      <x:c r="C256" s="68" t="n">
        <x:v>46285.0625</x:v>
      </x:c>
      <x:c r="D256" s="71" t="str">
        <x:v>post</x:v>
      </x:c>
      <x:c r="E256" s="72" t="b">
        <x:v>1</x:v>
      </x:c>
      <x:c r="F256" t="str">
        <x:v>Charlotte 49ers</x:v>
      </x:c>
      <x:c r="G256" t="str">
        <x:v>CLT</x:v>
      </x:c>
      <x:c r="H256" s="69" t="n">
        <x:v>21</x:v>
      </x:c>
      <x:c r="I256" t="str">
        <x:v>0-3</x:v>
      </x:c>
      <x:c r="J256" t="str">
        <x:f>IF(E256&lt;&gt;TRUE,"",IF(H256&gt;M256,"W",IF(H256&lt;M256,"L","T")))</x:f>
        <x:v>L</x:v>
      </x:c>
      <x:c r="K256" t="str">
        <x:v>App State Mountaineers</x:v>
      </x:c>
      <x:c r="L256" t="str">
        <x:v>APP</x:v>
      </x:c>
      <x:c r="M256" s="69" t="n">
        <x:v>26</x:v>
      </x:c>
      <x:c r="N256" t="str">
        <x:v>3-0</x:v>
      </x:c>
      <x:c r="O256" t="str">
        <x:f>IF(E256&lt;&gt;TRUE,"",IF(M256&gt;H256,"W",IF(M256&lt;H256,"L","T")))</x:f>
        <x:v>W</x:v>
      </x:c>
      <x:c r="P256" s="66" t="b">
        <x:v>0</x:v>
      </x:c>
      <x:c r="Q256" s="66" t="b">
        <x:v>0</x:v>
      </x:c>
      <x:c r="R256" t="str">
        <x:v>Kidd Brewer Stadium</x:v>
      </x:c>
      <x:c r="S256" t="str">
        <x:v>ESPN+</x:v>
      </x:c>
      <x:c r="T256"/>
      <x:c r="U256" s="70"/>
      <x:c r="V256" s="70"/>
      <x:c r="W256"/>
      <x:c r="X256" t="str">
        <x:v>https://www.espn.com/college-football/game/_/gameId/401864574</x:v>
      </x:c>
    </x:row>
    <x:row r="257">
      <x:c r="A257" t="str">
        <x:v>CFB</x:v>
      </x:c>
      <x:c r="B257" t="n">
        <x:v>3</x:v>
      </x:c>
      <x:c r="C257" s="68" t="n">
        <x:v>46285.083333333336</x:v>
      </x:c>
      <x:c r="D257" s="71" t="str">
        <x:v>post</x:v>
      </x:c>
      <x:c r="E257" s="72" t="b">
        <x:v>1</x:v>
      </x:c>
      <x:c r="F257" t="str">
        <x:v>South Dakota Coyotes</x:v>
      </x:c>
      <x:c r="G257" t="str">
        <x:v>SDAK</x:v>
      </x:c>
      <x:c r="H257" s="69" t="n">
        <x:v>24</x:v>
      </x:c>
      <x:c r="I257" t="str">
        <x:v>3-1</x:v>
      </x:c>
      <x:c r="J257" t="str">
        <x:f>IF(E257&lt;&gt;TRUE,"",IF(H257&gt;M257,"W",IF(H257&lt;M257,"L","T")))</x:f>
        <x:v>L</x:v>
      </x:c>
      <x:c r="K257" t="str">
        <x:v>Boise State Broncos</x:v>
      </x:c>
      <x:c r="L257" t="str">
        <x:v>BOIS</x:v>
      </x:c>
      <x:c r="M257" s="69" t="n">
        <x:v>38</x:v>
      </x:c>
      <x:c r="N257" t="str">
        <x:v>2-1</x:v>
      </x:c>
      <x:c r="O257" t="str">
        <x:f>IF(E257&lt;&gt;TRUE,"",IF(M257&gt;H257,"W",IF(M257&lt;H257,"L","T")))</x:f>
        <x:v>W</x:v>
      </x:c>
      <x:c r="P257" s="66" t="b">
        <x:v>0</x:v>
      </x:c>
      <x:c r="Q257" s="66" t="b">
        <x:v>0</x:v>
      </x:c>
      <x:c r="R257" t="str">
        <x:v>Albertsons Stadium</x:v>
      </x:c>
      <x:c r="S257" t="str">
        <x:v>CBSSN</x:v>
      </x:c>
      <x:c r="T257"/>
      <x:c r="U257" s="70"/>
      <x:c r="V257" s="70"/>
      <x:c r="W257"/>
      <x:c r="X257" t="str">
        <x:v>https://www.espn.com/college-football/game/_/gameId/401860885</x:v>
      </x:c>
    </x:row>
    <x:row r="258">
      <x:c r="A258" t="str">
        <x:v>CFB</x:v>
      </x:c>
      <x:c r="B258" t="n">
        <x:v>3</x:v>
      </x:c>
      <x:c r="C258" s="68" t="n">
        <x:v>46285.083333333336</x:v>
      </x:c>
      <x:c r="D258" s="71" t="str">
        <x:v>post</x:v>
      </x:c>
      <x:c r="E258" s="72" t="b">
        <x:v>1</x:v>
      </x:c>
      <x:c r="F258" t="str">
        <x:v>James Madison Dukes</x:v>
      </x:c>
      <x:c r="G258" t="str">
        <x:v>JMU</x:v>
      </x:c>
      <x:c r="H258" s="69" t="n">
        <x:v>26</x:v>
      </x:c>
      <x:c r="I258" t="str">
        <x:v>3-0</x:v>
      </x:c>
      <x:c r="J258" t="str">
        <x:f>IF(E258&lt;&gt;TRUE,"",IF(H258&gt;M258,"W",IF(H258&lt;M258,"L","T")))</x:f>
        <x:v>W</x:v>
      </x:c>
      <x:c r="K258" t="str">
        <x:v>San Diego State Aztecs</x:v>
      </x:c>
      <x:c r="L258" t="str">
        <x:v>SDSU</x:v>
      </x:c>
      <x:c r="M258" s="69" t="n">
        <x:v>13</x:v>
      </x:c>
      <x:c r="N258" t="str">
        <x:v>1-2</x:v>
      </x:c>
      <x:c r="O258" t="str">
        <x:f>IF(E258&lt;&gt;TRUE,"",IF(M258&gt;H258,"W",IF(M258&lt;H258,"L","T")))</x:f>
        <x:v>L</x:v>
      </x:c>
      <x:c r="P258" s="66" t="b">
        <x:v>0</x:v>
      </x:c>
      <x:c r="Q258" s="66" t="b">
        <x:v>0</x:v>
      </x:c>
      <x:c r="R258" t="str">
        <x:v>Snapdragon Stadium</x:v>
      </x:c>
      <x:c r="S258" t="str">
        <x:v>CW</x:v>
      </x:c>
      <x:c r="T258"/>
      <x:c r="U258" s="70"/>
      <x:c r="V258" s="70"/>
      <x:c r="W258"/>
      <x:c r="X258" t="str">
        <x:v>https://www.espn.com/college-football/game/_/gameId/401860887</x:v>
      </x:c>
    </x:row>
    <x:row r="259">
      <x:c r="A259" t="str">
        <x:v>CFB</x:v>
      </x:c>
      <x:c r="B259" t="n">
        <x:v>3</x:v>
      </x:c>
      <x:c r="C259" s="68" t="n">
        <x:v>46285.104166666664</x:v>
      </x:c>
      <x:c r="D259" s="71" t="str">
        <x:v>post</x:v>
      </x:c>
      <x:c r="E259" s="72" t="b">
        <x:v>1</x:v>
      </x:c>
      <x:c r="F259" t="str">
        <x:v>Northern Illinois Huskies</x:v>
      </x:c>
      <x:c r="G259" t="str">
        <x:v>NIU</x:v>
      </x:c>
      <x:c r="H259" s="69" t="n">
        <x:v>17</x:v>
      </x:c>
      <x:c r="I259" t="str">
        <x:v>0-3</x:v>
      </x:c>
      <x:c r="J259" t="str">
        <x:f>IF(E259&lt;&gt;TRUE,"",IF(H259&gt;M259,"W",IF(H259&lt;M259,"L","T")))</x:f>
        <x:v>L</x:v>
      </x:c>
      <x:c r="K259" t="str">
        <x:v>Arizona Wildcats</x:v>
      </x:c>
      <x:c r="L259" t="str">
        <x:v>ARIZ</x:v>
      </x:c>
      <x:c r="M259" s="69" t="n">
        <x:v>42</x:v>
      </x:c>
      <x:c r="N259" t="str">
        <x:v>2-1</x:v>
      </x:c>
      <x:c r="O259" t="str">
        <x:f>IF(E259&lt;&gt;TRUE,"",IF(M259&gt;H259,"W",IF(M259&lt;H259,"L","T")))</x:f>
        <x:v>W</x:v>
      </x:c>
      <x:c r="P259" s="66" t="b">
        <x:v>0</x:v>
      </x:c>
      <x:c r="Q259" s="66" t="b">
        <x:v>0</x:v>
      </x:c>
      <x:c r="R259" t="str">
        <x:v>Casino Del Sol Stadium</x:v>
      </x:c>
      <x:c r="S259" t="str">
        <x:v>TNT</x:v>
      </x:c>
      <x:c r="T259"/>
      <x:c r="U259" s="70"/>
      <x:c r="V259" s="70"/>
      <x:c r="W259"/>
      <x:c r="X259" t="str">
        <x:v>https://www.espn.com/college-football/game/_/gameId/401856793</x:v>
      </x:c>
    </x:row>
    <x:row r="260">
      <x:c r="A260" t="str">
        <x:v>CFB</x:v>
      </x:c>
      <x:c r="B260" t="n">
        <x:v>3</x:v>
      </x:c>
      <x:c r="C260" s="68" t="n">
        <x:v>46285.104166666664</x:v>
      </x:c>
      <x:c r="D260" s="71" t="str">
        <x:v>post</x:v>
      </x:c>
      <x:c r="E260" s="72" t="b">
        <x:v>1</x:v>
      </x:c>
      <x:c r="F260" t="str">
        <x:v>North Dakota State Bison</x:v>
      </x:c>
      <x:c r="G260" t="str">
        <x:v>NDSU</x:v>
      </x:c>
      <x:c r="H260" s="69" t="n">
        <x:v>31</x:v>
      </x:c>
      <x:c r="I260" t="str">
        <x:v>4-0</x:v>
      </x:c>
      <x:c r="J260" t="str">
        <x:f>IF(E260&lt;&gt;TRUE,"",IF(H260&gt;M260,"W",IF(H260&lt;M260,"L","T")))</x:f>
        <x:v>W</x:v>
      </x:c>
      <x:c r="K260" t="str">
        <x:v>Sacramento State Hornets</x:v>
      </x:c>
      <x:c r="L260" t="str">
        <x:v>SAC</x:v>
      </x:c>
      <x:c r="M260" s="69" t="n">
        <x:v>10</x:v>
      </x:c>
      <x:c r="N260" t="str">
        <x:v>1-3</x:v>
      </x:c>
      <x:c r="O260" t="str">
        <x:f>IF(E260&lt;&gt;TRUE,"",IF(M260&gt;H260,"W",IF(M260&lt;H260,"L","T")))</x:f>
        <x:v>L</x:v>
      </x:c>
      <x:c r="P260" s="66" t="b">
        <x:v>0</x:v>
      </x:c>
      <x:c r="Q260" s="66" t="b">
        <x:v>0</x:v>
      </x:c>
      <x:c r="R260" t="str">
        <x:v>Hornet Stadium</x:v>
      </x:c>
      <x:c r="S260" t="str">
        <x:v>ESPN</x:v>
      </x:c>
      <x:c r="T260"/>
      <x:c r="U260" s="70"/>
      <x:c r="V260" s="70"/>
      <x:c r="W260"/>
      <x:c r="X260" t="str">
        <x:v>https://www.espn.com/college-football/game/_/gameId/401864507</x:v>
      </x:c>
    </x:row>
    <x:row r="261">
      <x:c r="A261" t="str">
        <x:v>CFB</x:v>
      </x:c>
      <x:c r="B261" t="n">
        <x:v>3</x:v>
      </x:c>
      <x:c r="C261" s="68" t="n">
        <x:v>46285.125</x:v>
      </x:c>
      <x:c r="D261" s="71" t="str">
        <x:v>post</x:v>
      </x:c>
      <x:c r="E261" s="72" t="b">
        <x:v>1</x:v>
      </x:c>
      <x:c r="F261" t="str">
        <x:v>Purdue Boilermakers</x:v>
      </x:c>
      <x:c r="G261" t="str">
        <x:v>PUR</x:v>
      </x:c>
      <x:c r="H261" s="69" t="n">
        <x:v>38</x:v>
      </x:c>
      <x:c r="I261" t="str">
        <x:v>1-2</x:v>
      </x:c>
      <x:c r="J261" t="str">
        <x:f>IF(E261&lt;&gt;TRUE,"",IF(H261&gt;M261,"W",IF(H261&lt;M261,"L","T")))</x:f>
        <x:v>L</x:v>
      </x:c>
      <x:c r="K261" t="str">
        <x:v>UCLA Bruins</x:v>
      </x:c>
      <x:c r="L261" t="str">
        <x:v>UCLA</x:v>
      </x:c>
      <x:c r="M261" s="69" t="n">
        <x:v>52</x:v>
      </x:c>
      <x:c r="N261" t="str">
        <x:v>3-0</x:v>
      </x:c>
      <x:c r="O261" t="str">
        <x:f>IF(E261&lt;&gt;TRUE,"",IF(M261&gt;H261,"W",IF(M261&lt;H261,"L","T")))</x:f>
        <x:v>W</x:v>
      </x:c>
      <x:c r="P261" s="66" t="b">
        <x:v>0</x:v>
      </x:c>
      <x:c r="Q261" s="66" t="b">
        <x:v>1</x:v>
      </x:c>
      <x:c r="R261" t="str">
        <x:v>Rose Bowl</x:v>
      </x:c>
      <x:c r="S261" t="str">
        <x:v>BTN</x:v>
      </x:c>
      <x:c r="T261"/>
      <x:c r="U261" s="70"/>
      <x:c r="V261" s="70"/>
      <x:c r="W261"/>
      <x:c r="X261" t="str">
        <x:v>https://www.espn.com/college-football/game/_/gameId/401858458</x:v>
      </x:c>
    </x:row>
    <x:row r="262">
      <x:c r="A262" t="str">
        <x:v>CFB</x:v>
      </x:c>
      <x:c r="B262" t="n">
        <x:v>3</x:v>
      </x:c>
      <x:c r="C262" s="68" t="n">
        <x:v>46285.125</x:v>
      </x:c>
      <x:c r="D262" s="71" t="str">
        <x:v>post</x:v>
      </x:c>
      <x:c r="E262" s="72" t="b">
        <x:v>1</x:v>
      </x:c>
      <x:c r="F262" t="str">
        <x:v>Montana Grizzlies</x:v>
      </x:c>
      <x:c r="G262" t="str">
        <x:v>MONT</x:v>
      </x:c>
      <x:c r="H262" s="69" t="n">
        <x:v>17</x:v>
      </x:c>
      <x:c r="I262" t="str">
        <x:v>3-1</x:v>
      </x:c>
      <x:c r="J262" t="str">
        <x:f>IF(E262&lt;&gt;TRUE,"",IF(H262&gt;M262,"W",IF(H262&lt;M262,"L","T")))</x:f>
        <x:v>L</x:v>
      </x:c>
      <x:c r="K262" t="str">
        <x:v>Oregon State Beavers</x:v>
      </x:c>
      <x:c r="L262" t="str">
        <x:v>ORST</x:v>
      </x:c>
      <x:c r="M262" s="69" t="n">
        <x:v>52</x:v>
      </x:c>
      <x:c r="N262" t="str">
        <x:v>1-2</x:v>
      </x:c>
      <x:c r="O262" t="str">
        <x:f>IF(E262&lt;&gt;TRUE,"",IF(M262&gt;H262,"W",IF(M262&lt;H262,"L","T")))</x:f>
        <x:v>W</x:v>
      </x:c>
      <x:c r="P262" s="66" t="b">
        <x:v>0</x:v>
      </x:c>
      <x:c r="Q262" s="66" t="b">
        <x:v>0</x:v>
      </x:c>
      <x:c r="R262" t="str">
        <x:v>Reser Stadium</x:v>
      </x:c>
      <x:c r="S262" t="str">
        <x:v>USA Net</x:v>
      </x:c>
      <x:c r="T262"/>
      <x:c r="U262" s="70"/>
      <x:c r="V262" s="70"/>
      <x:c r="W262"/>
      <x:c r="X262" t="str">
        <x:v>https://www.espn.com/college-football/game/_/gameId/401860886</x:v>
      </x:c>
    </x:row>
    <x:row r="263">
      <x:c r="A263" t="str">
        <x:v>CFB</x:v>
      </x:c>
      <x:c r="B263" t="n">
        <x:v>3</x:v>
      </x:c>
      <x:c r="C263" s="68" t="n">
        <x:v>46285.125</x:v>
      </x:c>
      <x:c r="D263" s="71" t="str">
        <x:v>post</x:v>
      </x:c>
      <x:c r="E263" s="72" t="b">
        <x:v>1</x:v>
      </x:c>
      <x:c r="F263" t="str">
        <x:v>Fresno State Bulldogs</x:v>
      </x:c>
      <x:c r="G263" t="str">
        <x:v>FRES</x:v>
      </x:c>
      <x:c r="H263" s="69" t="n">
        <x:v>26</x:v>
      </x:c>
      <x:c r="I263" t="str">
        <x:v>2-1</x:v>
      </x:c>
      <x:c r="J263" t="str">
        <x:f>IF(E263&lt;&gt;TRUE,"",IF(H263&gt;M263,"W",IF(H263&lt;M263,"L","T")))</x:f>
        <x:v>W</x:v>
      </x:c>
      <x:c r="K263" t="str">
        <x:v>San José State Spartans</x:v>
      </x:c>
      <x:c r="L263" t="str">
        <x:v>SJSU</x:v>
      </x:c>
      <x:c r="M263" s="69" t="n">
        <x:v>10</x:v>
      </x:c>
      <x:c r="N263" t="str">
        <x:v>2-2</x:v>
      </x:c>
      <x:c r="O263" t="str">
        <x:f>IF(E263&lt;&gt;TRUE,"",IF(M263&gt;H263,"W",IF(M263&lt;H263,"L","T")))</x:f>
        <x:v>L</x:v>
      </x:c>
      <x:c r="P263" s="66" t="b">
        <x:v>0</x:v>
      </x:c>
      <x:c r="Q263" s="66" t="b">
        <x:v>0</x:v>
      </x:c>
      <x:c r="R263" t="str">
        <x:v>CEFCU Stadium</x:v>
      </x:c>
      <x:c r="S263" t="str">
        <x:v>FS1</x:v>
      </x:c>
      <x:c r="T263"/>
      <x:c r="U263" s="70"/>
      <x:c r="V263" s="70"/>
      <x:c r="W263"/>
      <x:c r="X263" t="str">
        <x:v>https://www.espn.com/college-football/game/_/gameId/401860888</x:v>
      </x:c>
    </x:row>
    <x:row r="264">
      <x:c r="A264" t="str">
        <x:v>CFB</x:v>
      </x:c>
      <x:c r="B264" t="n">
        <x:v>4</x:v>
      </x:c>
      <x:c r="C264" s="68" t="n">
        <x:v>46289.979166666664</x:v>
      </x:c>
      <x:c r="D264" s="71" t="str">
        <x:v>pre</x:v>
      </x:c>
      <x:c r="E264" s="72" t="b">
        <x:v>0</x:v>
      </x:c>
      <x:c r="F264" t="str">
        <x:v>Liberty Flames</x:v>
      </x:c>
      <x:c r="G264" t="str">
        <x:v>LIB</x:v>
      </x:c>
      <x:c r="H264" s="69" t="n">
        <x:v>0</x:v>
      </x:c>
      <x:c r="I264" t="str">
        <x:v>2-1</x:v>
      </x:c>
      <x:c r="J264" t="str">
        <x:f>IF(E264&lt;&gt;TRUE,"",IF(H264&gt;M264,"W",IF(H264&lt;M264,"L","T")))</x:f>
      </x:c>
      <x:c r="K264" t="str">
        <x:v>Coastal Carolina Chanticleers</x:v>
      </x:c>
      <x:c r="L264" t="str">
        <x:v>CCU</x:v>
      </x:c>
      <x:c r="M264" s="69" t="n">
        <x:v>0</x:v>
      </x:c>
      <x:c r="N264" t="str">
        <x:v>1-2</x:v>
      </x:c>
      <x:c r="O264" t="str">
        <x:f>IF(E264&lt;&gt;TRUE,"",IF(M264&gt;H264,"W",IF(M264&lt;H264,"L","T")))</x:f>
      </x:c>
      <x:c r="P264" s="66" t="b">
        <x:v>0</x:v>
      </x:c>
      <x:c r="Q264" s="66" t="b">
        <x:v>0</x:v>
      </x:c>
      <x:c r="R264" t="str">
        <x:v>Brooks Stadium (SC)</x:v>
      </x:c>
      <x:c r="S264" t="str">
        <x:v>ESPN</x:v>
      </x:c>
      <x:c r="T264" t="str">
        <x:v>LIB -2.5</x:v>
      </x:c>
      <x:c r="U264" s="70" t="n">
        <x:v>2.5</x:v>
      </x:c>
      <x:c r="V264" s="70" t="n">
        <x:v>51.5</x:v>
      </x:c>
      <x:c r="W264" t="str">
        <x:v>DraftKings</x:v>
      </x:c>
      <x:c r="X264" t="str">
        <x:v>https://www.espn.com/college-football/game/_/gameId/401869941</x:v>
      </x:c>
    </x:row>
    <x:row r="265">
      <x:c r="A265" t="str">
        <x:v>CFB</x:v>
      </x:c>
      <x:c r="B265" t="n">
        <x:v>4</x:v>
      </x:c>
      <x:c r="C265" s="68" t="n">
        <x:v>46290.833333333336</x:v>
      </x:c>
      <x:c r="D265" s="71" t="str">
        <x:v>pre</x:v>
      </x:c>
      <x:c r="E265" s="72" t="b">
        <x:v>0</x:v>
      </x:c>
      <x:c r="F265" t="str">
        <x:v>Army Black Knights</x:v>
      </x:c>
      <x:c r="G265" t="str">
        <x:v>ARMY</x:v>
      </x:c>
      <x:c r="H265" s="69" t="n">
        <x:v>0</x:v>
      </x:c>
      <x:c r="I265" t="str">
        <x:v>1-1</x:v>
      </x:c>
      <x:c r="J265" t="str">
        <x:f>IF(E265&lt;&gt;TRUE,"",IF(H265&gt;M265,"W",IF(H265&lt;M265,"L","T")))</x:f>
      </x:c>
      <x:c r="K265" t="str">
        <x:v>Temple Owls</x:v>
      </x:c>
      <x:c r="L265" t="str">
        <x:v>TEM</x:v>
      </x:c>
      <x:c r="M265" s="69" t="n">
        <x:v>0</x:v>
      </x:c>
      <x:c r="N265" t="str">
        <x:v>1-2</x:v>
      </x:c>
      <x:c r="O265" t="str">
        <x:f>IF(E265&lt;&gt;TRUE,"",IF(M265&gt;H265,"W",IF(M265&lt;H265,"L","T")))</x:f>
      </x:c>
      <x:c r="P265" s="66" t="b">
        <x:v>0</x:v>
      </x:c>
      <x:c r="Q265" s="66" t="b">
        <x:v>1</x:v>
      </x:c>
      <x:c r="R265" t="str">
        <x:v>Lincoln Financial Field</x:v>
      </x:c>
      <x:c r="S265" t="str">
        <x:v>ESPN</x:v>
      </x:c>
      <x:c r="T265" t="str">
        <x:v>ARMY -3</x:v>
      </x:c>
      <x:c r="U265" s="70" t="n">
        <x:v>3</x:v>
      </x:c>
      <x:c r="V265" s="70" t="n">
        <x:v>48.5</x:v>
      </x:c>
      <x:c r="W265" t="str">
        <x:v>DraftKings</x:v>
      </x:c>
      <x:c r="X265" t="str">
        <x:v>https://www.espn.com/college-football/game/_/gameId/401862779</x:v>
      </x:c>
    </x:row>
    <x:row r="266">
      <x:c r="A266" t="str">
        <x:v>CFB</x:v>
      </x:c>
      <x:c r="B266" t="n">
        <x:v>4</x:v>
      </x:c>
      <x:c r="C266" s="68" t="n">
        <x:v>46290.958333333336</x:v>
      </x:c>
      <x:c r="D266" s="71" t="str">
        <x:v>pre</x:v>
      </x:c>
      <x:c r="E266" s="72" t="b">
        <x:v>0</x:v>
      </x:c>
      <x:c r="F266" t="str">
        <x:v>Howard Bison</x:v>
      </x:c>
      <x:c r="G266" t="str">
        <x:v>HOW</x:v>
      </x:c>
      <x:c r="H266" s="69" t="n">
        <x:v>0</x:v>
      </x:c>
      <x:c r="I266" t="str">
        <x:v>1-2</x:v>
      </x:c>
      <x:c r="J266" t="str">
        <x:f>IF(E266&lt;&gt;TRUE,"",IF(H266&gt;M266,"W",IF(H266&lt;M266,"L","T")))</x:f>
      </x:c>
      <x:c r="K266" t="str">
        <x:v>Rutgers Scarlet Knights</x:v>
      </x:c>
      <x:c r="L266" t="str">
        <x:v>RUTG</x:v>
      </x:c>
      <x:c r="M266" s="69" t="n">
        <x:v>0</x:v>
      </x:c>
      <x:c r="N266" t="str">
        <x:v>0-3</x:v>
      </x:c>
      <x:c r="O266" t="str">
        <x:f>IF(E266&lt;&gt;TRUE,"",IF(M266&gt;H266,"W",IF(M266&lt;H266,"L","T")))</x:f>
      </x:c>
      <x:c r="P266" s="66" t="b">
        <x:v>0</x:v>
      </x:c>
      <x:c r="Q266" s="66" t="b">
        <x:v>0</x:v>
      </x:c>
      <x:c r="R266" t="str">
        <x:v>SHI Stadium</x:v>
      </x:c>
      <x:c r="S266" t="str">
        <x:v>BTN</x:v>
      </x:c>
      <x:c r="T266"/>
      <x:c r="U266" s="70"/>
      <x:c r="V266" s="70"/>
      <x:c r="W266"/>
      <x:c r="X266" t="str">
        <x:v>https://www.espn.com/college-football/game/_/gameId/401858468</x:v>
      </x:c>
    </x:row>
    <x:row r="267">
      <x:c r="A267" t="str">
        <x:v>CFB</x:v>
      </x:c>
      <x:c r="B267" t="n">
        <x:v>4</x:v>
      </x:c>
      <x:c r="C267" s="68" t="n">
        <x:v>46290.958333333336</x:v>
      </x:c>
      <x:c r="D267" s="71" t="str">
        <x:v>pre</x:v>
      </x:c>
      <x:c r="E267" s="72" t="b">
        <x:v>0</x:v>
      </x:c>
      <x:c r="F267" t="str">
        <x:v>Navy Midshipmen</x:v>
      </x:c>
      <x:c r="G267" t="str">
        <x:v>NAVY</x:v>
      </x:c>
      <x:c r="H267" s="69" t="n">
        <x:v>0</x:v>
      </x:c>
      <x:c r="I267" t="str">
        <x:v>1-1</x:v>
      </x:c>
      <x:c r="J267" t="str">
        <x:f>IF(E267&lt;&gt;TRUE,"",IF(H267&gt;M267,"W",IF(H267&lt;M267,"L","T")))</x:f>
      </x:c>
      <x:c r="K267" t="str">
        <x:v>UAB Blazers</x:v>
      </x:c>
      <x:c r="L267" t="str">
        <x:v>UAB</x:v>
      </x:c>
      <x:c r="M267" s="69" t="n">
        <x:v>0</x:v>
      </x:c>
      <x:c r="N267" t="str">
        <x:v>1-2</x:v>
      </x:c>
      <x:c r="O267" t="str">
        <x:f>IF(E267&lt;&gt;TRUE,"",IF(M267&gt;H267,"W",IF(M267&lt;H267,"L","T")))</x:f>
      </x:c>
      <x:c r="P267" s="66" t="b">
        <x:v>0</x:v>
      </x:c>
      <x:c r="Q267" s="66" t="b">
        <x:v>1</x:v>
      </x:c>
      <x:c r="R267" t="str">
        <x:v>Protective Stadium</x:v>
      </x:c>
      <x:c r="S267" t="str">
        <x:v>ESPN</x:v>
      </x:c>
      <x:c r="T267" t="str">
        <x:v>NAVY -7</x:v>
      </x:c>
      <x:c r="U267" s="70" t="n">
        <x:v>7</x:v>
      </x:c>
      <x:c r="V267" s="70" t="n">
        <x:v>51.5</x:v>
      </x:c>
      <x:c r="W267" t="str">
        <x:v>DraftKings</x:v>
      </x:c>
      <x:c r="X267" t="str">
        <x:v>https://www.espn.com/college-football/game/_/gameId/401862778</x:v>
      </x:c>
    </x:row>
    <x:row r="268">
      <x:c r="A268" t="str">
        <x:v>CFB</x:v>
      </x:c>
      <x:c r="B268" t="n">
        <x:v>4</x:v>
      </x:c>
      <x:c r="C268" s="68" t="n">
        <x:v>46291</x:v>
      </x:c>
      <x:c r="D268" s="71" t="str">
        <x:v>pre</x:v>
      </x:c>
      <x:c r="E268" s="72" t="b">
        <x:v>0</x:v>
      </x:c>
      <x:c r="F268" t="str">
        <x:v>Northwestern Wildcats</x:v>
      </x:c>
      <x:c r="G268" t="str">
        <x:v>NU</x:v>
      </x:c>
      <x:c r="H268" s="69" t="n">
        <x:v>0</x:v>
      </x:c>
      <x:c r="I268" t="str">
        <x:v>2-0</x:v>
      </x:c>
      <x:c r="J268" t="str">
        <x:f>IF(E268&lt;&gt;TRUE,"",IF(H268&gt;M268,"W",IF(H268&lt;M268,"L","T")))</x:f>
      </x:c>
      <x:c r="K268" t="str">
        <x:v>Indiana Hoosiers</x:v>
      </x:c>
      <x:c r="L268" t="str">
        <x:v>IU</x:v>
      </x:c>
      <x:c r="M268" s="69" t="n">
        <x:v>0</x:v>
      </x:c>
      <x:c r="N268" t="str">
        <x:v>3-0</x:v>
      </x:c>
      <x:c r="O268" t="str">
        <x:f>IF(E268&lt;&gt;TRUE,"",IF(M268&gt;H268,"W",IF(M268&lt;H268,"L","T")))</x:f>
      </x:c>
      <x:c r="P268" s="66" t="b">
        <x:v>0</x:v>
      </x:c>
      <x:c r="Q268" s="66" t="b">
        <x:v>1</x:v>
      </x:c>
      <x:c r="R268" t="str">
        <x:v>Memorial Stadium (Bloomington, IN)</x:v>
      </x:c>
      <x:c r="S268" t="str">
        <x:v>FOX</x:v>
      </x:c>
      <x:c r="T268" t="str">
        <x:v>IU -21</x:v>
      </x:c>
      <x:c r="U268" s="70" t="n">
        <x:v>-21</x:v>
      </x:c>
      <x:c r="V268" s="70" t="n">
        <x:v>49.5</x:v>
      </x:c>
      <x:c r="W268" t="str">
        <x:v>DraftKings</x:v>
      </x:c>
      <x:c r="X268" t="str">
        <x:v>https://www.espn.com/college-football/game/_/gameId/401858461</x:v>
      </x:c>
    </x:row>
    <x:row r="269">
      <x:c r="A269" t="str">
        <x:v>CFB</x:v>
      </x:c>
      <x:c r="B269" t="n">
        <x:v>4</x:v>
      </x:c>
      <x:c r="C269" s="68" t="n">
        <x:v>46291.104166666664</x:v>
      </x:c>
      <x:c r="D269" s="71" t="str">
        <x:v>pre</x:v>
      </x:c>
      <x:c r="E269" s="72" t="b">
        <x:v>0</x:v>
      </x:c>
      <x:c r="F269" t="str">
        <x:v>Clemson Tigers</x:v>
      </x:c>
      <x:c r="G269" t="str">
        <x:v>CLEM</x:v>
      </x:c>
      <x:c r="H269" s="69" t="n">
        <x:v>0</x:v>
      </x:c>
      <x:c r="I269" t="str">
        <x:v>2-1</x:v>
      </x:c>
      <x:c r="J269" t="str">
        <x:f>IF(E269&lt;&gt;TRUE,"",IF(H269&gt;M269,"W",IF(H269&lt;M269,"L","T")))</x:f>
      </x:c>
      <x:c r="K269" t="str">
        <x:v>California Golden Bears</x:v>
      </x:c>
      <x:c r="L269" t="str">
        <x:v>CAL</x:v>
      </x:c>
      <x:c r="M269" s="69" t="n">
        <x:v>0</x:v>
      </x:c>
      <x:c r="N269" t="str">
        <x:v>2-1</x:v>
      </x:c>
      <x:c r="O269" t="str">
        <x:f>IF(E269&lt;&gt;TRUE,"",IF(M269&gt;H269,"W",IF(M269&lt;H269,"L","T")))</x:f>
      </x:c>
      <x:c r="P269" s="66" t="b">
        <x:v>0</x:v>
      </x:c>
      <x:c r="Q269" s="66" t="b">
        <x:v>1</x:v>
      </x:c>
      <x:c r="R269" t="str">
        <x:v>California Memorial Stadium</x:v>
      </x:c>
      <x:c r="S269" t="str">
        <x:v>ESPN</x:v>
      </x:c>
      <x:c r="T269" t="str">
        <x:v>CAL -1.5</x:v>
      </x:c>
      <x:c r="U269" s="70" t="n">
        <x:v>-1.5</x:v>
      </x:c>
      <x:c r="V269" s="70" t="n">
        <x:v>50.5</x:v>
      </x:c>
      <x:c r="W269" t="str">
        <x:v>DraftKings</x:v>
      </x:c>
      <x:c r="X269" t="str">
        <x:v>https://www.espn.com/college-football/game/_/gameId/401858234</x:v>
      </x:c>
    </x:row>
    <x:row r="270">
      <x:c r="A270" t="str">
        <x:v>CFB</x:v>
      </x:c>
      <x:c r="B270" t="n">
        <x:v>4</x:v>
      </x:c>
      <x:c r="C270" s="68" t="n">
        <x:v>46291.666666666664</x:v>
      </x:c>
      <x:c r="D270" s="71" t="str">
        <x:v>pre</x:v>
      </x:c>
      <x:c r="E270" s="72" t="b">
        <x:v>0</x:v>
      </x:c>
      <x:c r="F270" t="str">
        <x:v>Texas Longhorns</x:v>
      </x:c>
      <x:c r="G270" t="str">
        <x:v>TEX</x:v>
      </x:c>
      <x:c r="H270" s="69" t="n">
        <x:v>0</x:v>
      </x:c>
      <x:c r="I270" t="str">
        <x:v>3-0</x:v>
      </x:c>
      <x:c r="J270" t="str">
        <x:f>IF(E270&lt;&gt;TRUE,"",IF(H270&gt;M270,"W",IF(H270&lt;M270,"L","T")))</x:f>
      </x:c>
      <x:c r="K270" t="str">
        <x:v>Tennessee Volunteers</x:v>
      </x:c>
      <x:c r="L270" t="str">
        <x:v>TENN</x:v>
      </x:c>
      <x:c r="M270" s="69" t="n">
        <x:v>0</x:v>
      </x:c>
      <x:c r="N270" t="str">
        <x:v>3-0</x:v>
      </x:c>
      <x:c r="O270" t="str">
        <x:f>IF(E270&lt;&gt;TRUE,"",IF(M270&gt;H270,"W",IF(M270&lt;H270,"L","T")))</x:f>
      </x:c>
      <x:c r="P270" s="66" t="b">
        <x:v>0</x:v>
      </x:c>
      <x:c r="Q270" s="66" t="b">
        <x:v>1</x:v>
      </x:c>
      <x:c r="R270" t="str">
        <x:v>Neyland Stadium</x:v>
      </x:c>
      <x:c r="S270" t="str">
        <x:v>ABC</x:v>
      </x:c>
      <x:c r="T270" t="str">
        <x:v>TEX -3.5</x:v>
      </x:c>
      <x:c r="U270" s="70" t="n">
        <x:v>3.5</x:v>
      </x:c>
      <x:c r="V270" s="70" t="n">
        <x:v>56.5</x:v>
      </x:c>
      <x:c r="W270" t="str">
        <x:v>DraftKings</x:v>
      </x:c>
      <x:c r="X270" t="str">
        <x:v>https://www.espn.com/college-football/game/_/gameId/401856704</x:v>
      </x:c>
    </x:row>
    <x:row r="271">
      <x:c r="A271" t="str">
        <x:v>CFB</x:v>
      </x:c>
      <x:c r="B271" t="n">
        <x:v>4</x:v>
      </x:c>
      <x:c r="C271" s="68" t="n">
        <x:v>46291.666666666664</x:v>
      </x:c>
      <x:c r="D271" s="71" t="str">
        <x:v>pre</x:v>
      </x:c>
      <x:c r="E271" s="72" t="b">
        <x:v>0</x:v>
      </x:c>
      <x:c r="F271" t="str">
        <x:v>Sam Houston Bearkats</x:v>
      </x:c>
      <x:c r="G271" t="str">
        <x:v>SHSU</x:v>
      </x:c>
      <x:c r="H271" s="69" t="n">
        <x:v>0</x:v>
      </x:c>
      <x:c r="I271" t="str">
        <x:v>1-2</x:v>
      </x:c>
      <x:c r="J271" t="str">
        <x:f>IF(E271&lt;&gt;TRUE,"",IF(H271&gt;M271,"W",IF(H271&lt;M271,"L","T")))</x:f>
      </x:c>
      <x:c r="K271" t="str">
        <x:v>Texas Tech Red Raiders</x:v>
      </x:c>
      <x:c r="L271" t="str">
        <x:v>TTU</x:v>
      </x:c>
      <x:c r="M271" s="69" t="n">
        <x:v>0</x:v>
      </x:c>
      <x:c r="N271" t="str">
        <x:v>3-0</x:v>
      </x:c>
      <x:c r="O271" t="str">
        <x:f>IF(E271&lt;&gt;TRUE,"",IF(M271&gt;H271,"W",IF(M271&lt;H271,"L","T")))</x:f>
      </x:c>
      <x:c r="P271" s="66" t="b">
        <x:v>0</x:v>
      </x:c>
      <x:c r="Q271" s="66" t="b">
        <x:v>0</x:v>
      </x:c>
      <x:c r="R271" t="str">
        <x:v>Galaxy Stadium</x:v>
      </x:c>
      <x:c r="S271" t="str">
        <x:v>TNT</x:v>
      </x:c>
      <x:c r="T271" t="str">
        <x:v>TTU -35.5</x:v>
      </x:c>
      <x:c r="U271" s="70" t="n">
        <x:v>-35.5</x:v>
      </x:c>
      <x:c r="V271" s="70" t="n">
        <x:v>54.5</x:v>
      </x:c>
      <x:c r="W271" t="str">
        <x:v>DraftKings</x:v>
      </x:c>
      <x:c r="X271" t="str">
        <x:v>https://www.espn.com/college-football/game/_/gameId/401856805</x:v>
      </x:c>
    </x:row>
    <x:row r="272">
      <x:c r="A272" t="str">
        <x:v>CFB</x:v>
      </x:c>
      <x:c r="B272" t="n">
        <x:v>4</x:v>
      </x:c>
      <x:c r="C272" s="68" t="n">
        <x:v>46291.666666666664</x:v>
      </x:c>
      <x:c r="D272" s="71" t="str">
        <x:v>pre</x:v>
      </x:c>
      <x:c r="E272" s="72" t="b">
        <x:v>0</x:v>
      </x:c>
      <x:c r="F272" t="str">
        <x:v>Colorado Buffaloes</x:v>
      </x:c>
      <x:c r="G272" t="str">
        <x:v>COLO</x:v>
      </x:c>
      <x:c r="H272" s="69" t="n">
        <x:v>0</x:v>
      </x:c>
      <x:c r="I272" t="str">
        <x:v>2-1</x:v>
      </x:c>
      <x:c r="J272" t="str">
        <x:f>IF(E272&lt;&gt;TRUE,"",IF(H272&gt;M272,"W",IF(H272&lt;M272,"L","T")))</x:f>
      </x:c>
      <x:c r="K272" t="str">
        <x:v>Baylor Bears</x:v>
      </x:c>
      <x:c r="L272" t="str">
        <x:v>BAY</x:v>
      </x:c>
      <x:c r="M272" s="69" t="n">
        <x:v>0</x:v>
      </x:c>
      <x:c r="N272" t="str">
        <x:v>2-1</x:v>
      </x:c>
      <x:c r="O272" t="str">
        <x:f>IF(E272&lt;&gt;TRUE,"",IF(M272&gt;H272,"W",IF(M272&lt;H272,"L","T")))</x:f>
      </x:c>
      <x:c r="P272" s="66" t="b">
        <x:v>0</x:v>
      </x:c>
      <x:c r="Q272" s="66" t="b">
        <x:v>1</x:v>
      </x:c>
      <x:c r="R272" t="str">
        <x:v>McLane Stadium</x:v>
      </x:c>
      <x:c r="S272" t="str">
        <x:v>ESPN2</x:v>
      </x:c>
      <x:c r="T272" t="str">
        <x:v>BAY -10</x:v>
      </x:c>
      <x:c r="U272" s="70" t="n">
        <x:v>-10</x:v>
      </x:c>
      <x:c r="V272" s="70" t="n">
        <x:v>54.5</x:v>
      </x:c>
      <x:c r="W272" t="str">
        <x:v>DraftKings</x:v>
      </x:c>
      <x:c r="X272" t="str">
        <x:v>https://www.espn.com/college-football/game/_/gameId/401856813</x:v>
      </x:c>
    </x:row>
    <x:row r="273">
      <x:c r="A273" t="str">
        <x:v>CFB</x:v>
      </x:c>
      <x:c r="B273" t="n">
        <x:v>4</x:v>
      </x:c>
      <x:c r="C273" s="68" t="n">
        <x:v>46291.666666666664</x:v>
      </x:c>
      <x:c r="D273" s="71" t="str">
        <x:v>pre</x:v>
      </x:c>
      <x:c r="E273" s="72" t="b">
        <x:v>0</x:v>
      </x:c>
      <x:c r="F273" t="str">
        <x:v>Bucknell Bison</x:v>
      </x:c>
      <x:c r="G273" t="str">
        <x:v>BUCK</x:v>
      </x:c>
      <x:c r="H273" s="69" t="n">
        <x:v>0</x:v>
      </x:c>
      <x:c r="I273" t="str">
        <x:v>1-3</x:v>
      </x:c>
      <x:c r="J273" t="str">
        <x:f>IF(E273&lt;&gt;TRUE,"",IF(H273&gt;M273,"W",IF(H273&lt;M273,"L","T")))</x:f>
      </x:c>
      <x:c r="K273" t="str">
        <x:v>Pittsburgh Panthers</x:v>
      </x:c>
      <x:c r="L273" t="str">
        <x:v>PITT</x:v>
      </x:c>
      <x:c r="M273" s="69" t="n">
        <x:v>0</x:v>
      </x:c>
      <x:c r="N273" t="str">
        <x:v>3-0</x:v>
      </x:c>
      <x:c r="O273" t="str">
        <x:f>IF(E273&lt;&gt;TRUE,"",IF(M273&gt;H273,"W",IF(M273&lt;H273,"L","T")))</x:f>
      </x:c>
      <x:c r="P273" s="66" t="b">
        <x:v>0</x:v>
      </x:c>
      <x:c r="Q273" s="66" t="b">
        <x:v>0</x:v>
      </x:c>
      <x:c r="R273" t="str">
        <x:v>Acrisure Stadium</x:v>
      </x:c>
      <x:c r="S273" t="str">
        <x:v>ACCNX</x:v>
      </x:c>
      <x:c r="T273"/>
      <x:c r="U273" s="70"/>
      <x:c r="V273" s="70"/>
      <x:c r="W273"/>
      <x:c r="X273" t="str">
        <x:v>https://www.espn.com/college-football/game/_/gameId/401858236</x:v>
      </x:c>
    </x:row>
    <x:row r="274">
      <x:c r="A274" t="str">
        <x:v>CFB</x:v>
      </x:c>
      <x:c r="B274" t="n">
        <x:v>4</x:v>
      </x:c>
      <x:c r="C274" s="68" t="n">
        <x:v>46291.666666666664</x:v>
      </x:c>
      <x:c r="D274" s="71" t="str">
        <x:v>pre</x:v>
      </x:c>
      <x:c r="E274" s="72" t="b">
        <x:v>0</x:v>
      </x:c>
      <x:c r="F274" t="str">
        <x:v>Virginia Tech Hokies</x:v>
      </x:c>
      <x:c r="G274" t="str">
        <x:v>VT</x:v>
      </x:c>
      <x:c r="H274" s="69" t="n">
        <x:v>0</x:v>
      </x:c>
      <x:c r="I274" t="str">
        <x:v>3-0</x:v>
      </x:c>
      <x:c r="J274" t="str">
        <x:f>IF(E274&lt;&gt;TRUE,"",IF(H274&gt;M274,"W",IF(H274&lt;M274,"L","T")))</x:f>
      </x:c>
      <x:c r="K274" t="str">
        <x:v>Boston College Eagles</x:v>
      </x:c>
      <x:c r="L274" t="str">
        <x:v>BC</x:v>
      </x:c>
      <x:c r="M274" s="69" t="n">
        <x:v>0</x:v>
      </x:c>
      <x:c r="N274" t="str">
        <x:v>2-1</x:v>
      </x:c>
      <x:c r="O274" t="str">
        <x:f>IF(E274&lt;&gt;TRUE,"",IF(M274&gt;H274,"W",IF(M274&lt;H274,"L","T")))</x:f>
      </x:c>
      <x:c r="P274" s="66" t="b">
        <x:v>0</x:v>
      </x:c>
      <x:c r="Q274" s="66" t="b">
        <x:v>1</x:v>
      </x:c>
      <x:c r="R274" t="str">
        <x:v>Alumni Stadium (Chestnut Hill, MA)</x:v>
      </x:c>
      <x:c r="S274" t="str">
        <x:v>ACC Network</x:v>
      </x:c>
      <x:c r="T274" t="str">
        <x:v>VT -14.5</x:v>
      </x:c>
      <x:c r="U274" s="70" t="n">
        <x:v>14.5</x:v>
      </x:c>
      <x:c r="V274" s="70" t="n">
        <x:v>52.5</x:v>
      </x:c>
      <x:c r="W274" t="str">
        <x:v>DraftKings</x:v>
      </x:c>
      <x:c r="X274" t="str">
        <x:v>https://www.espn.com/college-football/game/_/gameId/401858242</x:v>
      </x:c>
    </x:row>
    <x:row r="275">
      <x:c r="A275" t="str">
        <x:v>CFB</x:v>
      </x:c>
      <x:c r="B275" t="n">
        <x:v>4</x:v>
      </x:c>
      <x:c r="C275" s="68" t="n">
        <x:v>46291.666666666664</x:v>
      </x:c>
      <x:c r="D275" s="71" t="str">
        <x:v>pre</x:v>
      </x:c>
      <x:c r="E275" s="72" t="b">
        <x:v>0</x:v>
      </x:c>
      <x:c r="F275" t="str">
        <x:v>Wake Forest Demon Deacons</x:v>
      </x:c>
      <x:c r="G275" t="str">
        <x:v>WAKE</x:v>
      </x:c>
      <x:c r="H275" s="69" t="n">
        <x:v>0</x:v>
      </x:c>
      <x:c r="I275" t="str">
        <x:v>2-1</x:v>
      </x:c>
      <x:c r="J275" t="str">
        <x:f>IF(E275&lt;&gt;TRUE,"",IF(H275&gt;M275,"W",IF(H275&lt;M275,"L","T")))</x:f>
      </x:c>
      <x:c r="K275" t="str">
        <x:v>Louisville Cardinals</x:v>
      </x:c>
      <x:c r="L275" t="str">
        <x:v>LOU</x:v>
      </x:c>
      <x:c r="M275" s="69" t="n">
        <x:v>0</x:v>
      </x:c>
      <x:c r="N275" t="str">
        <x:v>2-1</x:v>
      </x:c>
      <x:c r="O275" t="str">
        <x:f>IF(E275&lt;&gt;TRUE,"",IF(M275&gt;H275,"W",IF(M275&lt;H275,"L","T")))</x:f>
      </x:c>
      <x:c r="P275" s="66" t="b">
        <x:v>0</x:v>
      </x:c>
      <x:c r="Q275" s="66" t="b">
        <x:v>1</x:v>
      </x:c>
      <x:c r="R275" t="str">
        <x:v>L&amp;N Federal Credit Union Stadium</x:v>
      </x:c>
      <x:c r="S275" t="str">
        <x:v>ESPN</x:v>
      </x:c>
      <x:c r="T275" t="str">
        <x:v>LOU -12.5</x:v>
      </x:c>
      <x:c r="U275" s="70" t="n">
        <x:v>-12.5</x:v>
      </x:c>
      <x:c r="V275" s="70" t="n">
        <x:v>58.5</x:v>
      </x:c>
      <x:c r="W275" t="str">
        <x:v>DraftKings</x:v>
      </x:c>
      <x:c r="X275" t="str">
        <x:v>https://www.espn.com/college-football/game/_/gameId/401858243</x:v>
      </x:c>
    </x:row>
    <x:row r="276">
      <x:c r="A276" t="str">
        <x:v>CFB</x:v>
      </x:c>
      <x:c r="B276" t="n">
        <x:v>4</x:v>
      </x:c>
      <x:c r="C276" s="68" t="n">
        <x:v>46291.666666666664</x:v>
      </x:c>
      <x:c r="D276" s="71" t="str">
        <x:v>pre</x:v>
      </x:c>
      <x:c r="E276" s="72" t="b">
        <x:v>0</x:v>
      </x:c>
      <x:c r="F276" t="str">
        <x:v>Illinois Fighting Illini</x:v>
      </x:c>
      <x:c r="G276" t="str">
        <x:v>ILL</x:v>
      </x:c>
      <x:c r="H276" s="69" t="n">
        <x:v>0</x:v>
      </x:c>
      <x:c r="I276" t="str">
        <x:v>2-1</x:v>
      </x:c>
      <x:c r="J276" t="str">
        <x:f>IF(E276&lt;&gt;TRUE,"",IF(H276&gt;M276,"W",IF(H276&lt;M276,"L","T")))</x:f>
      </x:c>
      <x:c r="K276" t="str">
        <x:v>Ohio State Buckeyes</x:v>
      </x:c>
      <x:c r="L276" t="str">
        <x:v>OSU</x:v>
      </x:c>
      <x:c r="M276" s="69" t="n">
        <x:v>0</x:v>
      </x:c>
      <x:c r="N276" t="str">
        <x:v>2-1</x:v>
      </x:c>
      <x:c r="O276" t="str">
        <x:f>IF(E276&lt;&gt;TRUE,"",IF(M276&gt;H276,"W",IF(M276&lt;H276,"L","T")))</x:f>
      </x:c>
      <x:c r="P276" s="66" t="b">
        <x:v>0</x:v>
      </x:c>
      <x:c r="Q276" s="66" t="b">
        <x:v>1</x:v>
      </x:c>
      <x:c r="R276" t="str">
        <x:v>Ohio Stadium</x:v>
      </x:c>
      <x:c r="S276" t="str">
        <x:v>FOX</x:v>
      </x:c>
      <x:c r="T276" t="str">
        <x:v>OSU -27.5</x:v>
      </x:c>
      <x:c r="U276" s="70" t="n">
        <x:v>-27.5</x:v>
      </x:c>
      <x:c r="V276" s="70" t="n">
        <x:v>53.5</x:v>
      </x:c>
      <x:c r="W276" t="str">
        <x:v>DraftKings</x:v>
      </x:c>
      <x:c r="X276" t="str">
        <x:v>https://www.espn.com/college-football/game/_/gameId/401858465</x:v>
      </x:c>
    </x:row>
    <x:row r="277">
      <x:c r="A277" t="str">
        <x:v>CFB</x:v>
      </x:c>
      <x:c r="B277" t="n">
        <x:v>4</x:v>
      </x:c>
      <x:c r="C277" s="68" t="n">
        <x:v>46291.666666666664</x:v>
      </x:c>
      <x:c r="D277" s="71" t="str">
        <x:v>pre</x:v>
      </x:c>
      <x:c r="E277" s="72" t="b">
        <x:v>0</x:v>
      </x:c>
      <x:c r="F277" t="str">
        <x:v>San Diego State Aztecs</x:v>
      </x:c>
      <x:c r="G277" t="str">
        <x:v>SDSU</x:v>
      </x:c>
      <x:c r="H277" s="69" t="n">
        <x:v>0</x:v>
      </x:c>
      <x:c r="I277" t="str">
        <x:v>1-2</x:v>
      </x:c>
      <x:c r="J277" t="str">
        <x:f>IF(E277&lt;&gt;TRUE,"",IF(H277&gt;M277,"W",IF(H277&lt;M277,"L","T")))</x:f>
      </x:c>
      <x:c r="K277" t="str">
        <x:v>Toledo Rockets</x:v>
      </x:c>
      <x:c r="L277" t="str">
        <x:v>TOL</x:v>
      </x:c>
      <x:c r="M277" s="69" t="n">
        <x:v>0</x:v>
      </x:c>
      <x:c r="N277" t="str">
        <x:v>2-1</x:v>
      </x:c>
      <x:c r="O277" t="str">
        <x:f>IF(E277&lt;&gt;TRUE,"",IF(M277&gt;H277,"W",IF(M277&lt;H277,"L","T")))</x:f>
      </x:c>
      <x:c r="P277" s="66" t="b">
        <x:v>0</x:v>
      </x:c>
      <x:c r="Q277" s="66" t="b">
        <x:v>0</x:v>
      </x:c>
      <x:c r="R277" t="str">
        <x:v>Glass Bowl</x:v>
      </x:c>
      <x:c r="S277" t="str">
        <x:v>CBSSN</x:v>
      </x:c>
      <x:c r="T277" t="str">
        <x:v>TOL -2.5</x:v>
      </x:c>
      <x:c r="U277" s="70" t="n">
        <x:v>-2.5</x:v>
      </x:c>
      <x:c r="V277" s="70" t="n">
        <x:v>49.5</x:v>
      </x:c>
      <x:c r="W277" t="str">
        <x:v>DraftKings</x:v>
      </x:c>
      <x:c r="X277" t="str">
        <x:v>https://www.espn.com/college-football/game/_/gameId/401860893</x:v>
      </x:c>
    </x:row>
    <x:row r="278">
      <x:c r="A278" t="str">
        <x:v>CFB</x:v>
      </x:c>
      <x:c r="B278" t="n">
        <x:v>4</x:v>
      </x:c>
      <x:c r="C278" s="68" t="n">
        <x:v>46291.666666666664</x:v>
      </x:c>
      <x:c r="D278" s="71" t="str">
        <x:v>pre</x:v>
      </x:c>
      <x:c r="E278" s="72" t="b">
        <x:v>0</x:v>
      </x:c>
      <x:c r="F278" t="str">
        <x:v>Colorado State Rams</x:v>
      </x:c>
      <x:c r="G278" t="str">
        <x:v>CSU</x:v>
      </x:c>
      <x:c r="H278" s="69" t="n">
        <x:v>0</x:v>
      </x:c>
      <x:c r="I278" t="str">
        <x:v>2-1</x:v>
      </x:c>
      <x:c r="J278" t="str">
        <x:f>IF(E278&lt;&gt;TRUE,"",IF(H278&gt;M278,"W",IF(H278&lt;M278,"L","T")))</x:f>
      </x:c>
      <x:c r="K278" t="str">
        <x:v>UTSA Roadrunners</x:v>
      </x:c>
      <x:c r="L278" t="str">
        <x:v>UTSA</x:v>
      </x:c>
      <x:c r="M278" s="69" t="n">
        <x:v>0</x:v>
      </x:c>
      <x:c r="N278" t="str">
        <x:v>2-1</x:v>
      </x:c>
      <x:c r="O278" t="str">
        <x:f>IF(E278&lt;&gt;TRUE,"",IF(M278&gt;H278,"W",IF(M278&lt;H278,"L","T")))</x:f>
      </x:c>
      <x:c r="P278" s="66" t="b">
        <x:v>0</x:v>
      </x:c>
      <x:c r="Q278" s="66" t="b">
        <x:v>0</x:v>
      </x:c>
      <x:c r="R278" t="str">
        <x:v>Alamodome</x:v>
      </x:c>
      <x:c r="S278" t="str">
        <x:v>ESPNU</x:v>
      </x:c>
      <x:c r="T278" t="str">
        <x:v>UTSA -12.5</x:v>
      </x:c>
      <x:c r="U278" s="70" t="n">
        <x:v>-12.5</x:v>
      </x:c>
      <x:c r="V278" s="70" t="n">
        <x:v>58.5</x:v>
      </x:c>
      <x:c r="W278" t="str">
        <x:v>DraftKings</x:v>
      </x:c>
      <x:c r="X278" t="str">
        <x:v>https://www.espn.com/college-football/game/_/gameId/401860896</x:v>
      </x:c>
    </x:row>
    <x:row r="279">
      <x:c r="A279" t="str">
        <x:v>CFB</x:v>
      </x:c>
      <x:c r="B279" t="n">
        <x:v>4</x:v>
      </x:c>
      <x:c r="C279" s="68" t="n">
        <x:v>46291.666666666664</x:v>
      </x:c>
      <x:c r="D279" s="71" t="str">
        <x:v>pre</x:v>
      </x:c>
      <x:c r="E279" s="72" t="b">
        <x:v>0</x:v>
      </x:c>
      <x:c r="F279" t="str">
        <x:v>UNLV Rebels</x:v>
      </x:c>
      <x:c r="G279" t="str">
        <x:v>UNLV</x:v>
      </x:c>
      <x:c r="H279" s="69" t="n">
        <x:v>0</x:v>
      </x:c>
      <x:c r="I279" t="str">
        <x:v>1-2</x:v>
      </x:c>
      <x:c r="J279" t="str">
        <x:f>IF(E279&lt;&gt;TRUE,"",IF(H279&gt;M279,"W",IF(H279&lt;M279,"L","T")))</x:f>
      </x:c>
      <x:c r="K279" t="str">
        <x:v>Akron Zips</x:v>
      </x:c>
      <x:c r="L279" t="str">
        <x:v>AKR</x:v>
      </x:c>
      <x:c r="M279" s="69" t="n">
        <x:v>0</x:v>
      </x:c>
      <x:c r="N279" t="str">
        <x:v>1-2</x:v>
      </x:c>
      <x:c r="O279" t="str">
        <x:f>IF(E279&lt;&gt;TRUE,"",IF(M279&gt;H279,"W",IF(M279&lt;H279,"L","T")))</x:f>
      </x:c>
      <x:c r="P279" s="66" t="b">
        <x:v>0</x:v>
      </x:c>
      <x:c r="Q279" s="66" t="b">
        <x:v>0</x:v>
      </x:c>
      <x:c r="R279" t="str">
        <x:v>InfoCision Stadium</x:v>
      </x:c>
      <x:c r="S279" t="str">
        <x:v>ESPN+</x:v>
      </x:c>
      <x:c r="T279" t="str">
        <x:v>UNLV -12.5</x:v>
      </x:c>
      <x:c r="U279" s="70" t="n">
        <x:v>12.5</x:v>
      </x:c>
      <x:c r="V279" s="70" t="n">
        <x:v>50.5</x:v>
      </x:c>
      <x:c r="W279" t="str">
        <x:v>DraftKings</x:v>
      </x:c>
      <x:c r="X279" t="str">
        <x:v>https://www.espn.com/college-football/game/_/gameId/401864512</x:v>
      </x:c>
    </x:row>
    <x:row r="280">
      <x:c r="A280" t="str">
        <x:v>CFB</x:v>
      </x:c>
      <x:c r="B280" t="n">
        <x:v>4</x:v>
      </x:c>
      <x:c r="C280" s="68" t="n">
        <x:v>46291.666666666664</x:v>
      </x:c>
      <x:c r="D280" s="71" t="str">
        <x:v>pre</x:v>
      </x:c>
      <x:c r="E280" s="72" t="b">
        <x:v>0</x:v>
      </x:c>
      <x:c r="F280" t="str">
        <x:v>Ball State Cardinals</x:v>
      </x:c>
      <x:c r="G280" t="str">
        <x:v>BALL</x:v>
      </x:c>
      <x:c r="H280" s="69" t="n">
        <x:v>0</x:v>
      </x:c>
      <x:c r="I280" t="str">
        <x:v>1-2</x:v>
      </x:c>
      <x:c r="J280" t="str">
        <x:f>IF(E280&lt;&gt;TRUE,"",IF(H280&gt;M280,"W",IF(H280&lt;M280,"L","T")))</x:f>
      </x:c>
      <x:c r="K280" t="str">
        <x:v>Kent State Golden Flashes</x:v>
      </x:c>
      <x:c r="L280" t="str">
        <x:v>KENT</x:v>
      </x:c>
      <x:c r="M280" s="69" t="n">
        <x:v>0</x:v>
      </x:c>
      <x:c r="N280" t="str">
        <x:v>1-2</x:v>
      </x:c>
      <x:c r="O280" t="str">
        <x:f>IF(E280&lt;&gt;TRUE,"",IF(M280&gt;H280,"W",IF(M280&lt;H280,"L","T")))</x:f>
      </x:c>
      <x:c r="P280" s="66" t="b">
        <x:v>0</x:v>
      </x:c>
      <x:c r="Q280" s="66" t="b">
        <x:v>1</x:v>
      </x:c>
      <x:c r="R280" t="str">
        <x:v>Zoeller Field at Dix Stadium</x:v>
      </x:c>
      <x:c r="S280" t="str">
        <x:v>ESPN+</x:v>
      </x:c>
      <x:c r="T280" t="str">
        <x:v>KENT -3</x:v>
      </x:c>
      <x:c r="U280" s="70" t="n">
        <x:v>-3</x:v>
      </x:c>
      <x:c r="V280" s="70" t="n">
        <x:v>49.5</x:v>
      </x:c>
      <x:c r="W280" t="str">
        <x:v>DraftKings</x:v>
      </x:c>
      <x:c r="X280" t="str">
        <x:v>https://www.espn.com/college-football/game/_/gameId/401866425</x:v>
      </x:c>
    </x:row>
    <x:row r="281">
      <x:c r="A281" t="str">
        <x:v>CFB</x:v>
      </x:c>
      <x:c r="B281" t="n">
        <x:v>4</x:v>
      </x:c>
      <x:c r="C281" s="68" t="n">
        <x:v>46291.697916666664</x:v>
      </x:c>
      <x:c r="D281" s="71" t="str">
        <x:v>pre</x:v>
      </x:c>
      <x:c r="E281" s="72" t="b">
        <x:v>0</x:v>
      </x:c>
      <x:c r="F281" t="str">
        <x:v>South Alabama Jaguars</x:v>
      </x:c>
      <x:c r="G281" t="str">
        <x:v>USA</x:v>
      </x:c>
      <x:c r="H281" s="69" t="n">
        <x:v>0</x:v>
      </x:c>
      <x:c r="I281" t="str">
        <x:v>2-1</x:v>
      </x:c>
      <x:c r="J281" t="str">
        <x:f>IF(E281&lt;&gt;TRUE,"",IF(H281&gt;M281,"W",IF(H281&lt;M281,"L","T")))</x:f>
      </x:c>
      <x:c r="K281" t="str">
        <x:v>Kentucky Wildcats</x:v>
      </x:c>
      <x:c r="L281" t="str">
        <x:v>UK</x:v>
      </x:c>
      <x:c r="M281" s="69" t="n">
        <x:v>0</x:v>
      </x:c>
      <x:c r="N281" t="str">
        <x:v>2-1</x:v>
      </x:c>
      <x:c r="O281" t="str">
        <x:f>IF(E281&lt;&gt;TRUE,"",IF(M281&gt;H281,"W",IF(M281&lt;H281,"L","T")))</x:f>
      </x:c>
      <x:c r="P281" s="66" t="b">
        <x:v>0</x:v>
      </x:c>
      <x:c r="Q281" s="66" t="b">
        <x:v>0</x:v>
      </x:c>
      <x:c r="R281" t="str">
        <x:v>Kroger Field</x:v>
      </x:c>
      <x:c r="S281" t="str">
        <x:v>SEC Network</x:v>
      </x:c>
      <x:c r="T281" t="str">
        <x:v>UK -20.5</x:v>
      </x:c>
      <x:c r="U281" s="70" t="n">
        <x:v>-20.5</x:v>
      </x:c>
      <x:c r="V281" s="70" t="n">
        <x:v>55.5</x:v>
      </x:c>
      <x:c r="W281" t="str">
        <x:v>DraftKings</x:v>
      </x:c>
      <x:c r="X281" t="str">
        <x:v>https://www.espn.com/college-football/game/_/gameId/401864576</x:v>
      </x:c>
    </x:row>
    <x:row r="282">
      <x:c r="A282" t="str">
        <x:v>CFB</x:v>
      </x:c>
      <x:c r="B282" t="n">
        <x:v>4</x:v>
      </x:c>
      <x:c r="C282" s="68" t="n">
        <x:v>46291.708333333336</x:v>
      </x:c>
      <x:c r="D282" s="71" t="str">
        <x:v>pre</x:v>
      </x:c>
      <x:c r="E282" s="72" t="b">
        <x:v>0</x:v>
      </x:c>
      <x:c r="F282" t="str">
        <x:v>Lindenwood Lions</x:v>
      </x:c>
      <x:c r="G282" t="str">
        <x:v>LIN</x:v>
      </x:c>
      <x:c r="H282" s="69" t="n">
        <x:v>0</x:v>
      </x:c>
      <x:c r="I282" t="str">
        <x:v>1-2</x:v>
      </x:c>
      <x:c r="J282" t="str">
        <x:f>IF(E282&lt;&gt;TRUE,"",IF(H282&gt;M282,"W",IF(H282&lt;M282,"L","T")))</x:f>
      </x:c>
      <x:c r="K282" t="str">
        <x:v>Eastern Michigan Eagles</x:v>
      </x:c>
      <x:c r="L282" t="str">
        <x:v>EMU</x:v>
      </x:c>
      <x:c r="M282" s="69" t="n">
        <x:v>0</x:v>
      </x:c>
      <x:c r="N282" t="str">
        <x:v>1-3</x:v>
      </x:c>
      <x:c r="O282" t="str">
        <x:f>IF(E282&lt;&gt;TRUE,"",IF(M282&gt;H282,"W",IF(M282&lt;H282,"L","T")))</x:f>
      </x:c>
      <x:c r="P282" s="66" t="b">
        <x:v>0</x:v>
      </x:c>
      <x:c r="Q282" s="66" t="b">
        <x:v>0</x:v>
      </x:c>
      <x:c r="R282" t="str">
        <x:v>Rynearson Stadium</x:v>
      </x:c>
      <x:c r="S282" t="str">
        <x:v>ESPN+</x:v>
      </x:c>
      <x:c r="T282"/>
      <x:c r="U282" s="70"/>
      <x:c r="V282" s="70"/>
      <x:c r="W282"/>
      <x:c r="X282" t="str">
        <x:v>https://www.espn.com/college-football/game/_/gameId/401866427</x:v>
      </x:c>
    </x:row>
    <x:row r="283">
      <x:c r="A283" t="str">
        <x:v>CFB</x:v>
      </x:c>
      <x:c r="B283" t="n">
        <x:v>4</x:v>
      </x:c>
      <x:c r="C283" s="68" t="n">
        <x:v>46291.729166666664</x:v>
      </x:c>
      <x:c r="D283" s="71" t="str">
        <x:v>pre</x:v>
      </x:c>
      <x:c r="E283" s="72" t="b">
        <x:v>0</x:v>
      </x:c>
      <x:c r="F283" t="str">
        <x:v>UCLA Bruins</x:v>
      </x:c>
      <x:c r="G283" t="str">
        <x:v>UCLA</x:v>
      </x:c>
      <x:c r="H283" s="69" t="n">
        <x:v>0</x:v>
      </x:c>
      <x:c r="I283" t="str">
        <x:v>3-0</x:v>
      </x:c>
      <x:c r="J283" t="str">
        <x:f>IF(E283&lt;&gt;TRUE,"",IF(H283&gt;M283,"W",IF(H283&lt;M283,"L","T")))</x:f>
      </x:c>
      <x:c r="K283" t="str">
        <x:v>Maryland Terrapins</x:v>
      </x:c>
      <x:c r="L283" t="str">
        <x:v>MD</x:v>
      </x:c>
      <x:c r="M283" s="69" t="n">
        <x:v>0</x:v>
      </x:c>
      <x:c r="N283" t="str">
        <x:v>2-1</x:v>
      </x:c>
      <x:c r="O283" t="str">
        <x:f>IF(E283&lt;&gt;TRUE,"",IF(M283&gt;H283,"W",IF(M283&lt;H283,"L","T")))</x:f>
      </x:c>
      <x:c r="P283" s="66" t="b">
        <x:v>0</x:v>
      </x:c>
      <x:c r="Q283" s="66" t="b">
        <x:v>1</x:v>
      </x:c>
      <x:c r="R283" t="str">
        <x:v>SECU Stadium</x:v>
      </x:c>
      <x:c r="S283" t="str">
        <x:v>BTN</x:v>
      </x:c>
      <x:c r="T283" t="str">
        <x:v>UCLA -2.5</x:v>
      </x:c>
      <x:c r="U283" s="70" t="n">
        <x:v>2.5</x:v>
      </x:c>
      <x:c r="V283" s="70" t="n">
        <x:v>57.5</x:v>
      </x:c>
      <x:c r="W283" t="str">
        <x:v>DraftKings</x:v>
      </x:c>
      <x:c r="X283" t="str">
        <x:v>https://www.espn.com/college-football/game/_/gameId/401858462</x:v>
      </x:c>
    </x:row>
    <x:row r="284">
      <x:c r="A284" t="str">
        <x:v>CFB</x:v>
      </x:c>
      <x:c r="B284" t="n">
        <x:v>4</x:v>
      </x:c>
      <x:c r="C284" s="68" t="n">
        <x:v>46291.75</x:v>
      </x:c>
      <x:c r="D284" s="71" t="str">
        <x:v>pre</x:v>
      </x:c>
      <x:c r="E284" s="72" t="b">
        <x:v>0</x:v>
      </x:c>
      <x:c r="F284" t="str">
        <x:v>Notre Dame Fighting Irish</x:v>
      </x:c>
      <x:c r="G284" t="str">
        <x:v>ND</x:v>
      </x:c>
      <x:c r="H284" s="69" t="n">
        <x:v>0</x:v>
      </x:c>
      <x:c r="I284" t="str">
        <x:v>3-0</x:v>
      </x:c>
      <x:c r="J284" t="str">
        <x:f>IF(E284&lt;&gt;TRUE,"",IF(H284&gt;M284,"W",IF(H284&lt;M284,"L","T")))</x:f>
      </x:c>
      <x:c r="K284" t="str">
        <x:v>Purdue Boilermakers</x:v>
      </x:c>
      <x:c r="L284" t="str">
        <x:v>PUR</x:v>
      </x:c>
      <x:c r="M284" s="69" t="n">
        <x:v>0</x:v>
      </x:c>
      <x:c r="N284" t="str">
        <x:v>1-2</x:v>
      </x:c>
      <x:c r="O284" t="str">
        <x:f>IF(E284&lt;&gt;TRUE,"",IF(M284&gt;H284,"W",IF(M284&lt;H284,"L","T")))</x:f>
      </x:c>
      <x:c r="P284" s="66" t="b">
        <x:v>0</x:v>
      </x:c>
      <x:c r="Q284" s="66" t="b">
        <x:v>0</x:v>
      </x:c>
      <x:c r="R284" t="str">
        <x:v>Ross-Ade Stadium</x:v>
      </x:c>
      <x:c r="S284" t="str">
        <x:v>Peacock</x:v>
      </x:c>
      <x:c r="T284" t="str">
        <x:v>ND -27.5</x:v>
      </x:c>
      <x:c r="U284" s="70" t="n">
        <x:v>27.5</x:v>
      </x:c>
      <x:c r="V284" s="70" t="n">
        <x:v>57.5</x:v>
      </x:c>
      <x:c r="W284" t="str">
        <x:v>DraftKings</x:v>
      </x:c>
      <x:c r="X284" t="str">
        <x:v>https://www.espn.com/college-football/game/_/gameId/401858467</x:v>
      </x:c>
    </x:row>
    <x:row r="285">
      <x:c r="A285" t="str">
        <x:v>CFB</x:v>
      </x:c>
      <x:c r="B285" t="n">
        <x:v>4</x:v>
      </x:c>
      <x:c r="C285" s="68" t="n">
        <x:v>46291.75</x:v>
      </x:c>
      <x:c r="D285" s="71" t="str">
        <x:v>pre</x:v>
      </x:c>
      <x:c r="E285" s="72" t="b">
        <x:v>0</x:v>
      </x:c>
      <x:c r="F285" t="str">
        <x:v>Northern Illinois Huskies</x:v>
      </x:c>
      <x:c r="G285" t="str">
        <x:v>NIU</x:v>
      </x:c>
      <x:c r="H285" s="69" t="n">
        <x:v>0</x:v>
      </x:c>
      <x:c r="I285" t="str">
        <x:v>0-3</x:v>
      </x:c>
      <x:c r="J285" t="str">
        <x:f>IF(E285&lt;&gt;TRUE,"",IF(H285&gt;M285,"W",IF(H285&lt;M285,"L","T")))</x:f>
      </x:c>
      <x:c r="K285" t="str">
        <x:v>Georgia State Panthers</x:v>
      </x:c>
      <x:c r="L285" t="str">
        <x:v>GAST</x:v>
      </x:c>
      <x:c r="M285" s="69" t="n">
        <x:v>0</x:v>
      </x:c>
      <x:c r="N285" t="str">
        <x:v>2-1</x:v>
      </x:c>
      <x:c r="O285" t="str">
        <x:f>IF(E285&lt;&gt;TRUE,"",IF(M285&gt;H285,"W",IF(M285&lt;H285,"L","T")))</x:f>
      </x:c>
      <x:c r="P285" s="66" t="b">
        <x:v>0</x:v>
      </x:c>
      <x:c r="Q285" s="66" t="b">
        <x:v>0</x:v>
      </x:c>
      <x:c r="R285" t="str">
        <x:v>Center Parc Stadium</x:v>
      </x:c>
      <x:c r="S285" t="str">
        <x:v>ESPN+</x:v>
      </x:c>
      <x:c r="T285" t="str">
        <x:v>GAST -9.5</x:v>
      </x:c>
      <x:c r="U285" s="70" t="n">
        <x:v>-9.5</x:v>
      </x:c>
      <x:c r="V285" s="70" t="n">
        <x:v>55.5</x:v>
      </x:c>
      <x:c r="W285" t="str">
        <x:v>DraftKings</x:v>
      </x:c>
      <x:c r="X285" t="str">
        <x:v>https://www.espn.com/college-football/game/_/gameId/401864511</x:v>
      </x:c>
    </x:row>
    <x:row r="286">
      <x:c r="A286" t="str">
        <x:v>CFB</x:v>
      </x:c>
      <x:c r="B286" t="n">
        <x:v>4</x:v>
      </x:c>
      <x:c r="C286" s="68" t="n">
        <x:v>46291.791666666664</x:v>
      </x:c>
      <x:c r="D286" s="71" t="str">
        <x:v>pre</x:v>
      </x:c>
      <x:c r="E286" s="72" t="b">
        <x:v>0</x:v>
      </x:c>
      <x:c r="F286" t="str">
        <x:v>Central Arkansas Bears</x:v>
      </x:c>
      <x:c r="G286" t="str">
        <x:v>CARK</x:v>
      </x:c>
      <x:c r="H286" s="69" t="n">
        <x:v>0</x:v>
      </x:c>
      <x:c r="I286" t="str">
        <x:v>2-2</x:v>
      </x:c>
      <x:c r="J286" t="str">
        <x:f>IF(E286&lt;&gt;TRUE,"",IF(H286&gt;M286,"W",IF(H286&lt;M286,"L","T")))</x:f>
      </x:c>
      <x:c r="K286" t="str">
        <x:v>Florida State Seminoles</x:v>
      </x:c>
      <x:c r="L286" t="str">
        <x:v>FSU</x:v>
      </x:c>
      <x:c r="M286" s="69" t="n">
        <x:v>0</x:v>
      </x:c>
      <x:c r="N286" t="str">
        <x:v>1-2</x:v>
      </x:c>
      <x:c r="O286" t="str">
        <x:f>IF(E286&lt;&gt;TRUE,"",IF(M286&gt;H286,"W",IF(M286&lt;H286,"L","T")))</x:f>
      </x:c>
      <x:c r="P286" s="66" t="b">
        <x:v>0</x:v>
      </x:c>
      <x:c r="Q286" s="66" t="b">
        <x:v>0</x:v>
      </x:c>
      <x:c r="R286" t="str">
        <x:v>Doak Campbell Stadium</x:v>
      </x:c>
      <x:c r="S286" t="str">
        <x:v>ACC Network</x:v>
      </x:c>
      <x:c r="T286"/>
      <x:c r="U286" s="70"/>
      <x:c r="V286" s="70"/>
      <x:c r="W286"/>
      <x:c r="X286" t="str">
        <x:v>https://www.espn.com/college-football/game/_/gameId/401858237</x:v>
      </x:c>
    </x:row>
    <x:row r="287">
      <x:c r="A287" t="str">
        <x:v>CFB</x:v>
      </x:c>
      <x:c r="B287" t="n">
        <x:v>4</x:v>
      </x:c>
      <x:c r="C287" s="68" t="n">
        <x:v>46291.791666666664</x:v>
      </x:c>
      <x:c r="D287" s="71" t="str">
        <x:v>pre</x:v>
      </x:c>
      <x:c r="E287" s="72" t="b">
        <x:v>0</x:v>
      </x:c>
      <x:c r="F287" t="str">
        <x:v>Hawai'i Rainbow Warriors</x:v>
      </x:c>
      <x:c r="G287" t="str">
        <x:v>HAW</x:v>
      </x:c>
      <x:c r="H287" s="69" t="n">
        <x:v>0</x:v>
      </x:c>
      <x:c r="I287" t="str">
        <x:v>1-2</x:v>
      </x:c>
      <x:c r="J287" t="str">
        <x:f>IF(E287&lt;&gt;TRUE,"",IF(H287&gt;M287,"W",IF(H287&lt;M287,"L","T")))</x:f>
      </x:c>
      <x:c r="K287" t="str">
        <x:v>Wyoming Cowboys</x:v>
      </x:c>
      <x:c r="L287" t="str">
        <x:v>WYO</x:v>
      </x:c>
      <x:c r="M287" s="69" t="n">
        <x:v>0</x:v>
      </x:c>
      <x:c r="N287" t="str">
        <x:v>1-2</x:v>
      </x:c>
      <x:c r="O287" t="str">
        <x:f>IF(E287&lt;&gt;TRUE,"",IF(M287&gt;H287,"W",IF(M287&lt;H287,"L","T")))</x:f>
      </x:c>
      <x:c r="P287" s="66" t="b">
        <x:v>0</x:v>
      </x:c>
      <x:c r="Q287" s="66" t="b">
        <x:v>1</x:v>
      </x:c>
      <x:c r="R287" t="str">
        <x:v>War Memorial Stadium</x:v>
      </x:c>
      <x:c r="S287" t="str">
        <x:v>CW</x:v>
      </x:c>
      <x:c r="T287" t="str">
        <x:v>HAW -3</x:v>
      </x:c>
      <x:c r="U287" s="70" t="n">
        <x:v>3</x:v>
      </x:c>
      <x:c r="V287" s="70" t="n">
        <x:v>45.5</x:v>
      </x:c>
      <x:c r="W287" t="str">
        <x:v>DraftKings</x:v>
      </x:c>
      <x:c r="X287" t="str">
        <x:v>https://www.espn.com/college-football/game/_/gameId/401864510</x:v>
      </x:c>
    </x:row>
    <x:row r="288">
      <x:c r="A288" t="str">
        <x:v>CFB</x:v>
      </x:c>
      <x:c r="B288" t="n">
        <x:v>4</x:v>
      </x:c>
      <x:c r="C288" s="68" t="n">
        <x:v>46291.8125</x:v>
      </x:c>
      <x:c r="D288" s="71" t="str">
        <x:v>pre</x:v>
      </x:c>
      <x:c r="E288" s="72" t="b">
        <x:v>0</x:v>
      </x:c>
      <x:c r="F288" t="str">
        <x:v>Ole Miss Rebels</x:v>
      </x:c>
      <x:c r="G288" t="str">
        <x:v>MISS</x:v>
      </x:c>
      <x:c r="H288" s="69" t="n">
        <x:v>0</x:v>
      </x:c>
      <x:c r="I288" t="str">
        <x:v>3-0</x:v>
      </x:c>
      <x:c r="J288" t="str">
        <x:f>IF(E288&lt;&gt;TRUE,"",IF(H288&gt;M288,"W",IF(H288&lt;M288,"L","T")))</x:f>
      </x:c>
      <x:c r="K288" t="str">
        <x:v>Florida Gators</x:v>
      </x:c>
      <x:c r="L288" t="str">
        <x:v>FLA</x:v>
      </x:c>
      <x:c r="M288" s="69" t="n">
        <x:v>0</x:v>
      </x:c>
      <x:c r="N288" t="str">
        <x:v>3-0</x:v>
      </x:c>
      <x:c r="O288" t="str">
        <x:f>IF(E288&lt;&gt;TRUE,"",IF(M288&gt;H288,"W",IF(M288&lt;H288,"L","T")))</x:f>
      </x:c>
      <x:c r="P288" s="66" t="b">
        <x:v>0</x:v>
      </x:c>
      <x:c r="Q288" s="66" t="b">
        <x:v>1</x:v>
      </x:c>
      <x:c r="R288" t="str">
        <x:v>Ben Hill Griffin Stadium</x:v>
      </x:c>
      <x:c r="S288" t="str">
        <x:v>ABC</x:v>
      </x:c>
      <x:c r="T288" t="str">
        <x:v>FLA -3</x:v>
      </x:c>
      <x:c r="U288" s="70" t="n">
        <x:v>-3</x:v>
      </x:c>
      <x:c r="V288" s="70" t="n">
        <x:v>60.5</x:v>
      </x:c>
      <x:c r="W288" t="str">
        <x:v>DraftKings</x:v>
      </x:c>
      <x:c r="X288" t="str">
        <x:v>https://www.espn.com/college-football/game/_/gameId/401856699</x:v>
      </x:c>
    </x:row>
    <x:row r="289">
      <x:c r="A289" t="str">
        <x:v>CFB</x:v>
      </x:c>
      <x:c r="B289" t="n">
        <x:v>4</x:v>
      </x:c>
      <x:c r="C289" s="68" t="n">
        <x:v>46291.8125</x:v>
      </x:c>
      <x:c r="D289" s="71" t="str">
        <x:v>pre</x:v>
      </x:c>
      <x:c r="E289" s="72" t="b">
        <x:v>0</x:v>
      </x:c>
      <x:c r="F289" t="str">
        <x:v>Oklahoma Sooners</x:v>
      </x:c>
      <x:c r="G289" t="str">
        <x:v>OU</x:v>
      </x:c>
      <x:c r="H289" s="69" t="n">
        <x:v>0</x:v>
      </x:c>
      <x:c r="I289" t="str">
        <x:v>2-1</x:v>
      </x:c>
      <x:c r="J289" t="str">
        <x:f>IF(E289&lt;&gt;TRUE,"",IF(H289&gt;M289,"W",IF(H289&lt;M289,"L","T")))</x:f>
      </x:c>
      <x:c r="K289" t="str">
        <x:v>Georgia Bulldogs</x:v>
      </x:c>
      <x:c r="L289" t="str">
        <x:v>UGA</x:v>
      </x:c>
      <x:c r="M289" s="69" t="n">
        <x:v>0</x:v>
      </x:c>
      <x:c r="N289" t="str">
        <x:v>3-0</x:v>
      </x:c>
      <x:c r="O289" t="str">
        <x:f>IF(E289&lt;&gt;TRUE,"",IF(M289&gt;H289,"W",IF(M289&lt;H289,"L","T")))</x:f>
      </x:c>
      <x:c r="P289" s="66" t="b">
        <x:v>0</x:v>
      </x:c>
      <x:c r="Q289" s="66" t="b">
        <x:v>1</x:v>
      </x:c>
      <x:c r="R289" t="str">
        <x:v>Sanford Stadium</x:v>
      </x:c>
      <x:c r="S289" t="str">
        <x:v>ESPN</x:v>
      </x:c>
      <x:c r="T289" t="str">
        <x:v>UGA -14</x:v>
      </x:c>
      <x:c r="U289" s="70" t="n">
        <x:v>-14</x:v>
      </x:c>
      <x:c r="V289" s="70" t="n">
        <x:v>43.5</x:v>
      </x:c>
      <x:c r="W289" t="str">
        <x:v>DraftKings</x:v>
      </x:c>
      <x:c r="X289" t="str">
        <x:v>https://www.espn.com/college-football/game/_/gameId/401856700</x:v>
      </x:c>
    </x:row>
    <x:row r="290">
      <x:c r="A290" t="str">
        <x:v>CFB</x:v>
      </x:c>
      <x:c r="B290" t="n">
        <x:v>4</x:v>
      </x:c>
      <x:c r="C290" s="68" t="n">
        <x:v>46291.8125</x:v>
      </x:c>
      <x:c r="D290" s="71" t="str">
        <x:v>pre</x:v>
      </x:c>
      <x:c r="E290" s="72" t="b">
        <x:v>0</x:v>
      </x:c>
      <x:c r="F290" t="str">
        <x:v>TCU Horned Frogs</x:v>
      </x:c>
      <x:c r="G290" t="str">
        <x:v>TCU</x:v>
      </x:c>
      <x:c r="H290" s="69" t="n">
        <x:v>0</x:v>
      </x:c>
      <x:c r="I290" t="str">
        <x:v>2-1</x:v>
      </x:c>
      <x:c r="J290" t="str">
        <x:f>IF(E290&lt;&gt;TRUE,"",IF(H290&gt;M290,"W",IF(H290&lt;M290,"L","T")))</x:f>
      </x:c>
      <x:c r="K290" t="str">
        <x:v>UCF Knights</x:v>
      </x:c>
      <x:c r="L290" t="str">
        <x:v>UCF</x:v>
      </x:c>
      <x:c r="M290" s="69" t="n">
        <x:v>0</x:v>
      </x:c>
      <x:c r="N290" t="str">
        <x:v>2-1</x:v>
      </x:c>
      <x:c r="O290" t="str">
        <x:f>IF(E290&lt;&gt;TRUE,"",IF(M290&gt;H290,"W",IF(M290&lt;H290,"L","T")))</x:f>
      </x:c>
      <x:c r="P290" s="66" t="b">
        <x:v>0</x:v>
      </x:c>
      <x:c r="Q290" s="66" t="b">
        <x:v>1</x:v>
      </x:c>
      <x:c r="R290" t="str">
        <x:v>Acrisure Bounce House</x:v>
      </x:c>
      <x:c r="S290" t="str">
        <x:v>FS1</x:v>
      </x:c>
      <x:c r="T290" t="str">
        <x:v>TCU -3</x:v>
      </x:c>
      <x:c r="U290" s="70" t="n">
        <x:v>3</x:v>
      </x:c>
      <x:c r="V290" s="70" t="n">
        <x:v>49.5</x:v>
      </x:c>
      <x:c r="W290" t="str">
        <x:v>DraftKings</x:v>
      </x:c>
      <x:c r="X290" t="str">
        <x:v>https://www.espn.com/college-football/game/_/gameId/401856815</x:v>
      </x:c>
    </x:row>
    <x:row r="291">
      <x:c r="A291" t="str">
        <x:v>CFB</x:v>
      </x:c>
      <x:c r="B291" t="n">
        <x:v>4</x:v>
      </x:c>
      <x:c r="C291" s="68" t="n">
        <x:v>46291.8125</x:v>
      </x:c>
      <x:c r="D291" s="71" t="str">
        <x:v>pre</x:v>
      </x:c>
      <x:c r="E291" s="72" t="b">
        <x:v>0</x:v>
      </x:c>
      <x:c r="F291" t="str">
        <x:v>Utah Utes</x:v>
      </x:c>
      <x:c r="G291" t="str">
        <x:v>UTAH</x:v>
      </x:c>
      <x:c r="H291" s="69" t="n">
        <x:v>0</x:v>
      </x:c>
      <x:c r="I291" t="str">
        <x:v>3-0</x:v>
      </x:c>
      <x:c r="J291" t="str">
        <x:f>IF(E291&lt;&gt;TRUE,"",IF(H291&gt;M291,"W",IF(H291&lt;M291,"L","T")))</x:f>
      </x:c>
      <x:c r="K291" t="str">
        <x:v>Iowa State Cyclones</x:v>
      </x:c>
      <x:c r="L291" t="str">
        <x:v>ISU</x:v>
      </x:c>
      <x:c r="M291" s="69" t="n">
        <x:v>0</x:v>
      </x:c>
      <x:c r="N291" t="str">
        <x:v>2-1</x:v>
      </x:c>
      <x:c r="O291" t="str">
        <x:f>IF(E291&lt;&gt;TRUE,"",IF(M291&gt;H291,"W",IF(M291&lt;H291,"L","T")))</x:f>
      </x:c>
      <x:c r="P291" s="66" t="b">
        <x:v>0</x:v>
      </x:c>
      <x:c r="Q291" s="66" t="b">
        <x:v>1</x:v>
      </x:c>
      <x:c r="R291" t="str">
        <x:v>Jack Trice Stadium</x:v>
      </x:c>
      <x:c r="S291" t="str">
        <x:v>FOX</x:v>
      </x:c>
      <x:c r="T291" t="str">
        <x:v>UTAH -7.5</x:v>
      </x:c>
      <x:c r="U291" s="70" t="n">
        <x:v>7.5</x:v>
      </x:c>
      <x:c r="V291" s="70" t="n">
        <x:v>49.5</x:v>
      </x:c>
      <x:c r="W291" t="str">
        <x:v>DraftKings</x:v>
      </x:c>
      <x:c r="X291" t="str">
        <x:v>https://www.espn.com/college-football/game/_/gameId/401856816</x:v>
      </x:c>
    </x:row>
    <x:row r="292">
      <x:c r="A292" t="str">
        <x:v>CFB</x:v>
      </x:c>
      <x:c r="B292" t="n">
        <x:v>4</x:v>
      </x:c>
      <x:c r="C292" s="68" t="n">
        <x:v>46291.8125</x:v>
      </x:c>
      <x:c r="D292" s="71" t="str">
        <x:v>pre</x:v>
      </x:c>
      <x:c r="E292" s="72" t="b">
        <x:v>0</x:v>
      </x:c>
      <x:c r="F292" t="str">
        <x:v>William &amp; Mary Tribe</x:v>
      </x:c>
      <x:c r="G292" t="str">
        <x:v>W&amp;M</x:v>
      </x:c>
      <x:c r="H292" s="69" t="n">
        <x:v>0</x:v>
      </x:c>
      <x:c r="I292" t="str">
        <x:v>2-2</x:v>
      </x:c>
      <x:c r="J292" t="str">
        <x:f>IF(E292&lt;&gt;TRUE,"",IF(H292&gt;M292,"W",IF(H292&lt;M292,"L","T")))</x:f>
      </x:c>
      <x:c r="K292" t="str">
        <x:v>Duke Blue Devils</x:v>
      </x:c>
      <x:c r="L292" t="str">
        <x:v>DUKE</x:v>
      </x:c>
      <x:c r="M292" s="69" t="n">
        <x:v>0</x:v>
      </x:c>
      <x:c r="N292" t="str">
        <x:v>3-0</x:v>
      </x:c>
      <x:c r="O292" t="str">
        <x:f>IF(E292&lt;&gt;TRUE,"",IF(M292&gt;H292,"W",IF(M292&lt;H292,"L","T")))</x:f>
      </x:c>
      <x:c r="P292" s="66" t="b">
        <x:v>0</x:v>
      </x:c>
      <x:c r="Q292" s="66" t="b">
        <x:v>0</x:v>
      </x:c>
      <x:c r="R292" t="str">
        <x:v>Wallace Wade Stadium</x:v>
      </x:c>
      <x:c r="S292" t="str">
        <x:v>ACCNX</x:v>
      </x:c>
      <x:c r="T292"/>
      <x:c r="U292" s="70"/>
      <x:c r="V292" s="70"/>
      <x:c r="W292"/>
      <x:c r="X292" t="str">
        <x:v>https://www.espn.com/college-football/game/_/gameId/401858244</x:v>
      </x:c>
    </x:row>
    <x:row r="293">
      <x:c r="A293" t="str">
        <x:v>CFB</x:v>
      </x:c>
      <x:c r="B293" t="n">
        <x:v>4</x:v>
      </x:c>
      <x:c r="C293" s="68" t="n">
        <x:v>46291.8125</x:v>
      </x:c>
      <x:c r="D293" s="71" t="str">
        <x:v>pre</x:v>
      </x:c>
      <x:c r="E293" s="72" t="b">
        <x:v>0</x:v>
      </x:c>
      <x:c r="F293" t="str">
        <x:v>Iowa Hawkeyes</x:v>
      </x:c>
      <x:c r="G293" t="str">
        <x:v>IOWA</x:v>
      </x:c>
      <x:c r="H293" s="69" t="n">
        <x:v>0</x:v>
      </x:c>
      <x:c r="I293" t="str">
        <x:v>3-0</x:v>
      </x:c>
      <x:c r="J293" t="str">
        <x:f>IF(E293&lt;&gt;TRUE,"",IF(H293&gt;M293,"W",IF(H293&lt;M293,"L","T")))</x:f>
      </x:c>
      <x:c r="K293" t="str">
        <x:v>Michigan Wolverines</x:v>
      </x:c>
      <x:c r="L293" t="str">
        <x:v>MICH</x:v>
      </x:c>
      <x:c r="M293" s="69" t="n">
        <x:v>0</x:v>
      </x:c>
      <x:c r="N293" t="str">
        <x:v>3-0</x:v>
      </x:c>
      <x:c r="O293" t="str">
        <x:f>IF(E293&lt;&gt;TRUE,"",IF(M293&gt;H293,"W",IF(M293&lt;H293,"L","T")))</x:f>
      </x:c>
      <x:c r="P293" s="66" t="b">
        <x:v>0</x:v>
      </x:c>
      <x:c r="Q293" s="66" t="b">
        <x:v>1</x:v>
      </x:c>
      <x:c r="R293" t="str">
        <x:v>Michigan Stadium</x:v>
      </x:c>
      <x:c r="S293" t="str">
        <x:v>CBS</x:v>
      </x:c>
      <x:c r="T293" t="str">
        <x:v>MICH -4.5</x:v>
      </x:c>
      <x:c r="U293" s="70" t="n">
        <x:v>-4.5</x:v>
      </x:c>
      <x:c r="V293" s="70" t="n">
        <x:v>37.5</x:v>
      </x:c>
      <x:c r="W293" t="str">
        <x:v>DraftKings</x:v>
      </x:c>
      <x:c r="X293" t="str">
        <x:v>https://www.espn.com/college-football/game/_/gameId/401858463</x:v>
      </x:c>
    </x:row>
    <x:row r="294">
      <x:c r="A294" t="str">
        <x:v>CFB</x:v>
      </x:c>
      <x:c r="B294" t="n">
        <x:v>4</x:v>
      </x:c>
      <x:c r="C294" s="68" t="n">
        <x:v>46291.8125</x:v>
      </x:c>
      <x:c r="D294" s="71" t="str">
        <x:v>pre</x:v>
      </x:c>
      <x:c r="E294" s="72" t="b">
        <x:v>0</x:v>
      </x:c>
      <x:c r="F294" t="str">
        <x:v>Boise State Broncos</x:v>
      </x:c>
      <x:c r="G294" t="str">
        <x:v>BOIS</x:v>
      </x:c>
      <x:c r="H294" s="69" t="n">
        <x:v>0</x:v>
      </x:c>
      <x:c r="I294" t="str">
        <x:v>2-1</x:v>
      </x:c>
      <x:c r="J294" t="str">
        <x:f>IF(E294&lt;&gt;TRUE,"",IF(H294&gt;M294,"W",IF(H294&lt;M294,"L","T")))</x:f>
      </x:c>
      <x:c r="K294" t="str">
        <x:v>Western Michigan Broncos</x:v>
      </x:c>
      <x:c r="L294" t="str">
        <x:v>WMU</x:v>
      </x:c>
      <x:c r="M294" s="69" t="n">
        <x:v>0</x:v>
      </x:c>
      <x:c r="N294" t="str">
        <x:v>2-1</x:v>
      </x:c>
      <x:c r="O294" t="str">
        <x:f>IF(E294&lt;&gt;TRUE,"",IF(M294&gt;H294,"W",IF(M294&lt;H294,"L","T")))</x:f>
      </x:c>
      <x:c r="P294" s="66" t="b">
        <x:v>0</x:v>
      </x:c>
      <x:c r="Q294" s="66" t="b">
        <x:v>0</x:v>
      </x:c>
      <x:c r="R294" t="str">
        <x:v>Waldo Stadium</x:v>
      </x:c>
      <x:c r="S294" t="str">
        <x:v>ESPN2</x:v>
      </x:c>
      <x:c r="T294" t="str">
        <x:v>BOIS -7</x:v>
      </x:c>
      <x:c r="U294" s="70" t="n">
        <x:v>7</x:v>
      </x:c>
      <x:c r="V294" s="70" t="n">
        <x:v>48.5</x:v>
      </x:c>
      <x:c r="W294" t="str">
        <x:v>DraftKings</x:v>
      </x:c>
      <x:c r="X294" t="str">
        <x:v>https://www.espn.com/college-football/game/_/gameId/401860897</x:v>
      </x:c>
    </x:row>
    <x:row r="295">
      <x:c r="A295" t="str">
        <x:v>CFB</x:v>
      </x:c>
      <x:c r="B295" t="n">
        <x:v>4</x:v>
      </x:c>
      <x:c r="C295" s="68" t="n">
        <x:v>46291.8125</x:v>
      </x:c>
      <x:c r="D295" s="71" t="str">
        <x:v>pre</x:v>
      </x:c>
      <x:c r="E295" s="72" t="b">
        <x:v>0</x:v>
      </x:c>
      <x:c r="F295" t="str">
        <x:v>UConn Huskies</x:v>
      </x:c>
      <x:c r="G295" t="str">
        <x:v>CONN</x:v>
      </x:c>
      <x:c r="H295" s="69" t="n">
        <x:v>0</x:v>
      </x:c>
      <x:c r="I295" t="str">
        <x:v>2-1</x:v>
      </x:c>
      <x:c r="J295" t="str">
        <x:f>IF(E295&lt;&gt;TRUE,"",IF(H295&gt;M295,"W",IF(H295&lt;M295,"L","T")))</x:f>
      </x:c>
      <x:c r="K295" t="str">
        <x:v>Miami (OH) RedHawks</x:v>
      </x:c>
      <x:c r="L295" t="str">
        <x:v>M-OH</x:v>
      </x:c>
      <x:c r="M295" s="69" t="n">
        <x:v>0</x:v>
      </x:c>
      <x:c r="N295" t="str">
        <x:v>1-2</x:v>
      </x:c>
      <x:c r="O295" t="str">
        <x:f>IF(E295&lt;&gt;TRUE,"",IF(M295&gt;H295,"W",IF(M295&lt;H295,"L","T")))</x:f>
      </x:c>
      <x:c r="P295" s="66" t="b">
        <x:v>0</x:v>
      </x:c>
      <x:c r="Q295" s="66" t="b">
        <x:v>0</x:v>
      </x:c>
      <x:c r="R295" t="str">
        <x:v>Yager Stadium</x:v>
      </x:c>
      <x:c r="S295" t="str">
        <x:v>ESPN+</x:v>
      </x:c>
      <x:c r="T295" t="str">
        <x:v>M-OH -4.5</x:v>
      </x:c>
      <x:c r="U295" s="70" t="n">
        <x:v>-4.5</x:v>
      </x:c>
      <x:c r="V295" s="70" t="n">
        <x:v>51.5</x:v>
      </x:c>
      <x:c r="W295" t="str">
        <x:v>DraftKings</x:v>
      </x:c>
      <x:c r="X295" t="str">
        <x:v>https://www.espn.com/college-football/game/_/gameId/401861970</x:v>
      </x:c>
    </x:row>
    <x:row r="296">
      <x:c r="A296" t="str">
        <x:v>CFB</x:v>
      </x:c>
      <x:c r="B296" t="n">
        <x:v>4</x:v>
      </x:c>
      <x:c r="C296" s="68" t="n">
        <x:v>46291.8125</x:v>
      </x:c>
      <x:c r="D296" s="71" t="str">
        <x:v>pre</x:v>
      </x:c>
      <x:c r="E296" s="72" t="b">
        <x:v>0</x:v>
      </x:c>
      <x:c r="F296" t="str">
        <x:v>New Mexico Lobos</x:v>
      </x:c>
      <x:c r="G296" t="str">
        <x:v>UNM</x:v>
      </x:c>
      <x:c r="H296" s="69" t="n">
        <x:v>0</x:v>
      </x:c>
      <x:c r="I296" t="str">
        <x:v>2-1</x:v>
      </x:c>
      <x:c r="J296" t="str">
        <x:f>IF(E296&lt;&gt;TRUE,"",IF(H296&gt;M296,"W",IF(H296&lt;M296,"L","T")))</x:f>
      </x:c>
      <x:c r="K296" t="str">
        <x:v>New Mexico State Aggies</x:v>
      </x:c>
      <x:c r="L296" t="str">
        <x:v>NMSU</x:v>
      </x:c>
      <x:c r="M296" s="69" t="n">
        <x:v>0</x:v>
      </x:c>
      <x:c r="N296" t="str">
        <x:v>1-2</x:v>
      </x:c>
      <x:c r="O296" t="str">
        <x:f>IF(E296&lt;&gt;TRUE,"",IF(M296&gt;H296,"W",IF(M296&lt;H296,"L","T")))</x:f>
      </x:c>
      <x:c r="P296" s="66" t="b">
        <x:v>0</x:v>
      </x:c>
      <x:c r="Q296" s="66" t="b">
        <x:v>0</x:v>
      </x:c>
      <x:c r="R296" t="str">
        <x:v>Aggie Memorial Stadium</x:v>
      </x:c>
      <x:c r="S296" t="str">
        <x:v>CBSSN</x:v>
      </x:c>
      <x:c r="T296" t="str">
        <x:v>UNM -12.5</x:v>
      </x:c>
      <x:c r="U296" s="70" t="n">
        <x:v>12.5</x:v>
      </x:c>
      <x:c r="V296" s="70" t="n">
        <x:v>48.5</x:v>
      </x:c>
      <x:c r="W296" t="str">
        <x:v>DraftKings</x:v>
      </x:c>
      <x:c r="X296" t="str">
        <x:v>https://www.espn.com/college-football/game/_/gameId/401864579</x:v>
      </x:c>
    </x:row>
    <x:row r="297">
      <x:c r="A297" t="str">
        <x:v>CFB</x:v>
      </x:c>
      <x:c r="B297" t="n">
        <x:v>4</x:v>
      </x:c>
      <x:c r="C297" s="68" t="n">
        <x:v>46291.8125</x:v>
      </x:c>
      <x:c r="D297" s="71" t="str">
        <x:v>pre</x:v>
      </x:c>
      <x:c r="E297" s="72" t="b">
        <x:v>0</x:v>
      </x:c>
      <x:c r="F297" t="str">
        <x:v>Robert Morris Colonials</x:v>
      </x:c>
      <x:c r="G297" t="str">
        <x:v>RMU</x:v>
      </x:c>
      <x:c r="H297" s="69" t="n">
        <x:v>0</x:v>
      </x:c>
      <x:c r="I297" t="str">
        <x:v>2-1</x:v>
      </x:c>
      <x:c r="J297" t="str">
        <x:f>IF(E297&lt;&gt;TRUE,"",IF(H297&gt;M297,"W",IF(H297&lt;M297,"L","T")))</x:f>
      </x:c>
      <x:c r="K297" t="str">
        <x:v>Buffalo Bulls</x:v>
      </x:c>
      <x:c r="L297" t="str">
        <x:v>BUFF</x:v>
      </x:c>
      <x:c r="M297" s="69" t="n">
        <x:v>0</x:v>
      </x:c>
      <x:c r="N297" t="str">
        <x:v>1-2</x:v>
      </x:c>
      <x:c r="O297" t="str">
        <x:f>IF(E297&lt;&gt;TRUE,"",IF(M297&gt;H297,"W",IF(M297&lt;H297,"L","T")))</x:f>
      </x:c>
      <x:c r="P297" s="66" t="b">
        <x:v>0</x:v>
      </x:c>
      <x:c r="Q297" s="66" t="b">
        <x:v>0</x:v>
      </x:c>
      <x:c r="R297" t="str">
        <x:v>Broadview Stadium</x:v>
      </x:c>
      <x:c r="S297" t="str">
        <x:v>ESPN+</x:v>
      </x:c>
      <x:c r="T297"/>
      <x:c r="U297" s="70"/>
      <x:c r="V297" s="70"/>
      <x:c r="W297"/>
      <x:c r="X297" t="str">
        <x:v>https://www.espn.com/college-football/game/_/gameId/401866426</x:v>
      </x:c>
    </x:row>
    <x:row r="298">
      <x:c r="A298" t="str">
        <x:v>CFB</x:v>
      </x:c>
      <x:c r="B298" t="n">
        <x:v>4</x:v>
      </x:c>
      <x:c r="C298" s="68" t="n">
        <x:v>46291.8125</x:v>
      </x:c>
      <x:c r="D298" s="71" t="str">
        <x:v>pre</x:v>
      </x:c>
      <x:c r="E298" s="72" t="b">
        <x:v>0</x:v>
      </x:c>
      <x:c r="F298" t="str">
        <x:v>Stonehill Skyhawks</x:v>
      </x:c>
      <x:c r="G298" t="str">
        <x:v>STO</x:v>
      </x:c>
      <x:c r="H298" s="69" t="n">
        <x:v>0</x:v>
      </x:c>
      <x:c r="I298" t="str">
        <x:v>1-3</x:v>
      </x:c>
      <x:c r="J298" t="str">
        <x:f>IF(E298&lt;&gt;TRUE,"",IF(H298&gt;M298,"W",IF(H298&lt;M298,"L","T")))</x:f>
      </x:c>
      <x:c r="K298" t="str">
        <x:v>Ohio Bobcats</x:v>
      </x:c>
      <x:c r="L298" t="str">
        <x:v>OHIO</x:v>
      </x:c>
      <x:c r="M298" s="69" t="n">
        <x:v>0</x:v>
      </x:c>
      <x:c r="N298" t="str">
        <x:v>1-2</x:v>
      </x:c>
      <x:c r="O298" t="str">
        <x:f>IF(E298&lt;&gt;TRUE,"",IF(M298&gt;H298,"W",IF(M298&lt;H298,"L","T")))</x:f>
      </x:c>
      <x:c r="P298" s="66" t="b">
        <x:v>0</x:v>
      </x:c>
      <x:c r="Q298" s="66" t="b">
        <x:v>0</x:v>
      </x:c>
      <x:c r="R298" t="str">
        <x:v>Peden Stadium</x:v>
      </x:c>
      <x:c r="S298" t="str">
        <x:v>ESPN+</x:v>
      </x:c>
      <x:c r="T298"/>
      <x:c r="U298" s="70"/>
      <x:c r="V298" s="70"/>
      <x:c r="W298"/>
      <x:c r="X298" t="str">
        <x:v>https://www.espn.com/college-football/game/_/gameId/401866428</x:v>
      </x:c>
    </x:row>
    <x:row r="299">
      <x:c r="A299" t="str">
        <x:v>CFB</x:v>
      </x:c>
      <x:c r="B299" t="n">
        <x:v>4</x:v>
      </x:c>
      <x:c r="C299" s="68" t="n">
        <x:v>46291.8125</x:v>
      </x:c>
      <x:c r="D299" s="71" t="str">
        <x:v>pre</x:v>
      </x:c>
      <x:c r="E299" s="72" t="b">
        <x:v>0</x:v>
      </x:c>
      <x:c r="F299" t="str">
        <x:v>Gardner-Webb Runnin' Bulldogs</x:v>
      </x:c>
      <x:c r="G299" t="str">
        <x:v>GWEB</x:v>
      </x:c>
      <x:c r="H299" s="69" t="n">
        <x:v>0</x:v>
      </x:c>
      <x:c r="I299" t="str">
        <x:v>1-3</x:v>
      </x:c>
      <x:c r="J299" t="str">
        <x:f>IF(E299&lt;&gt;TRUE,"",IF(H299&gt;M299,"W",IF(H299&lt;M299,"L","T")))</x:f>
      </x:c>
      <x:c r="K299" t="str">
        <x:v>Marshall Thundering Herd</x:v>
      </x:c>
      <x:c r="L299" t="str">
        <x:v>MRSH</x:v>
      </x:c>
      <x:c r="M299" s="69" t="n">
        <x:v>0</x:v>
      </x:c>
      <x:c r="N299" t="str">
        <x:v>2-1</x:v>
      </x:c>
      <x:c r="O299" t="str">
        <x:f>IF(E299&lt;&gt;TRUE,"",IF(M299&gt;H299,"W",IF(M299&lt;H299,"L","T")))</x:f>
      </x:c>
      <x:c r="P299" s="66" t="b">
        <x:v>0</x:v>
      </x:c>
      <x:c r="Q299" s="66" t="b">
        <x:v>0</x:v>
      </x:c>
      <x:c r="R299" t="str">
        <x:v>Joan C. Edwards Stadium</x:v>
      </x:c>
      <x:c r="S299" t="str">
        <x:v>ESPN+</x:v>
      </x:c>
      <x:c r="T299"/>
      <x:c r="U299" s="70"/>
      <x:c r="V299" s="70"/>
      <x:c r="W299"/>
      <x:c r="X299" t="str">
        <x:v>https://www.espn.com/college-football/game/_/gameId/401868188</x:v>
      </x:c>
    </x:row>
    <x:row r="300">
      <x:c r="A300" t="str">
        <x:v>CFB</x:v>
      </x:c>
      <x:c r="B300" t="n">
        <x:v>4</x:v>
      </x:c>
      <x:c r="C300" s="68" t="n">
        <x:v>46291.833333333336</x:v>
      </x:c>
      <x:c r="D300" s="71" t="str">
        <x:v>pre</x:v>
      </x:c>
      <x:c r="E300" s="72" t="b">
        <x:v>0</x:v>
      </x:c>
      <x:c r="F300" t="str">
        <x:v>Houston Cougars</x:v>
      </x:c>
      <x:c r="G300" t="str">
        <x:v>HOU</x:v>
      </x:c>
      <x:c r="H300" s="69" t="n">
        <x:v>0</x:v>
      </x:c>
      <x:c r="I300" t="str">
        <x:v>2-1</x:v>
      </x:c>
      <x:c r="J300" t="str">
        <x:f>IF(E300&lt;&gt;TRUE,"",IF(H300&gt;M300,"W",IF(H300&lt;M300,"L","T")))</x:f>
      </x:c>
      <x:c r="K300" t="str">
        <x:v>Georgia Southern Eagles</x:v>
      </x:c>
      <x:c r="L300" t="str">
        <x:v>GASO</x:v>
      </x:c>
      <x:c r="M300" s="69" t="n">
        <x:v>0</x:v>
      </x:c>
      <x:c r="N300" t="str">
        <x:v>1-2</x:v>
      </x:c>
      <x:c r="O300" t="str">
        <x:f>IF(E300&lt;&gt;TRUE,"",IF(M300&gt;H300,"W",IF(M300&lt;H300,"L","T")))</x:f>
      </x:c>
      <x:c r="P300" s="66" t="b">
        <x:v>0</x:v>
      </x:c>
      <x:c r="Q300" s="66" t="b">
        <x:v>0</x:v>
      </x:c>
      <x:c r="R300" t="str">
        <x:v>Allen E. Paulson Stadium</x:v>
      </x:c>
      <x:c r="S300" t="str">
        <x:v>ESPNU</x:v>
      </x:c>
      <x:c r="T300" t="str">
        <x:v>HOU -17.5</x:v>
      </x:c>
      <x:c r="U300" s="70" t="n">
        <x:v>17.5</x:v>
      </x:c>
      <x:c r="V300" s="70" t="n">
        <x:v>54.5</x:v>
      </x:c>
      <x:c r="W300" t="str">
        <x:v>DraftKings</x:v>
      </x:c>
      <x:c r="X300" t="str">
        <x:v>https://www.espn.com/college-football/game/_/gameId/401856806</x:v>
      </x:c>
    </x:row>
    <x:row r="301">
      <x:c r="A301" t="str">
        <x:v>CFB</x:v>
      </x:c>
      <x:c r="B301" t="n">
        <x:v>4</x:v>
      </x:c>
      <x:c r="C301" s="68" t="n">
        <x:v>46291.833333333336</x:v>
      </x:c>
      <x:c r="D301" s="71" t="str">
        <x:v>pre</x:v>
      </x:c>
      <x:c r="E301" s="72" t="b">
        <x:v>0</x:v>
      </x:c>
      <x:c r="F301" t="str">
        <x:v>North Carolina Central Eagles</x:v>
      </x:c>
      <x:c r="G301" t="str">
        <x:v>NCCU</x:v>
      </x:c>
      <x:c r="H301" s="69" t="n">
        <x:v>0</x:v>
      </x:c>
      <x:c r="I301" t="str">
        <x:v>2-2</x:v>
      </x:c>
      <x:c r="J301" t="str">
        <x:f>IF(E301&lt;&gt;TRUE,"",IF(H301&gt;M301,"W",IF(H301&lt;M301,"L","T")))</x:f>
      </x:c>
      <x:c r="K301" t="str">
        <x:v>East Carolina Pirates</x:v>
      </x:c>
      <x:c r="L301" t="str">
        <x:v>ECU</x:v>
      </x:c>
      <x:c r="M301" s="69" t="n">
        <x:v>0</x:v>
      </x:c>
      <x:c r="N301" t="str">
        <x:v>1-2</x:v>
      </x:c>
      <x:c r="O301" t="str">
        <x:f>IF(E301&lt;&gt;TRUE,"",IF(M301&gt;H301,"W",IF(M301&lt;H301,"L","T")))</x:f>
      </x:c>
      <x:c r="P301" s="66" t="b">
        <x:v>0</x:v>
      </x:c>
      <x:c r="Q301" s="66" t="b">
        <x:v>0</x:v>
      </x:c>
      <x:c r="R301" t="str">
        <x:v>Dowdy-Ficklen Stadium</x:v>
      </x:c>
      <x:c r="S301" t="str">
        <x:v>ESPN+</x:v>
      </x:c>
      <x:c r="T301"/>
      <x:c r="U301" s="70"/>
      <x:c r="V301" s="70"/>
      <x:c r="W301"/>
      <x:c r="X301" t="str">
        <x:v>https://www.espn.com/college-football/game/_/gameId/401862781</x:v>
      </x:c>
    </x:row>
    <x:row r="302">
      <x:c r="A302" t="str">
        <x:v>CFB</x:v>
      </x:c>
      <x:c r="B302" t="n">
        <x:v>4</x:v>
      </x:c>
      <x:c r="C302" s="68" t="n">
        <x:v>46291.84375</x:v>
      </x:c>
      <x:c r="D302" s="71" t="str">
        <x:v>pre</x:v>
      </x:c>
      <x:c r="E302" s="72" t="b">
        <x:v>0</x:v>
      </x:c>
      <x:c r="F302" t="str">
        <x:v>Vanderbilt Commodores</x:v>
      </x:c>
      <x:c r="G302" t="str">
        <x:v>VAN</x:v>
      </x:c>
      <x:c r="H302" s="69" t="n">
        <x:v>0</x:v>
      </x:c>
      <x:c r="I302" t="str">
        <x:v>3-0</x:v>
      </x:c>
      <x:c r="J302" t="str">
        <x:f>IF(E302&lt;&gt;TRUE,"",IF(H302&gt;M302,"W",IF(H302&lt;M302,"L","T")))</x:f>
      </x:c>
      <x:c r="K302" t="str">
        <x:v>Auburn Tigers</x:v>
      </x:c>
      <x:c r="L302" t="str">
        <x:v>AUB</x:v>
      </x:c>
      <x:c r="M302" s="69" t="n">
        <x:v>0</x:v>
      </x:c>
      <x:c r="N302" t="str">
        <x:v>2-1</x:v>
      </x:c>
      <x:c r="O302" t="str">
        <x:f>IF(E302&lt;&gt;TRUE,"",IF(M302&gt;H302,"W",IF(M302&lt;H302,"L","T")))</x:f>
      </x:c>
      <x:c r="P302" s="66" t="b">
        <x:v>0</x:v>
      </x:c>
      <x:c r="Q302" s="66" t="b">
        <x:v>1</x:v>
      </x:c>
      <x:c r="R302" t="str">
        <x:v>Jordan-Hare Stadium</x:v>
      </x:c>
      <x:c r="S302" t="str">
        <x:v>SEC Network</x:v>
      </x:c>
      <x:c r="T302" t="str">
        <x:v>AUB -9.5</x:v>
      </x:c>
      <x:c r="U302" s="70" t="n">
        <x:v>-9.5</x:v>
      </x:c>
      <x:c r="V302" s="70" t="n">
        <x:v>55.5</x:v>
      </x:c>
      <x:c r="W302" t="str">
        <x:v>DraftKings</x:v>
      </x:c>
      <x:c r="X302" t="str">
        <x:v>https://www.espn.com/college-football/game/_/gameId/401856698</x:v>
      </x:c>
    </x:row>
    <x:row r="303">
      <x:c r="A303" t="str">
        <x:v>CFB</x:v>
      </x:c>
      <x:c r="B303" t="n">
        <x:v>4</x:v>
      </x:c>
      <x:c r="C303" s="68" t="n">
        <x:v>46291.875</x:v>
      </x:c>
      <x:c r="D303" s="71" t="str">
        <x:v>pre</x:v>
      </x:c>
      <x:c r="E303" s="72" t="b">
        <x:v>0</x:v>
      </x:c>
      <x:c r="F303" t="str">
        <x:v>Nebraska Cornhuskers</x:v>
      </x:c>
      <x:c r="G303" t="str">
        <x:v>NEB</x:v>
      </x:c>
      <x:c r="H303" s="69" t="n">
        <x:v>0</x:v>
      </x:c>
      <x:c r="I303" t="str">
        <x:v>3-0</x:v>
      </x:c>
      <x:c r="J303" t="str">
        <x:f>IF(E303&lt;&gt;TRUE,"",IF(H303&gt;M303,"W",IF(H303&lt;M303,"L","T")))</x:f>
      </x:c>
      <x:c r="K303" t="str">
        <x:v>Michigan State Spartans</x:v>
      </x:c>
      <x:c r="L303" t="str">
        <x:v>MSU</x:v>
      </x:c>
      <x:c r="M303" s="69" t="n">
        <x:v>0</x:v>
      </x:c>
      <x:c r="N303" t="str">
        <x:v>2-1</x:v>
      </x:c>
      <x:c r="O303" t="str">
        <x:f>IF(E303&lt;&gt;TRUE,"",IF(M303&gt;H303,"W",IF(M303&lt;H303,"L","T")))</x:f>
      </x:c>
      <x:c r="P303" s="66" t="b">
        <x:v>0</x:v>
      </x:c>
      <x:c r="Q303" s="66" t="b">
        <x:v>1</x:v>
      </x:c>
      <x:c r="R303" t="str">
        <x:v>Spartan Stadium</x:v>
      </x:c>
      <x:c r="S303" t="str">
        <x:v>BTN</x:v>
      </x:c>
      <x:c r="T303" t="str">
        <x:v>NEB -5.5</x:v>
      </x:c>
      <x:c r="U303" s="70" t="n">
        <x:v>5.5</x:v>
      </x:c>
      <x:c r="V303" s="70" t="n">
        <x:v>48.5</x:v>
      </x:c>
      <x:c r="W303" t="str">
        <x:v>DraftKings</x:v>
      </x:c>
      <x:c r="X303" t="str">
        <x:v>https://www.espn.com/college-football/game/_/gameId/401858464</x:v>
      </x:c>
    </x:row>
    <x:row r="304">
      <x:c r="A304" t="str">
        <x:v>CFB</x:v>
      </x:c>
      <x:c r="B304" t="n">
        <x:v>4</x:v>
      </x:c>
      <x:c r="C304" s="68" t="n">
        <x:v>46291.875</x:v>
      </x:c>
      <x:c r="D304" s="71" t="str">
        <x:v>pre</x:v>
      </x:c>
      <x:c r="E304" s="72" t="b">
        <x:v>0</x:v>
      </x:c>
      <x:c r="F304" t="str">
        <x:v>Wisconsin Badgers</x:v>
      </x:c>
      <x:c r="G304" t="str">
        <x:v>WIS</x:v>
      </x:c>
      <x:c r="H304" s="69" t="n">
        <x:v>0</x:v>
      </x:c>
      <x:c r="I304" t="str">
        <x:v>2-1</x:v>
      </x:c>
      <x:c r="J304" t="str">
        <x:f>IF(E304&lt;&gt;TRUE,"",IF(H304&gt;M304,"W",IF(H304&lt;M304,"L","T")))</x:f>
      </x:c>
      <x:c r="K304" t="str">
        <x:v>Penn State Nittany Lions</x:v>
      </x:c>
      <x:c r="L304" t="str">
        <x:v>PSU</x:v>
      </x:c>
      <x:c r="M304" s="69" t="n">
        <x:v>0</x:v>
      </x:c>
      <x:c r="N304" t="str">
        <x:v>3-0</x:v>
      </x:c>
      <x:c r="O304" t="str">
        <x:f>IF(E304&lt;&gt;TRUE,"",IF(M304&gt;H304,"W",IF(M304&lt;H304,"L","T")))</x:f>
      </x:c>
      <x:c r="P304" s="66" t="b">
        <x:v>0</x:v>
      </x:c>
      <x:c r="Q304" s="66" t="b">
        <x:v>1</x:v>
      </x:c>
      <x:c r="R304" t="str">
        <x:v>Beaver Stadium</x:v>
      </x:c>
      <x:c r="S304" t="str">
        <x:v>Peacock</x:v>
      </x:c>
      <x:c r="T304" t="str">
        <x:v>PSU -10</x:v>
      </x:c>
      <x:c r="U304" s="70" t="n">
        <x:v>-10</x:v>
      </x:c>
      <x:c r="V304" s="70" t="n">
        <x:v>45.5</x:v>
      </x:c>
      <x:c r="W304" t="str">
        <x:v>DraftKings</x:v>
      </x:c>
      <x:c r="X304" t="str">
        <x:v>https://www.espn.com/college-football/game/_/gameId/401858466</x:v>
      </x:c>
    </x:row>
    <x:row r="305">
      <x:c r="A305" t="str">
        <x:v>CFB</x:v>
      </x:c>
      <x:c r="B305" t="n">
        <x:v>4</x:v>
      </x:c>
      <x:c r="C305" s="68" t="n">
        <x:v>46291.875</x:v>
      </x:c>
      <x:c r="D305" s="71" t="str">
        <x:v>pre</x:v>
      </x:c>
      <x:c r="E305" s="72" t="b">
        <x:v>0</x:v>
      </x:c>
      <x:c r="F305" t="str">
        <x:v>South Florida Bulls</x:v>
      </x:c>
      <x:c r="G305" t="str">
        <x:v>USF</x:v>
      </x:c>
      <x:c r="H305" s="69" t="n">
        <x:v>0</x:v>
      </x:c>
      <x:c r="I305" t="str">
        <x:v>3-0</x:v>
      </x:c>
      <x:c r="J305" t="str">
        <x:f>IF(E305&lt;&gt;TRUE,"",IF(H305&gt;M305,"W",IF(H305&lt;M305,"L","T")))</x:f>
      </x:c>
      <x:c r="K305" t="str">
        <x:v>Bowling Green Falcons</x:v>
      </x:c>
      <x:c r="L305" t="str">
        <x:v>BGSU</x:v>
      </x:c>
      <x:c r="M305" s="69" t="n">
        <x:v>0</x:v>
      </x:c>
      <x:c r="N305" t="str">
        <x:v>0-3</x:v>
      </x:c>
      <x:c r="O305" t="str">
        <x:f>IF(E305&lt;&gt;TRUE,"",IF(M305&gt;H305,"W",IF(M305&lt;H305,"L","T")))</x:f>
      </x:c>
      <x:c r="P305" s="66" t="b">
        <x:v>0</x:v>
      </x:c>
      <x:c r="Q305" s="66" t="b">
        <x:v>0</x:v>
      </x:c>
      <x:c r="R305" t="str">
        <x:v>Doyt L. Perry Stadium</x:v>
      </x:c>
      <x:c r="S305" t="str">
        <x:v>ESPN+</x:v>
      </x:c>
      <x:c r="T305" t="str">
        <x:v>USF -17.5</x:v>
      </x:c>
      <x:c r="U305" s="70" t="n">
        <x:v>17.5</x:v>
      </x:c>
      <x:c r="V305" s="70" t="n">
        <x:v>49.5</x:v>
      </x:c>
      <x:c r="W305" t="str">
        <x:v>DraftKings</x:v>
      </x:c>
      <x:c r="X305" t="str">
        <x:v>https://www.espn.com/college-football/game/_/gameId/401862785</x:v>
      </x:c>
    </x:row>
    <x:row r="306">
      <x:c r="A306" t="str">
        <x:v>CFB</x:v>
      </x:c>
      <x:c r="B306" t="n">
        <x:v>4</x:v>
      </x:c>
      <x:c r="C306" s="68" t="n">
        <x:v>46291.916666666664</x:v>
      </x:c>
      <x:c r="D306" s="71" t="str">
        <x:v>pre</x:v>
      </x:c>
      <x:c r="E306" s="72" t="b">
        <x:v>0</x:v>
      </x:c>
      <x:c r="F306" t="str">
        <x:v>Delaware Blue Hens</x:v>
      </x:c>
      <x:c r="G306" t="str">
        <x:v>DEL</x:v>
      </x:c>
      <x:c r="H306" s="69" t="n">
        <x:v>0</x:v>
      </x:c>
      <x:c r="I306" t="str">
        <x:v>2-1</x:v>
      </x:c>
      <x:c r="J306" t="str">
        <x:f>IF(E306&lt;&gt;TRUE,"",IF(H306&gt;M306,"W",IF(H306&lt;M306,"L","T")))</x:f>
      </x:c>
      <x:c r="K306" t="str">
        <x:v>Virginia Cavaliers</x:v>
      </x:c>
      <x:c r="L306" t="str">
        <x:v>UVA</x:v>
      </x:c>
      <x:c r="M306" s="69" t="n">
        <x:v>0</x:v>
      </x:c>
      <x:c r="N306" t="str">
        <x:v>2-1</x:v>
      </x:c>
      <x:c r="O306" t="str">
        <x:f>IF(E306&lt;&gt;TRUE,"",IF(M306&gt;H306,"W",IF(M306&lt;H306,"L","T")))</x:f>
      </x:c>
      <x:c r="P306" s="66" t="b">
        <x:v>0</x:v>
      </x:c>
      <x:c r="Q306" s="66" t="b">
        <x:v>0</x:v>
      </x:c>
      <x:c r="R306" t="str">
        <x:v>Scott Stadium</x:v>
      </x:c>
      <x:c r="S306" t="str">
        <x:v>ACC Network</x:v>
      </x:c>
      <x:c r="T306" t="str">
        <x:v>UVA -20.5</x:v>
      </x:c>
      <x:c r="U306" s="70" t="n">
        <x:v>-20.5</x:v>
      </x:c>
      <x:c r="V306" s="70" t="n">
        <x:v>52.5</x:v>
      </x:c>
      <x:c r="W306" t="str">
        <x:v>DraftKings</x:v>
      </x:c>
      <x:c r="X306" t="str">
        <x:v>https://www.espn.com/college-football/game/_/gameId/401858239</x:v>
      </x:c>
    </x:row>
    <x:row r="307">
      <x:c r="A307" t="str">
        <x:v>CFB</x:v>
      </x:c>
      <x:c r="B307" t="n">
        <x:v>4</x:v>
      </x:c>
      <x:c r="C307" s="68" t="n">
        <x:v>46291.916666666664</x:v>
      </x:c>
      <x:c r="D307" s="71" t="str">
        <x:v>pre</x:v>
      </x:c>
      <x:c r="E307" s="72" t="b">
        <x:v>0</x:v>
      </x:c>
      <x:c r="F307" t="str">
        <x:v>Incarnate Word Cardinals</x:v>
      </x:c>
      <x:c r="G307" t="str">
        <x:v>UIW</x:v>
      </x:c>
      <x:c r="H307" s="69" t="n">
        <x:v>0</x:v>
      </x:c>
      <x:c r="I307" t="str">
        <x:v>2-1</x:v>
      </x:c>
      <x:c r="J307" t="str">
        <x:f>IF(E307&lt;&gt;TRUE,"",IF(H307&gt;M307,"W",IF(H307&lt;M307,"L","T")))</x:f>
      </x:c>
      <x:c r="K307" t="str">
        <x:v>Texas State Bobcats</x:v>
      </x:c>
      <x:c r="L307" t="str">
        <x:v>TXST</x:v>
      </x:c>
      <x:c r="M307" s="69" t="n">
        <x:v>0</x:v>
      </x:c>
      <x:c r="N307" t="str">
        <x:v>1-2</x:v>
      </x:c>
      <x:c r="O307" t="str">
        <x:f>IF(E307&lt;&gt;TRUE,"",IF(M307&gt;H307,"W",IF(M307&lt;H307,"L","T")))</x:f>
      </x:c>
      <x:c r="P307" s="66" t="b">
        <x:v>0</x:v>
      </x:c>
      <x:c r="Q307" s="66" t="b">
        <x:v>0</x:v>
      </x:c>
      <x:c r="R307" t="str">
        <x:v>UFCU Stadium</x:v>
      </x:c>
      <x:c r="S307" t="str">
        <x:v>USA Net</x:v>
      </x:c>
      <x:c r="T307"/>
      <x:c r="U307" s="70"/>
      <x:c r="V307" s="70"/>
      <x:c r="W307"/>
      <x:c r="X307" t="str">
        <x:v>https://www.espn.com/college-football/game/_/gameId/401860892</x:v>
      </x:c>
    </x:row>
    <x:row r="308">
      <x:c r="A308" t="str">
        <x:v>CFB</x:v>
      </x:c>
      <x:c r="B308" t="n">
        <x:v>4</x:v>
      </x:c>
      <x:c r="C308" s="68" t="n">
        <x:v>46291.916666666664</x:v>
      </x:c>
      <x:c r="D308" s="71" t="str">
        <x:v>pre</x:v>
      </x:c>
      <x:c r="E308" s="72" t="b">
        <x:v>0</x:v>
      </x:c>
      <x:c r="F308" t="str">
        <x:v>Long Island University Sharks</x:v>
      </x:c>
      <x:c r="G308" t="str">
        <x:v>LIU</x:v>
      </x:c>
      <x:c r="H308" s="69" t="n">
        <x:v>0</x:v>
      </x:c>
      <x:c r="I308" t="str">
        <x:v>0-4</x:v>
      </x:c>
      <x:c r="J308" t="str">
        <x:f>IF(E308&lt;&gt;TRUE,"",IF(H308&gt;M308,"W",IF(H308&lt;M308,"L","T")))</x:f>
      </x:c>
      <x:c r="K308" t="str">
        <x:v>Florida International Panthers</x:v>
      </x:c>
      <x:c r="L308" t="str">
        <x:v>FIU</x:v>
      </x:c>
      <x:c r="M308" s="69" t="n">
        <x:v>0</x:v>
      </x:c>
      <x:c r="N308" t="str">
        <x:v>1-2</x:v>
      </x:c>
      <x:c r="O308" t="str">
        <x:f>IF(E308&lt;&gt;TRUE,"",IF(M308&gt;H308,"W",IF(M308&lt;H308,"L","T")))</x:f>
      </x:c>
      <x:c r="P308" s="66" t="b">
        <x:v>0</x:v>
      </x:c>
      <x:c r="Q308" s="66" t="b">
        <x:v>0</x:v>
      </x:c>
      <x:c r="R308" t="str">
        <x:v>Pitbull Stadium</x:v>
      </x:c>
      <x:c r="S308" t="str">
        <x:v>ESPN+</x:v>
      </x:c>
      <x:c r="T308"/>
      <x:c r="U308" s="70"/>
      <x:c r="V308" s="70"/>
      <x:c r="W308"/>
      <x:c r="X308" t="str">
        <x:v>https://www.espn.com/college-football/game/_/gameId/401867909</x:v>
      </x:c>
    </x:row>
    <x:row r="309">
      <x:c r="A309" t="str">
        <x:v>CFB</x:v>
      </x:c>
      <x:c r="B309" t="n">
        <x:v>4</x:v>
      </x:c>
      <x:c r="C309" s="68" t="n">
        <x:v>46291.916666666664</x:v>
      </x:c>
      <x:c r="D309" s="71" t="str">
        <x:v>pre</x:v>
      </x:c>
      <x:c r="E309" s="72" t="b">
        <x:v>0</x:v>
      </x:c>
      <x:c r="F309" t="str">
        <x:v>James Madison Dukes</x:v>
      </x:c>
      <x:c r="G309" t="str">
        <x:v>JMU</x:v>
      </x:c>
      <x:c r="H309" s="69" t="n">
        <x:v>0</x:v>
      </x:c>
      <x:c r="I309" t="str">
        <x:v>3-0</x:v>
      </x:c>
      <x:c r="J309" t="str">
        <x:f>IF(E309&lt;&gt;TRUE,"",IF(H309&gt;M309,"W",IF(H309&lt;M309,"L","T")))</x:f>
      </x:c>
      <x:c r="K309" t="str">
        <x:v>Old Dominion Monarchs</x:v>
      </x:c>
      <x:c r="L309" t="str">
        <x:v>ODU</x:v>
      </x:c>
      <x:c r="M309" s="69" t="n">
        <x:v>0</x:v>
      </x:c>
      <x:c r="N309" t="str">
        <x:v>1-2</x:v>
      </x:c>
      <x:c r="O309" t="str">
        <x:f>IF(E309&lt;&gt;TRUE,"",IF(M309&gt;H309,"W",IF(M309&lt;H309,"L","T")))</x:f>
      </x:c>
      <x:c r="P309" s="66" t="b">
        <x:v>0</x:v>
      </x:c>
      <x:c r="Q309" s="66" t="b">
        <x:v>1</x:v>
      </x:c>
      <x:c r="R309" t="str">
        <x:v>S.B. Ballard Stadium</x:v>
      </x:c>
      <x:c r="S309" t="str">
        <x:v>ESPN+</x:v>
      </x:c>
      <x:c r="T309" t="str">
        <x:v>JMU -5.5</x:v>
      </x:c>
      <x:c r="U309" s="70" t="n">
        <x:v>5.5</x:v>
      </x:c>
      <x:c r="V309" s="70" t="n">
        <x:v>47.5</x:v>
      </x:c>
      <x:c r="W309" t="str">
        <x:v>DraftKings</x:v>
      </x:c>
      <x:c r="X309" t="str">
        <x:v>https://www.espn.com/college-football/game/_/gameId/401869961</x:v>
      </x:c>
    </x:row>
    <x:row r="310">
      <x:c r="A310" t="str">
        <x:v>CFB</x:v>
      </x:c>
      <x:c r="B310" t="n">
        <x:v>4</x:v>
      </x:c>
      <x:c r="C310" s="68" t="n">
        <x:v>46291.9375</x:v>
      </x:c>
      <x:c r="D310" s="71" t="str">
        <x:v>pre</x:v>
      </x:c>
      <x:c r="E310" s="72" t="b">
        <x:v>0</x:v>
      </x:c>
      <x:c r="F310" t="str">
        <x:v>Central Michigan Chippewas</x:v>
      </x:c>
      <x:c r="G310" t="str">
        <x:v>CMU</x:v>
      </x:c>
      <x:c r="H310" s="69" t="n">
        <x:v>0</x:v>
      </x:c>
      <x:c r="I310" t="str">
        <x:v>2-1</x:v>
      </x:c>
      <x:c r="J310" t="str">
        <x:f>IF(E310&lt;&gt;TRUE,"",IF(H310&gt;M310,"W",IF(H310&lt;M310,"L","T")))</x:f>
      </x:c>
      <x:c r="K310" t="str">
        <x:v>Miami Hurricanes</x:v>
      </x:c>
      <x:c r="L310" t="str">
        <x:v>MIA</x:v>
      </x:c>
      <x:c r="M310" s="69" t="n">
        <x:v>0</x:v>
      </x:c>
      <x:c r="N310" t="str">
        <x:v>3-0</x:v>
      </x:c>
      <x:c r="O310" t="str">
        <x:f>IF(E310&lt;&gt;TRUE,"",IF(M310&gt;H310,"W",IF(M310&lt;H310,"L","T")))</x:f>
      </x:c>
      <x:c r="P310" s="66" t="b">
        <x:v>0</x:v>
      </x:c>
      <x:c r="Q310" s="66" t="b">
        <x:v>0</x:v>
      </x:c>
      <x:c r="R310" t="str">
        <x:v>Hard Rock Stadium</x:v>
      </x:c>
      <x:c r="S310" t="str">
        <x:v>CW</x:v>
      </x:c>
      <x:c r="T310" t="str">
        <x:v>MIA -41.5</x:v>
      </x:c>
      <x:c r="U310" s="70" t="n">
        <x:v>-41.5</x:v>
      </x:c>
      <x:c r="V310" s="70" t="n">
        <x:v>53.5</x:v>
      </x:c>
      <x:c r="W310" t="str">
        <x:v>DraftKings</x:v>
      </x:c>
      <x:c r="X310" t="str">
        <x:v>https://www.espn.com/college-football/game/_/gameId/401858238</x:v>
      </x:c>
    </x:row>
    <x:row r="311">
      <x:c r="A311" t="str">
        <x:v>CFB</x:v>
      </x:c>
      <x:c r="B311" t="n">
        <x:v>4</x:v>
      </x:c>
      <x:c r="C311" s="68" t="n">
        <x:v>46291.9375</x:v>
      </x:c>
      <x:c r="D311" s="71" t="str">
        <x:v>pre</x:v>
      </x:c>
      <x:c r="E311" s="72" t="b">
        <x:v>0</x:v>
      </x:c>
      <x:c r="F311" t="str">
        <x:v>Louisiana Ragin' Cajuns</x:v>
      </x:c>
      <x:c r="G311" t="str">
        <x:v>UL</x:v>
      </x:c>
      <x:c r="H311" s="69" t="n">
        <x:v>0</x:v>
      </x:c>
      <x:c r="I311" t="str">
        <x:v>2-1</x:v>
      </x:c>
      <x:c r="J311" t="str">
        <x:f>IF(E311&lt;&gt;TRUE,"",IF(H311&gt;M311,"W",IF(H311&lt;M311,"L","T")))</x:f>
      </x:c>
      <x:c r="K311" t="str">
        <x:v>Charlotte 49ers</x:v>
      </x:c>
      <x:c r="L311" t="str">
        <x:v>CLT</x:v>
      </x:c>
      <x:c r="M311" s="69" t="n">
        <x:v>0</x:v>
      </x:c>
      <x:c r="N311" t="str">
        <x:v>0-3</x:v>
      </x:c>
      <x:c r="O311" t="str">
        <x:f>IF(E311&lt;&gt;TRUE,"",IF(M311&gt;H311,"W",IF(M311&lt;H311,"L","T")))</x:f>
      </x:c>
      <x:c r="P311" s="66" t="b">
        <x:v>0</x:v>
      </x:c>
      <x:c r="Q311" s="66" t="b">
        <x:v>0</x:v>
      </x:c>
      <x:c r="R311" t="str">
        <x:v>Jerry Richardson Stadium</x:v>
      </x:c>
      <x:c r="S311" t="str">
        <x:v>ESPN+</x:v>
      </x:c>
      <x:c r="T311" t="str">
        <x:v>UL -10</x:v>
      </x:c>
      <x:c r="U311" s="70" t="n">
        <x:v>10</x:v>
      </x:c>
      <x:c r="V311" s="70" t="n">
        <x:v>49.5</x:v>
      </x:c>
      <x:c r="W311" t="str">
        <x:v>DraftKings</x:v>
      </x:c>
      <x:c r="X311" t="str">
        <x:v>https://www.espn.com/college-football/game/_/gameId/401862780</x:v>
      </x:c>
    </x:row>
    <x:row r="312">
      <x:c r="A312" t="str">
        <x:v>CFB</x:v>
      </x:c>
      <x:c r="B312" t="n">
        <x:v>4</x:v>
      </x:c>
      <x:c r="C312" s="68" t="n">
        <x:v>46291.958333333336</x:v>
      </x:c>
      <x:c r="D312" s="71" t="str">
        <x:v>pre</x:v>
      </x:c>
      <x:c r="E312" s="72" t="b">
        <x:v>0</x:v>
      </x:c>
      <x:c r="F312" t="str">
        <x:v>South Carolina Gamecocks</x:v>
      </x:c>
      <x:c r="G312" t="str">
        <x:v>SC</x:v>
      </x:c>
      <x:c r="H312" s="69" t="n">
        <x:v>0</x:v>
      </x:c>
      <x:c r="I312" t="str">
        <x:v>2-1</x:v>
      </x:c>
      <x:c r="J312" t="str">
        <x:f>IF(E312&lt;&gt;TRUE,"",IF(H312&gt;M312,"W",IF(H312&lt;M312,"L","T")))</x:f>
      </x:c>
      <x:c r="K312" t="str">
        <x:v>Alabama Crimson Tide</x:v>
      </x:c>
      <x:c r="L312" t="str">
        <x:v>ALA</x:v>
      </x:c>
      <x:c r="M312" s="69" t="n">
        <x:v>0</x:v>
      </x:c>
      <x:c r="N312" t="str">
        <x:v>3-0</x:v>
      </x:c>
      <x:c r="O312" t="str">
        <x:f>IF(E312&lt;&gt;TRUE,"",IF(M312&gt;H312,"W",IF(M312&lt;H312,"L","T")))</x:f>
      </x:c>
      <x:c r="P312" s="66" t="b">
        <x:v>0</x:v>
      </x:c>
      <x:c r="Q312" s="66" t="b">
        <x:v>1</x:v>
      </x:c>
      <x:c r="R312" t="str">
        <x:v>Bryant-Denny Stadium</x:v>
      </x:c>
      <x:c r="S312" t="str">
        <x:v>ESPN</x:v>
      </x:c>
      <x:c r="T312" t="str">
        <x:v>ALA -13.5</x:v>
      </x:c>
      <x:c r="U312" s="70" t="n">
        <x:v>-13.5</x:v>
      </x:c>
      <x:c r="V312" s="70" t="n">
        <x:v>54.5</x:v>
      </x:c>
      <x:c r="W312" t="str">
        <x:v>DraftKings</x:v>
      </x:c>
      <x:c r="X312" t="str">
        <x:v>https://www.espn.com/college-football/game/_/gameId/401856696</x:v>
      </x:c>
    </x:row>
    <x:row r="313">
      <x:c r="A313" t="str">
        <x:v>CFB</x:v>
      </x:c>
      <x:c r="B313" t="n">
        <x:v>4</x:v>
      </x:c>
      <x:c r="C313" s="68" t="n">
        <x:v>46291.958333333336</x:v>
      </x:c>
      <x:c r="D313" s="71" t="str">
        <x:v>pre</x:v>
      </x:c>
      <x:c r="E313" s="72" t="b">
        <x:v>0</x:v>
      </x:c>
      <x:c r="F313" t="str">
        <x:v>Kansas State Wildcats</x:v>
      </x:c>
      <x:c r="G313" t="str">
        <x:v>KSU</x:v>
      </x:c>
      <x:c r="H313" s="69" t="n">
        <x:v>0</x:v>
      </x:c>
      <x:c r="I313" t="str">
        <x:v>3-0</x:v>
      </x:c>
      <x:c r="J313" t="str">
        <x:f>IF(E313&lt;&gt;TRUE,"",IF(H313&gt;M313,"W",IF(H313&lt;M313,"L","T")))</x:f>
      </x:c>
      <x:c r="K313" t="str">
        <x:v>Cincinnati Bearcats</x:v>
      </x:c>
      <x:c r="L313" t="str">
        <x:v>CIN</x:v>
      </x:c>
      <x:c r="M313" s="69" t="n">
        <x:v>0</x:v>
      </x:c>
      <x:c r="N313" t="str">
        <x:v>3-0</x:v>
      </x:c>
      <x:c r="O313" t="str">
        <x:f>IF(E313&lt;&gt;TRUE,"",IF(M313&gt;H313,"W",IF(M313&lt;H313,"L","T")))</x:f>
      </x:c>
      <x:c r="P313" s="66" t="b">
        <x:v>0</x:v>
      </x:c>
      <x:c r="Q313" s="66" t="b">
        <x:v>1</x:v>
      </x:c>
      <x:c r="R313" t="str">
        <x:v>Nippert Stadium</x:v>
      </x:c>
      <x:c r="S313" t="str">
        <x:v>ESPN2</x:v>
      </x:c>
      <x:c r="T313" t="str">
        <x:v>KSU -6.5</x:v>
      </x:c>
      <x:c r="U313" s="70" t="n">
        <x:v>6.5</x:v>
      </x:c>
      <x:c r="V313" s="70" t="n">
        <x:v>54.5</x:v>
      </x:c>
      <x:c r="W313" t="str">
        <x:v>DraftKings</x:v>
      </x:c>
      <x:c r="X313" t="str">
        <x:v>https://www.espn.com/college-football/game/_/gameId/401856814</x:v>
      </x:c>
    </x:row>
    <x:row r="314">
      <x:c r="A314" t="str">
        <x:v>CFB</x:v>
      </x:c>
      <x:c r="B314" t="n">
        <x:v>4</x:v>
      </x:c>
      <x:c r="C314" s="68" t="n">
        <x:v>46291.958333333336</x:v>
      </x:c>
      <x:c r="D314" s="71" t="str">
        <x:v>pre</x:v>
      </x:c>
      <x:c r="E314" s="72" t="b">
        <x:v>0</x:v>
      </x:c>
      <x:c r="F314" t="str">
        <x:v>Oklahoma State Cowboys</x:v>
      </x:c>
      <x:c r="G314" t="str">
        <x:v>OKST</x:v>
      </x:c>
      <x:c r="H314" s="69" t="n">
        <x:v>0</x:v>
      </x:c>
      <x:c r="I314" t="str">
        <x:v>2-1</x:v>
      </x:c>
      <x:c r="J314" t="str">
        <x:f>IF(E314&lt;&gt;TRUE,"",IF(H314&gt;M314,"W",IF(H314&lt;M314,"L","T")))</x:f>
      </x:c>
      <x:c r="K314" t="str">
        <x:v>West Virginia Mountaineers</x:v>
      </x:c>
      <x:c r="L314" t="str">
        <x:v>WVU</x:v>
      </x:c>
      <x:c r="M314" s="69" t="n">
        <x:v>0</x:v>
      </x:c>
      <x:c r="N314" t="str">
        <x:v>3-0</x:v>
      </x:c>
      <x:c r="O314" t="str">
        <x:f>IF(E314&lt;&gt;TRUE,"",IF(M314&gt;H314,"W",IF(M314&lt;H314,"L","T")))</x:f>
      </x:c>
      <x:c r="P314" s="66" t="b">
        <x:v>0</x:v>
      </x:c>
      <x:c r="Q314" s="66" t="b">
        <x:v>1</x:v>
      </x:c>
      <x:c r="R314" t="str">
        <x:v>Milan Puskar Stadium</x:v>
      </x:c>
      <x:c r="S314" t="str">
        <x:v>FS1</x:v>
      </x:c>
      <x:c r="T314" t="str">
        <x:v>WVU -2.5</x:v>
      </x:c>
      <x:c r="U314" s="70" t="n">
        <x:v>-2.5</x:v>
      </x:c>
      <x:c r="V314" s="70" t="n">
        <x:v>59.5</x:v>
      </x:c>
      <x:c r="W314" t="str">
        <x:v>DraftKings</x:v>
      </x:c>
      <x:c r="X314" t="str">
        <x:v>https://www.espn.com/college-football/game/_/gameId/401856881</x:v>
      </x:c>
    </x:row>
    <x:row r="315">
      <x:c r="A315" t="str">
        <x:v>CFB</x:v>
      </x:c>
      <x:c r="B315" t="n">
        <x:v>4</x:v>
      </x:c>
      <x:c r="C315" s="68" t="n">
        <x:v>46291.958333333336</x:v>
      </x:c>
      <x:c r="D315" s="71" t="str">
        <x:v>pre</x:v>
      </x:c>
      <x:c r="E315" s="72" t="b">
        <x:v>0</x:v>
      </x:c>
      <x:c r="F315" t="str">
        <x:v>Southern Miss Golden Eagles</x:v>
      </x:c>
      <x:c r="G315" t="str">
        <x:v>USM</x:v>
      </x:c>
      <x:c r="H315" s="69" t="n">
        <x:v>0</x:v>
      </x:c>
      <x:c r="I315" t="str">
        <x:v>1-2</x:v>
      </x:c>
      <x:c r="J315" t="str">
        <x:f>IF(E315&lt;&gt;TRUE,"",IF(H315&gt;M315,"W",IF(H315&lt;M315,"L","T")))</x:f>
      </x:c>
      <x:c r="K315" t="str">
        <x:v>Tulane Green Wave</x:v>
      </x:c>
      <x:c r="L315" t="str">
        <x:v>TULN</x:v>
      </x:c>
      <x:c r="M315" s="69" t="n">
        <x:v>0</x:v>
      </x:c>
      <x:c r="N315" t="str">
        <x:v>1-2</x:v>
      </x:c>
      <x:c r="O315" t="str">
        <x:f>IF(E315&lt;&gt;TRUE,"",IF(M315&gt;H315,"W",IF(M315&lt;H315,"L","T")))</x:f>
      </x:c>
      <x:c r="P315" s="66" t="b">
        <x:v>0</x:v>
      </x:c>
      <x:c r="Q315" s="66" t="b">
        <x:v>0</x:v>
      </x:c>
      <x:c r="R315" t="str">
        <x:v>Yulman Stadium</x:v>
      </x:c>
      <x:c r="S315" t="str">
        <x:v>ESPN+</x:v>
      </x:c>
      <x:c r="T315" t="str">
        <x:v>TULN -18.5</x:v>
      </x:c>
      <x:c r="U315" s="70" t="n">
        <x:v>-18.5</x:v>
      </x:c>
      <x:c r="V315" s="70" t="n">
        <x:v>52.5</x:v>
      </x:c>
      <x:c r="W315" t="str">
        <x:v>DraftKings</x:v>
      </x:c>
      <x:c r="X315" t="str">
        <x:v>https://www.espn.com/college-football/game/_/gameId/401862784</x:v>
      </x:c>
    </x:row>
    <x:row r="316">
      <x:c r="A316" t="str">
        <x:v>CFB</x:v>
      </x:c>
      <x:c r="B316" t="n">
        <x:v>4</x:v>
      </x:c>
      <x:c r="C316" s="68" t="n">
        <x:v>46291.958333333336</x:v>
      </x:c>
      <x:c r="D316" s="71" t="str">
        <x:v>pre</x:v>
      </x:c>
      <x:c r="E316" s="72" t="b">
        <x:v>0</x:v>
      </x:c>
      <x:c r="F316" t="str">
        <x:v>Kennesaw State Owls</x:v>
      </x:c>
      <x:c r="G316" t="str">
        <x:v>KENN</x:v>
      </x:c>
      <x:c r="H316" s="69" t="n">
        <x:v>0</x:v>
      </x:c>
      <x:c r="I316" t="str">
        <x:v>1-2</x:v>
      </x:c>
      <x:c r="J316" t="str">
        <x:f>IF(E316&lt;&gt;TRUE,"",IF(H316&gt;M316,"W",IF(H316&lt;M316,"L","T")))</x:f>
      </x:c>
      <x:c r="K316" t="str">
        <x:v>Arkansas State Red Wolves</x:v>
      </x:c>
      <x:c r="L316" t="str">
        <x:v>ARST</x:v>
      </x:c>
      <x:c r="M316" s="69" t="n">
        <x:v>0</x:v>
      </x:c>
      <x:c r="N316" t="str">
        <x:v>1-2</x:v>
      </x:c>
      <x:c r="O316" t="str">
        <x:f>IF(E316&lt;&gt;TRUE,"",IF(M316&gt;H316,"W",IF(M316&lt;H316,"L","T")))</x:f>
      </x:c>
      <x:c r="P316" s="66" t="b">
        <x:v>0</x:v>
      </x:c>
      <x:c r="Q316" s="66" t="b">
        <x:v>0</x:v>
      </x:c>
      <x:c r="R316" t="str">
        <x:v>Centennial Bank Stadium</x:v>
      </x:c>
      <x:c r="S316" t="str">
        <x:v>ESPN+</x:v>
      </x:c>
      <x:c r="T316" t="str">
        <x:v>ARST -4.5</x:v>
      </x:c>
      <x:c r="U316" s="70" t="n">
        <x:v>-4.5</x:v>
      </x:c>
      <x:c r="V316" s="70" t="n">
        <x:v>53.5</x:v>
      </x:c>
      <x:c r="W316" t="str">
        <x:v>DraftKings</x:v>
      </x:c>
      <x:c r="X316" t="str">
        <x:v>https://www.espn.com/college-football/game/_/gameId/401869931</x:v>
      </x:c>
    </x:row>
    <x:row r="317">
      <x:c r="A317" t="str">
        <x:v>CFB</x:v>
      </x:c>
      <x:c r="B317" t="n">
        <x:v>4</x:v>
      </x:c>
      <x:c r="C317" s="68" t="n">
        <x:v>46291.958333333336</x:v>
      </x:c>
      <x:c r="D317" s="71" t="str">
        <x:v>pre</x:v>
      </x:c>
      <x:c r="E317" s="72" t="b">
        <x:v>0</x:v>
      </x:c>
      <x:c r="F317" t="str">
        <x:v>Mercyhurst Lakers</x:v>
      </x:c>
      <x:c r="G317" t="str">
        <x:v>MERC</x:v>
      </x:c>
      <x:c r="H317" s="69" t="n">
        <x:v>0</x:v>
      </x:c>
      <x:c r="I317" t="str">
        <x:v>1-3</x:v>
      </x:c>
      <x:c r="J317" t="str">
        <x:f>IF(E317&lt;&gt;TRUE,"",IF(H317&gt;M317,"W",IF(H317&lt;M317,"L","T")))</x:f>
      </x:c>
      <x:c r="K317" t="str">
        <x:v>Western Kentucky Hilltoppers</x:v>
      </x:c>
      <x:c r="L317" t="str">
        <x:v>WKU</x:v>
      </x:c>
      <x:c r="M317" s="69" t="n">
        <x:v>0</x:v>
      </x:c>
      <x:c r="N317" t="str">
        <x:v>0-3</x:v>
      </x:c>
      <x:c r="O317" t="str">
        <x:f>IF(E317&lt;&gt;TRUE,"",IF(M317&gt;H317,"W",IF(M317&lt;H317,"L","T")))</x:f>
      </x:c>
      <x:c r="P317" s="66" t="b">
        <x:v>0</x:v>
      </x:c>
      <x:c r="Q317" s="66" t="b">
        <x:v>0</x:v>
      </x:c>
      <x:c r="R317" t="str">
        <x:v>Houchens Industries-L.T. Smith Stadium</x:v>
      </x:c>
      <x:c r="S317" t="str">
        <x:v>ESPN+</x:v>
      </x:c>
      <x:c r="T317"/>
      <x:c r="U317" s="70"/>
      <x:c r="V317" s="70"/>
      <x:c r="W317"/>
      <x:c r="X317" t="str">
        <x:v>https://www.espn.com/college-football/game/_/gameId/401870745</x:v>
      </x:c>
    </x:row>
    <x:row r="318">
      <x:c r="A318" t="str">
        <x:v>CFB</x:v>
      </x:c>
      <x:c r="B318" t="n">
        <x:v>4</x:v>
      </x:c>
      <x:c r="C318" s="68" t="n">
        <x:v>46291.958333333336</x:v>
      </x:c>
      <x:c r="D318" s="71" t="str">
        <x:v>pre</x:v>
      </x:c>
      <x:c r="E318" s="72" t="b">
        <x:v>0</x:v>
      </x:c>
      <x:c r="F318" t="str">
        <x:v>Middle Tennessee Blue Raiders</x:v>
      </x:c>
      <x:c r="G318" t="str">
        <x:v>MTSU</x:v>
      </x:c>
      <x:c r="H318" s="69" t="n">
        <x:v>0</x:v>
      </x:c>
      <x:c r="I318" t="str">
        <x:v>2-1</x:v>
      </x:c>
      <x:c r="J318" t="str">
        <x:f>IF(E318&lt;&gt;TRUE,"",IF(H318&gt;M318,"W",IF(H318&lt;M318,"L","T")))</x:f>
      </x:c>
      <x:c r="K318" t="str">
        <x:v>Jacksonville State Gamecocks</x:v>
      </x:c>
      <x:c r="L318" t="str">
        <x:v>JXST</x:v>
      </x:c>
      <x:c r="M318" s="69" t="n">
        <x:v>0</x:v>
      </x:c>
      <x:c r="N318" t="str">
        <x:v>2-2</x:v>
      </x:c>
      <x:c r="O318" t="str">
        <x:f>IF(E318&lt;&gt;TRUE,"",IF(M318&gt;H318,"W",IF(M318&lt;H318,"L","T")))</x:f>
      </x:c>
      <x:c r="P318" s="66" t="b">
        <x:v>0</x:v>
      </x:c>
      <x:c r="Q318" s="66" t="b">
        <x:v>1</x:v>
      </x:c>
      <x:c r="R318" t="str">
        <x:v>AmFirst Stadium</x:v>
      </x:c>
      <x:c r="S318" t="str">
        <x:v>ESPN+</x:v>
      </x:c>
      <x:c r="T318" t="str">
        <x:v>JXST -8.5</x:v>
      </x:c>
      <x:c r="U318" s="70" t="n">
        <x:v>-8.5</x:v>
      </x:c>
      <x:c r="V318" s="70" t="n">
        <x:v>51.5</x:v>
      </x:c>
      <x:c r="W318" t="str">
        <x:v>DraftKings</x:v>
      </x:c>
      <x:c r="X318" t="str">
        <x:v>https://www.espn.com/college-football/game/_/gameId/401871048</x:v>
      </x:c>
    </x:row>
    <x:row r="319">
      <x:c r="A319" t="str">
        <x:v>CFB</x:v>
      </x:c>
      <x:c r="B319" t="n">
        <x:v>4</x:v>
      </x:c>
      <x:c r="C319" s="68" t="n">
        <x:v>46291.979166666664</x:v>
      </x:c>
      <x:c r="D319" s="71" t="str">
        <x:v>pre</x:v>
      </x:c>
      <x:c r="E319" s="72" t="b">
        <x:v>0</x:v>
      </x:c>
      <x:c r="F319" t="str">
        <x:v>Texas A&amp;M Aggies</x:v>
      </x:c>
      <x:c r="G319" t="str">
        <x:v>TA&amp;M</x:v>
      </x:c>
      <x:c r="H319" s="69" t="n">
        <x:v>0</x:v>
      </x:c>
      <x:c r="I319" t="str">
        <x:v>2-1</x:v>
      </x:c>
      <x:c r="J319" t="str">
        <x:f>IF(E319&lt;&gt;TRUE,"",IF(H319&gt;M319,"W",IF(H319&lt;M319,"L","T")))</x:f>
      </x:c>
      <x:c r="K319" t="str">
        <x:v>LSU Tigers</x:v>
      </x:c>
      <x:c r="L319" t="str">
        <x:v>LSU</x:v>
      </x:c>
      <x:c r="M319" s="69" t="n">
        <x:v>0</x:v>
      </x:c>
      <x:c r="N319" t="str">
        <x:v>2-1</x:v>
      </x:c>
      <x:c r="O319" t="str">
        <x:f>IF(E319&lt;&gt;TRUE,"",IF(M319&gt;H319,"W",IF(M319&lt;H319,"L","T")))</x:f>
      </x:c>
      <x:c r="P319" s="66" t="b">
        <x:v>0</x:v>
      </x:c>
      <x:c r="Q319" s="66" t="b">
        <x:v>1</x:v>
      </x:c>
      <x:c r="R319" t="str">
        <x:v>Tiger Stadium (LA)</x:v>
      </x:c>
      <x:c r="S319" t="str">
        <x:v>ABC</x:v>
      </x:c>
      <x:c r="T319" t="str">
        <x:v>LSU -9.5</x:v>
      </x:c>
      <x:c r="U319" s="70" t="n">
        <x:v>-9.5</x:v>
      </x:c>
      <x:c r="V319" s="70" t="n">
        <x:v>52.5</x:v>
      </x:c>
      <x:c r="W319" t="str">
        <x:v>DraftKings</x:v>
      </x:c>
      <x:c r="X319" t="str">
        <x:v>https://www.espn.com/college-football/game/_/gameId/401856702</x:v>
      </x:c>
    </x:row>
    <x:row r="320">
      <x:c r="A320" t="str">
        <x:v>CFB</x:v>
      </x:c>
      <x:c r="B320" t="n">
        <x:v>4</x:v>
      </x:c>
      <x:c r="C320" s="68" t="n">
        <x:v>46291.979166666664</x:v>
      </x:c>
      <x:c r="D320" s="71" t="str">
        <x:v>pre</x:v>
      </x:c>
      <x:c r="E320" s="72" t="b">
        <x:v>0</x:v>
      </x:c>
      <x:c r="F320" t="str">
        <x:v>Arizona Wildcats</x:v>
      </x:c>
      <x:c r="G320" t="str">
        <x:v>ARIZ</x:v>
      </x:c>
      <x:c r="H320" s="69" t="n">
        <x:v>0</x:v>
      </x:c>
      <x:c r="I320" t="str">
        <x:v>2-1</x:v>
      </x:c>
      <x:c r="J320" t="str">
        <x:f>IF(E320&lt;&gt;TRUE,"",IF(H320&gt;M320,"W",IF(H320&lt;M320,"L","T")))</x:f>
      </x:c>
      <x:c r="K320" t="str">
        <x:v>Washington State Cougars</x:v>
      </x:c>
      <x:c r="L320" t="str">
        <x:v>WSU</x:v>
      </x:c>
      <x:c r="M320" s="69" t="n">
        <x:v>0</x:v>
      </x:c>
      <x:c r="N320" t="str">
        <x:v>1-2</x:v>
      </x:c>
      <x:c r="O320" t="str">
        <x:f>IF(E320&lt;&gt;TRUE,"",IF(M320&gt;H320,"W",IF(M320&lt;H320,"L","T")))</x:f>
      </x:c>
      <x:c r="P320" s="66" t="b">
        <x:v>0</x:v>
      </x:c>
      <x:c r="Q320" s="66" t="b">
        <x:v>0</x:v>
      </x:c>
      <x:c r="R320" t="str">
        <x:v>Martin Stadium</x:v>
      </x:c>
      <x:c r="S320" t="str">
        <x:v>CBS</x:v>
      </x:c>
      <x:c r="T320" t="str">
        <x:v>ARIZ -10</x:v>
      </x:c>
      <x:c r="U320" s="70" t="n">
        <x:v>10</x:v>
      </x:c>
      <x:c r="V320" s="70" t="n">
        <x:v>47.5</x:v>
      </x:c>
      <x:c r="W320" t="str">
        <x:v>DraftKings</x:v>
      </x:c>
      <x:c r="X320" t="str">
        <x:v>https://www.espn.com/college-football/game/_/gameId/401856804</x:v>
      </x:c>
    </x:row>
    <x:row r="321">
      <x:c r="A321" t="str">
        <x:v>CFB</x:v>
      </x:c>
      <x:c r="B321" t="n">
        <x:v>4</x:v>
      </x:c>
      <x:c r="C321" s="68" t="n">
        <x:v>46291.979166666664</x:v>
      </x:c>
      <x:c r="D321" s="71" t="str">
        <x:v>pre</x:v>
      </x:c>
      <x:c r="E321" s="72" t="b">
        <x:v>0</x:v>
      </x:c>
      <x:c r="F321" t="str">
        <x:v>Oregon Ducks</x:v>
      </x:c>
      <x:c r="G321" t="str">
        <x:v>ORE</x:v>
      </x:c>
      <x:c r="H321" s="69" t="n">
        <x:v>0</x:v>
      </x:c>
      <x:c r="I321" t="str">
        <x:v>2-1</x:v>
      </x:c>
      <x:c r="J321" t="str">
        <x:f>IF(E321&lt;&gt;TRUE,"",IF(H321&gt;M321,"W",IF(H321&lt;M321,"L","T")))</x:f>
      </x:c>
      <x:c r="K321" t="str">
        <x:v>USC Trojans</x:v>
      </x:c>
      <x:c r="L321" t="str">
        <x:v>USC</x:v>
      </x:c>
      <x:c r="M321" s="69" t="n">
        <x:v>0</x:v>
      </x:c>
      <x:c r="N321" t="str">
        <x:v>4-0</x:v>
      </x:c>
      <x:c r="O321" t="str">
        <x:f>IF(E321&lt;&gt;TRUE,"",IF(M321&gt;H321,"W",IF(M321&lt;H321,"L","T")))</x:f>
      </x:c>
      <x:c r="P321" s="66" t="b">
        <x:v>0</x:v>
      </x:c>
      <x:c r="Q321" s="66" t="b">
        <x:v>1</x:v>
      </x:c>
      <x:c r="R321" t="str">
        <x:v>Los Angeles Memorial Coliseum</x:v>
      </x:c>
      <x:c r="S321" t="str">
        <x:v>NBC</x:v>
      </x:c>
      <x:c r="T321" t="str">
        <x:v>ORE -3</x:v>
      </x:c>
      <x:c r="U321" s="70" t="n">
        <x:v>3</x:v>
      </x:c>
      <x:c r="V321" s="70" t="n">
        <x:v>62.5</x:v>
      </x:c>
      <x:c r="W321" t="str">
        <x:v>DraftKings</x:v>
      </x:c>
      <x:c r="X321" t="str">
        <x:v>https://www.espn.com/college-football/game/_/gameId/401858469</x:v>
      </x:c>
    </x:row>
    <x:row r="322">
      <x:c r="A322" t="str">
        <x:v>CFB</x:v>
      </x:c>
      <x:c r="B322" t="n">
        <x:v>4</x:v>
      </x:c>
      <x:c r="C322" s="68" t="n">
        <x:v>46291.979166666664</x:v>
      </x:c>
      <x:c r="D322" s="71" t="str">
        <x:v>pre</x:v>
      </x:c>
      <x:c r="E322" s="72" t="b">
        <x:v>0</x:v>
      </x:c>
      <x:c r="F322" t="str">
        <x:v>Troy Trojans</x:v>
      </x:c>
      <x:c r="G322" t="str">
        <x:v>TROY</x:v>
      </x:c>
      <x:c r="H322" s="69" t="n">
        <x:v>0</x:v>
      </x:c>
      <x:c r="I322" t="str">
        <x:v>2-1</x:v>
      </x:c>
      <x:c r="J322" t="str">
        <x:f>IF(E322&lt;&gt;TRUE,"",IF(H322&gt;M322,"W",IF(H322&lt;M322,"L","T")))</x:f>
      </x:c>
      <x:c r="K322" t="str">
        <x:v>Utah State Aggies</x:v>
      </x:c>
      <x:c r="L322" t="str">
        <x:v>USU</x:v>
      </x:c>
      <x:c r="M322" s="69" t="n">
        <x:v>0</x:v>
      </x:c>
      <x:c r="N322" t="str">
        <x:v>0-3</x:v>
      </x:c>
      <x:c r="O322" t="str">
        <x:f>IF(E322&lt;&gt;TRUE,"",IF(M322&gt;H322,"W",IF(M322&lt;H322,"L","T")))</x:f>
      </x:c>
      <x:c r="P322" s="66" t="b">
        <x:v>0</x:v>
      </x:c>
      <x:c r="Q322" s="66" t="b">
        <x:v>0</x:v>
      </x:c>
      <x:c r="R322" t="str">
        <x:v>Maverik Stadium</x:v>
      </x:c>
      <x:c r="S322" t="str">
        <x:v>CBSSN</x:v>
      </x:c>
      <x:c r="T322" t="str">
        <x:v>USU -2.5</x:v>
      </x:c>
      <x:c r="U322" s="70" t="n">
        <x:v>-2.5</x:v>
      </x:c>
      <x:c r="V322" s="70" t="n">
        <x:v>49.5</x:v>
      </x:c>
      <x:c r="W322" t="str">
        <x:v>DraftKings</x:v>
      </x:c>
      <x:c r="X322" t="str">
        <x:v>https://www.espn.com/college-football/game/_/gameId/401860894</x:v>
      </x:c>
    </x:row>
    <x:row r="323">
      <x:c r="A323" t="str">
        <x:v>CFB</x:v>
      </x:c>
      <x:c r="B323" t="n">
        <x:v>4</x:v>
      </x:c>
      <x:c r="C323" s="68" t="n">
        <x:v>46291.979166666664</x:v>
      </x:c>
      <x:c r="D323" s="71" t="str">
        <x:v>pre</x:v>
      </x:c>
      <x:c r="E323" s="72" t="b">
        <x:v>0</x:v>
      </x:c>
      <x:c r="F323" t="str">
        <x:v>Houston Christian Huskies</x:v>
      </x:c>
      <x:c r="G323" t="str">
        <x:v>HCU</x:v>
      </x:c>
      <x:c r="H323" s="69" t="n">
        <x:v>0</x:v>
      </x:c>
      <x:c r="I323" t="str">
        <x:v>2-2</x:v>
      </x:c>
      <x:c r="J323" t="str">
        <x:f>IF(E323&lt;&gt;TRUE,"",IF(H323&gt;M323,"W",IF(H323&lt;M323,"L","T")))</x:f>
      </x:c>
      <x:c r="K323" t="str">
        <x:v>North Texas Mean Green</x:v>
      </x:c>
      <x:c r="L323" t="str">
        <x:v>UNT</x:v>
      </x:c>
      <x:c r="M323" s="69" t="n">
        <x:v>0</x:v>
      </x:c>
      <x:c r="N323" t="str">
        <x:v>1-2</x:v>
      </x:c>
      <x:c r="O323" t="str">
        <x:f>IF(E323&lt;&gt;TRUE,"",IF(M323&gt;H323,"W",IF(M323&lt;H323,"L","T")))</x:f>
      </x:c>
      <x:c r="P323" s="66" t="b">
        <x:v>0</x:v>
      </x:c>
      <x:c r="Q323" s="66" t="b">
        <x:v>0</x:v>
      </x:c>
      <x:c r="R323" t="str">
        <x:v>DATCU Stadium</x:v>
      </x:c>
      <x:c r="S323" t="str">
        <x:v>ESPN+</x:v>
      </x:c>
      <x:c r="T323"/>
      <x:c r="U323" s="70"/>
      <x:c r="V323" s="70"/>
      <x:c r="W323"/>
      <x:c r="X323" t="str">
        <x:v>https://www.espn.com/college-football/game/_/gameId/401862783</x:v>
      </x:c>
    </x:row>
    <x:row r="324">
      <x:c r="A324" t="str">
        <x:v>CFB</x:v>
      </x:c>
      <x:c r="B324" t="n">
        <x:v>4</x:v>
      </x:c>
      <x:c r="C324" s="68" t="n">
        <x:v>46291.979166666664</x:v>
      </x:c>
      <x:c r="D324" s="71" t="str">
        <x:v>pre</x:v>
      </x:c>
      <x:c r="E324" s="72" t="b">
        <x:v>0</x:v>
      </x:c>
      <x:c r="F324" t="str">
        <x:v>App State Mountaineers</x:v>
      </x:c>
      <x:c r="G324" t="str">
        <x:v>APP</x:v>
      </x:c>
      <x:c r="H324" s="69" t="n">
        <x:v>0</x:v>
      </x:c>
      <x:c r="I324" t="str">
        <x:v>3-0</x:v>
      </x:c>
      <x:c r="J324" t="str">
        <x:f>IF(E324&lt;&gt;TRUE,"",IF(H324&gt;M324,"W",IF(H324&lt;M324,"L","T")))</x:f>
      </x:c>
      <x:c r="K324" t="str">
        <x:v>NC State Wolfpack</x:v>
      </x:c>
      <x:c r="L324" t="str">
        <x:v>NCSU</x:v>
      </x:c>
      <x:c r="M324" s="69" t="n">
        <x:v>0</x:v>
      </x:c>
      <x:c r="N324" t="str">
        <x:v>1-2</x:v>
      </x:c>
      <x:c r="O324" t="str">
        <x:f>IF(E324&lt;&gt;TRUE,"",IF(M324&gt;H324,"W",IF(M324&lt;H324,"L","T")))</x:f>
      </x:c>
      <x:c r="P324" s="66" t="b">
        <x:v>0</x:v>
      </x:c>
      <x:c r="Q324" s="66" t="b">
        <x:v>0</x:v>
      </x:c>
      <x:c r="R324" t="str">
        <x:v>Carter-Finley Stadium</x:v>
      </x:c>
      <x:c r="S324" t="str">
        <x:v>ESPNU</x:v>
      </x:c>
      <x:c r="T324" t="str">
        <x:v>NCSU -14</x:v>
      </x:c>
      <x:c r="U324" s="70" t="n">
        <x:v>-14</x:v>
      </x:c>
      <x:c r="V324" s="70" t="n">
        <x:v>55.5</x:v>
      </x:c>
      <x:c r="W324" t="str">
        <x:v>DraftKings</x:v>
      </x:c>
      <x:c r="X324" t="str">
        <x:v>https://www.espn.com/college-football/game/_/gameId/401864572</x:v>
      </x:c>
    </x:row>
    <x:row r="325">
      <x:c r="A325" t="str">
        <x:v>CFB</x:v>
      </x:c>
      <x:c r="B325" t="n">
        <x:v>4</x:v>
      </x:c>
      <x:c r="C325" s="68" t="n">
        <x:v>46291.989583333336</x:v>
      </x:c>
      <x:c r="D325" s="71" t="str">
        <x:v>pre</x:v>
      </x:c>
      <x:c r="E325" s="72" t="b">
        <x:v>0</x:v>
      </x:c>
      <x:c r="F325" t="str">
        <x:v>Missouri Tigers</x:v>
      </x:c>
      <x:c r="G325" t="str">
        <x:v>MIZ</x:v>
      </x:c>
      <x:c r="H325" s="69" t="n">
        <x:v>0</x:v>
      </x:c>
      <x:c r="I325" t="str">
        <x:v>3-0</x:v>
      </x:c>
      <x:c r="J325" t="str">
        <x:f>IF(E325&lt;&gt;TRUE,"",IF(H325&gt;M325,"W",IF(H325&lt;M325,"L","T")))</x:f>
      </x:c>
      <x:c r="K325" t="str">
        <x:v>Mississippi State Bulldogs</x:v>
      </x:c>
      <x:c r="L325" t="str">
        <x:v>MSST</x:v>
      </x:c>
      <x:c r="M325" s="69" t="n">
        <x:v>0</x:v>
      </x:c>
      <x:c r="N325" t="str">
        <x:v>3-0</x:v>
      </x:c>
      <x:c r="O325" t="str">
        <x:f>IF(E325&lt;&gt;TRUE,"",IF(M325&gt;H325,"W",IF(M325&lt;H325,"L","T")))</x:f>
      </x:c>
      <x:c r="P325" s="66" t="b">
        <x:v>0</x:v>
      </x:c>
      <x:c r="Q325" s="66" t="b">
        <x:v>1</x:v>
      </x:c>
      <x:c r="R325" t="str">
        <x:v>Davis Wade Stadium</x:v>
      </x:c>
      <x:c r="S325" t="str">
        <x:v>SEC Network</x:v>
      </x:c>
      <x:c r="T325" t="str">
        <x:v>MSST -6</x:v>
      </x:c>
      <x:c r="U325" s="70" t="n">
        <x:v>-6</x:v>
      </x:c>
      <x:c r="V325" s="70" t="n">
        <x:v>59.5</x:v>
      </x:c>
      <x:c r="W325" t="str">
        <x:v>DraftKings</x:v>
      </x:c>
      <x:c r="X325" t="str">
        <x:v>https://www.espn.com/college-football/game/_/gameId/401856703</x:v>
      </x:c>
    </x:row>
    <x:row r="326">
      <x:c r="A326" t="str">
        <x:v>CFB</x:v>
      </x:c>
      <x:c r="B326" t="n">
        <x:v>4</x:v>
      </x:c>
      <x:c r="C326" s="68" t="n">
        <x:v>46292</x:v>
      </x:c>
      <x:c r="D326" s="71" t="str">
        <x:v>pre</x:v>
      </x:c>
      <x:c r="E326" s="72" t="b">
        <x:v>0</x:v>
      </x:c>
      <x:c r="F326" t="str">
        <x:v>Tulsa Golden Hurricane</x:v>
      </x:c>
      <x:c r="G326" t="str">
        <x:v>TLSA</x:v>
      </x:c>
      <x:c r="H326" s="69" t="n">
        <x:v>0</x:v>
      </x:c>
      <x:c r="I326" t="str">
        <x:v>3-0</x:v>
      </x:c>
      <x:c r="J326" t="str">
        <x:f>IF(E326&lt;&gt;TRUE,"",IF(H326&gt;M326,"W",IF(H326&lt;M326,"L","T")))</x:f>
      </x:c>
      <x:c r="K326" t="str">
        <x:v>Arkansas Razorbacks</x:v>
      </x:c>
      <x:c r="L326" t="str">
        <x:v>ARK</x:v>
      </x:c>
      <x:c r="M326" s="69" t="n">
        <x:v>0</x:v>
      </x:c>
      <x:c r="N326" t="str">
        <x:v>1-2</x:v>
      </x:c>
      <x:c r="O326" t="str">
        <x:f>IF(E326&lt;&gt;TRUE,"",IF(M326&gt;H326,"W",IF(M326&lt;H326,"L","T")))</x:f>
      </x:c>
      <x:c r="P326" s="66" t="b">
        <x:v>0</x:v>
      </x:c>
      <x:c r="Q326" s="66" t="b">
        <x:v>0</x:v>
      </x:c>
      <x:c r="R326" t="str">
        <x:v>Donald W. Reynolds Razorback Stadium</x:v>
      </x:c>
      <x:c r="S326" t="str">
        <x:v>SECN+</x:v>
      </x:c>
      <x:c r="T326" t="str">
        <x:v>ARK -6.5</x:v>
      </x:c>
      <x:c r="U326" s="70" t="n">
        <x:v>-6.5</x:v>
      </x:c>
      <x:c r="V326" s="70" t="n">
        <x:v>53.5</x:v>
      </x:c>
      <x:c r="W326" t="str">
        <x:v>DraftKings</x:v>
      </x:c>
      <x:c r="X326" t="str">
        <x:v>https://www.espn.com/college-football/game/_/gameId/401856697</x:v>
      </x:c>
    </x:row>
    <x:row r="327">
      <x:c r="A327" t="str">
        <x:v>CFB</x:v>
      </x:c>
      <x:c r="B327" t="n">
        <x:v>4</x:v>
      </x:c>
      <x:c r="C327" s="68" t="n">
        <x:v>46292</x:v>
      </x:c>
      <x:c r="D327" s="71" t="str">
        <x:v>pre</x:v>
      </x:c>
      <x:c r="E327" s="72" t="b">
        <x:v>0</x:v>
      </x:c>
      <x:c r="F327" t="str">
        <x:v>Florida Atlantic Owls</x:v>
      </x:c>
      <x:c r="G327" t="str">
        <x:v>FAU</x:v>
      </x:c>
      <x:c r="H327" s="69" t="n">
        <x:v>0</x:v>
      </x:c>
      <x:c r="I327" t="str">
        <x:v>2-1</x:v>
      </x:c>
      <x:c r="J327" t="str">
        <x:f>IF(E327&lt;&gt;TRUE,"",IF(H327&gt;M327,"W",IF(H327&lt;M327,"L","T")))</x:f>
      </x:c>
      <x:c r="K327" t="str">
        <x:v>UL Monroe Warhawks</x:v>
      </x:c>
      <x:c r="L327" t="str">
        <x:v>ULM</x:v>
      </x:c>
      <x:c r="M327" s="69" t="n">
        <x:v>0</x:v>
      </x:c>
      <x:c r="N327" t="str">
        <x:v>0-3</x:v>
      </x:c>
      <x:c r="O327" t="str">
        <x:f>IF(E327&lt;&gt;TRUE,"",IF(M327&gt;H327,"W",IF(M327&lt;H327,"L","T")))</x:f>
      </x:c>
      <x:c r="P327" s="66" t="b">
        <x:v>0</x:v>
      </x:c>
      <x:c r="Q327" s="66" t="b">
        <x:v>0</x:v>
      </x:c>
      <x:c r="R327" t="str">
        <x:v>Malone Stadium</x:v>
      </x:c>
      <x:c r="S327" t="str">
        <x:v>ESPN+</x:v>
      </x:c>
      <x:c r="T327" t="str">
        <x:v>FAU -13.5</x:v>
      </x:c>
      <x:c r="U327" s="70" t="n">
        <x:v>13.5</x:v>
      </x:c>
      <x:c r="V327" s="70" t="n">
        <x:v>57.5</x:v>
      </x:c>
      <x:c r="W327" t="str">
        <x:v>DraftKings</x:v>
      </x:c>
      <x:c r="X327" t="str">
        <x:v>https://www.espn.com/college-football/game/_/gameId/401862782</x:v>
      </x:c>
    </x:row>
    <x:row r="328">
      <x:c r="A328" t="str">
        <x:v>CFB</x:v>
      </x:c>
      <x:c r="B328" t="n">
        <x:v>4</x:v>
      </x:c>
      <x:c r="C328" s="68" t="n">
        <x:v>46292.041666666664</x:v>
      </x:c>
      <x:c r="D328" s="71" t="str">
        <x:v>pre</x:v>
      </x:c>
      <x:c r="E328" s="72" t="b">
        <x:v>0</x:v>
      </x:c>
      <x:c r="F328" t="str">
        <x:v>Missouri State Bears</x:v>
      </x:c>
      <x:c r="G328" t="str">
        <x:v>MOST</x:v>
      </x:c>
      <x:c r="H328" s="69" t="n">
        <x:v>0</x:v>
      </x:c>
      <x:c r="I328" t="str">
        <x:v>1-2</x:v>
      </x:c>
      <x:c r="J328" t="str">
        <x:f>IF(E328&lt;&gt;TRUE,"",IF(H328&gt;M328,"W",IF(H328&lt;M328,"L","T")))</x:f>
      </x:c>
      <x:c r="K328" t="str">
        <x:v>SMU Mustangs</x:v>
      </x:c>
      <x:c r="L328" t="str">
        <x:v>SMU</x:v>
      </x:c>
      <x:c r="M328" s="69" t="n">
        <x:v>0</x:v>
      </x:c>
      <x:c r="N328" t="str">
        <x:v>2-1</x:v>
      </x:c>
      <x:c r="O328" t="str">
        <x:f>IF(E328&lt;&gt;TRUE,"",IF(M328&gt;H328,"W",IF(M328&lt;H328,"L","T")))</x:f>
      </x:c>
      <x:c r="P328" s="66" t="b">
        <x:v>0</x:v>
      </x:c>
      <x:c r="Q328" s="66" t="b">
        <x:v>0</x:v>
      </x:c>
      <x:c r="R328" t="str">
        <x:v>Gerald J. Ford Stadium</x:v>
      </x:c>
      <x:c r="S328" t="str">
        <x:v>ACC Network</x:v>
      </x:c>
      <x:c r="T328" t="str">
        <x:v>SMU -34.5</x:v>
      </x:c>
      <x:c r="U328" s="70" t="n">
        <x:v>-34.5</x:v>
      </x:c>
      <x:c r="V328" s="70" t="n">
        <x:v>58.5</x:v>
      </x:c>
      <x:c r="W328" t="str">
        <x:v>DraftKings</x:v>
      </x:c>
      <x:c r="X328" t="str">
        <x:v>https://www.espn.com/college-football/game/_/gameId/401858241</x:v>
      </x:c>
    </x:row>
    <x:row r="329">
      <x:c r="A329" t="str">
        <x:v>CFB</x:v>
      </x:c>
      <x:c r="B329" t="n">
        <x:v>4</x:v>
      </x:c>
      <x:c r="C329" s="68" t="n">
        <x:v>46292.041666666664</x:v>
      </x:c>
      <x:c r="D329" s="71" t="str">
        <x:v>pre</x:v>
      </x:c>
      <x:c r="E329" s="72" t="b">
        <x:v>0</x:v>
      </x:c>
      <x:c r="F329" t="str">
        <x:v>Oregon State Beavers</x:v>
      </x:c>
      <x:c r="G329" t="str">
        <x:v>ORST</x:v>
      </x:c>
      <x:c r="H329" s="69" t="n">
        <x:v>0</x:v>
      </x:c>
      <x:c r="I329" t="str">
        <x:v>1-2</x:v>
      </x:c>
      <x:c r="J329" t="str">
        <x:f>IF(E329&lt;&gt;TRUE,"",IF(H329&gt;M329,"W",IF(H329&lt;M329,"L","T")))</x:f>
      </x:c>
      <x:c r="K329" t="str">
        <x:v>UTEP Miners</x:v>
      </x:c>
      <x:c r="L329" t="str">
        <x:v>UTEP</x:v>
      </x:c>
      <x:c r="M329" s="69" t="n">
        <x:v>0</x:v>
      </x:c>
      <x:c r="N329" t="str">
        <x:v>1-2</x:v>
      </x:c>
      <x:c r="O329" t="str">
        <x:f>IF(E329&lt;&gt;TRUE,"",IF(M329&gt;H329,"W",IF(M329&lt;H329,"L","T")))</x:f>
      </x:c>
      <x:c r="P329" s="66" t="b">
        <x:v>0</x:v>
      </x:c>
      <x:c r="Q329" s="66" t="b">
        <x:v>0</x:v>
      </x:c>
      <x:c r="R329" t="str">
        <x:v>Sun Bowl</x:v>
      </x:c>
      <x:c r="S329" t="str">
        <x:v>MW+</x:v>
      </x:c>
      <x:c r="T329" t="str">
        <x:v>ORST -11.5</x:v>
      </x:c>
      <x:c r="U329" s="70" t="n">
        <x:v>11.5</x:v>
      </x:c>
      <x:c r="V329" s="70" t="n">
        <x:v>53.5</x:v>
      </x:c>
      <x:c r="W329" t="str">
        <x:v>DraftKings</x:v>
      </x:c>
      <x:c r="X329" t="str">
        <x:v>https://www.espn.com/college-football/game/_/gameId/401860895</x:v>
      </x:c>
    </x:row>
    <x:row r="330">
      <x:c r="A330" t="str">
        <x:v>CFB</x:v>
      </x:c>
      <x:c r="B330" t="n">
        <x:v>4</x:v>
      </x:c>
      <x:c r="C330" s="68" t="n">
        <x:v>46292.041666666664</x:v>
      </x:c>
      <x:c r="D330" s="71" t="str">
        <x:v>pre</x:v>
      </x:c>
      <x:c r="E330" s="72" t="b">
        <x:v>0</x:v>
      </x:c>
      <x:c r="F330" t="str">
        <x:v>Massachusetts Minutemen</x:v>
      </x:c>
      <x:c r="G330" t="str">
        <x:v>MASS</x:v>
      </x:c>
      <x:c r="H330" s="69" t="n">
        <x:v>0</x:v>
      </x:c>
      <x:c r="I330" t="str">
        <x:v>3-0</x:v>
      </x:c>
      <x:c r="J330" t="str">
        <x:f>IF(E330&lt;&gt;TRUE,"",IF(H330&gt;M330,"W",IF(H330&lt;M330,"L","T")))</x:f>
      </x:c>
      <x:c r="K330" t="str">
        <x:v>Sacramento State Hornets</x:v>
      </x:c>
      <x:c r="L330" t="str">
        <x:v>SAC</x:v>
      </x:c>
      <x:c r="M330" s="69" t="n">
        <x:v>0</x:v>
      </x:c>
      <x:c r="N330" t="str">
        <x:v>1-3</x:v>
      </x:c>
      <x:c r="O330" t="str">
        <x:f>IF(E330&lt;&gt;TRUE,"",IF(M330&gt;H330,"W",IF(M330&lt;H330,"L","T")))</x:f>
      </x:c>
      <x:c r="P330" s="66" t="b">
        <x:v>0</x:v>
      </x:c>
      <x:c r="Q330" s="66" t="b">
        <x:v>1</x:v>
      </x:c>
      <x:c r="R330" t="str">
        <x:v>Hornet Stadium</x:v>
      </x:c>
      <x:c r="S330" t="str">
        <x:v>ESPN+</x:v>
      </x:c>
      <x:c r="T330" t="str">
        <x:v>MASS -5.5</x:v>
      </x:c>
      <x:c r="U330" s="70" t="n">
        <x:v>5.5</x:v>
      </x:c>
      <x:c r="V330" s="70" t="n">
        <x:v>48.5</x:v>
      </x:c>
      <x:c r="W330" t="str">
        <x:v>DraftKings</x:v>
      </x:c>
      <x:c r="X330" t="str">
        <x:v>https://www.espn.com/college-football/game/_/gameId/401866429</x:v>
      </x:c>
    </x:row>
    <x:row r="331">
      <x:c r="A331" t="str">
        <x:v>CFB</x:v>
      </x:c>
      <x:c r="B331" t="n">
        <x:v>4</x:v>
      </x:c>
      <x:c r="C331" s="68" t="n">
        <x:v>46292.083333333336</x:v>
      </x:c>
      <x:c r="D331" s="71" t="str">
        <x:v>pre</x:v>
      </x:c>
      <x:c r="E331" s="72" t="b">
        <x:v>0</x:v>
      </x:c>
      <x:c r="F331" t="str">
        <x:v>Rice Owls</x:v>
      </x:c>
      <x:c r="G331" t="str">
        <x:v>RICE</x:v>
      </x:c>
      <x:c r="H331" s="69" t="n">
        <x:v>0</x:v>
      </x:c>
      <x:c r="I331" t="str">
        <x:v>1-2</x:v>
      </x:c>
      <x:c r="J331" t="str">
        <x:f>IF(E331&lt;&gt;TRUE,"",IF(H331&gt;M331,"W",IF(H331&lt;M331,"L","T")))</x:f>
      </x:c>
      <x:c r="K331" t="str">
        <x:v>Fresno State Bulldogs</x:v>
      </x:c>
      <x:c r="L331" t="str">
        <x:v>FRES</x:v>
      </x:c>
      <x:c r="M331" s="69" t="n">
        <x:v>0</x:v>
      </x:c>
      <x:c r="N331" t="str">
        <x:v>2-1</x:v>
      </x:c>
      <x:c r="O331" t="str">
        <x:f>IF(E331&lt;&gt;TRUE,"",IF(M331&gt;H331,"W",IF(M331&lt;H331,"L","T")))</x:f>
      </x:c>
      <x:c r="P331" s="66" t="b">
        <x:v>0</x:v>
      </x:c>
      <x:c r="Q331" s="66" t="b">
        <x:v>0</x:v>
      </x:c>
      <x:c r="R331" t="str">
        <x:v>Valley Children's Stadium</x:v>
      </x:c>
      <x:c r="S331" t="str">
        <x:v>CW</x:v>
      </x:c>
      <x:c r="T331" t="str">
        <x:v>FRES -14.5</x:v>
      </x:c>
      <x:c r="U331" s="70" t="n">
        <x:v>-14.5</x:v>
      </x:c>
      <x:c r="V331" s="70" t="n">
        <x:v>44.5</x:v>
      </x:c>
      <x:c r="W331" t="str">
        <x:v>DraftKings</x:v>
      </x:c>
      <x:c r="X331" t="str">
        <x:v>https://www.espn.com/college-football/game/_/gameId/401860891</x:v>
      </x:c>
    </x:row>
    <x:row r="332">
      <x:c r="A332" t="str">
        <x:v>CFB</x:v>
      </x:c>
      <x:c r="B332" t="n">
        <x:v>4</x:v>
      </x:c>
      <x:c r="C332" s="68" t="n">
        <x:v>46292.104166666664</x:v>
      </x:c>
      <x:c r="D332" s="71" t="str">
        <x:v>pre</x:v>
      </x:c>
      <x:c r="E332" s="72" t="b">
        <x:v>0</x:v>
      </x:c>
      <x:c r="F332" t="str">
        <x:v>Georgia Tech Yellow Jackets</x:v>
      </x:c>
      <x:c r="G332" t="str">
        <x:v>GT</x:v>
      </x:c>
      <x:c r="H332" s="69" t="n">
        <x:v>0</x:v>
      </x:c>
      <x:c r="I332" t="str">
        <x:v>1-2</x:v>
      </x:c>
      <x:c r="J332" t="str">
        <x:f>IF(E332&lt;&gt;TRUE,"",IF(H332&gt;M332,"W",IF(H332&lt;M332,"L","T")))</x:f>
      </x:c>
      <x:c r="K332" t="str">
        <x:v>Stanford Cardinal</x:v>
      </x:c>
      <x:c r="L332" t="str">
        <x:v>STAN</x:v>
      </x:c>
      <x:c r="M332" s="69" t="n">
        <x:v>0</x:v>
      </x:c>
      <x:c r="N332" t="str">
        <x:v>1-2</x:v>
      </x:c>
      <x:c r="O332" t="str">
        <x:f>IF(E332&lt;&gt;TRUE,"",IF(M332&gt;H332,"W",IF(M332&lt;H332,"L","T")))</x:f>
      </x:c>
      <x:c r="P332" s="66" t="b">
        <x:v>0</x:v>
      </x:c>
      <x:c r="Q332" s="66" t="b">
        <x:v>1</x:v>
      </x:c>
      <x:c r="R332" t="str">
        <x:v>Stanford Stadium</x:v>
      </x:c>
      <x:c r="S332" t="str">
        <x:v>ESPN</x:v>
      </x:c>
      <x:c r="T332" t="str">
        <x:v>GT -3.5</x:v>
      </x:c>
      <x:c r="U332" s="70" t="n">
        <x:v>3.5</x:v>
      </x:c>
      <x:c r="V332" s="70" t="n">
        <x:v>48.5</x:v>
      </x:c>
      <x:c r="W332" t="str">
        <x:v>DraftKings</x:v>
      </x:c>
      <x:c r="X332" t="str">
        <x:v>https://www.espn.com/college-football/game/_/gameId/401858240</x:v>
      </x:c>
    </x:row>
    <x:row r="333">
      <x:c r="A333" t="str">
        <x:v>CFB</x:v>
      </x:c>
      <x:c r="B333" t="n">
        <x:v>4</x:v>
      </x:c>
      <x:c r="C333" s="68" t="n">
        <x:v>46292.104166666664</x:v>
      </x:c>
      <x:c r="D333" s="71" t="str">
        <x:v>pre</x:v>
      </x:c>
      <x:c r="E333" s="72" t="b">
        <x:v>0</x:v>
      </x:c>
      <x:c r="F333" t="str">
        <x:v>Air Force Falcons</x:v>
      </x:c>
      <x:c r="G333" t="str">
        <x:v>AFA</x:v>
      </x:c>
      <x:c r="H333" s="69" t="n">
        <x:v>0</x:v>
      </x:c>
      <x:c r="I333" t="str">
        <x:v>1-1</x:v>
      </x:c>
      <x:c r="J333" t="str">
        <x:f>IF(E333&lt;&gt;TRUE,"",IF(H333&gt;M333,"W",IF(H333&lt;M333,"L","T")))</x:f>
      </x:c>
      <x:c r="K333" t="str">
        <x:v>Nevada Wolf Pack</x:v>
      </x:c>
      <x:c r="L333" t="str">
        <x:v>NEV</x:v>
      </x:c>
      <x:c r="M333" s="69" t="n">
        <x:v>0</x:v>
      </x:c>
      <x:c r="N333" t="str">
        <x:v>1-2</x:v>
      </x:c>
      <x:c r="O333" t="str">
        <x:f>IF(E333&lt;&gt;TRUE,"",IF(M333&gt;H333,"W",IF(M333&lt;H333,"L","T")))</x:f>
      </x:c>
      <x:c r="P333" s="66" t="b">
        <x:v>0</x:v>
      </x:c>
      <x:c r="Q333" s="66" t="b">
        <x:v>1</x:v>
      </x:c>
      <x:c r="R333" t="str">
        <x:v>Mackay Stadium</x:v>
      </x:c>
      <x:c r="S333" t="str">
        <x:v>FS1</x:v>
      </x:c>
      <x:c r="T333" t="str">
        <x:v>AF -4</x:v>
      </x:c>
      <x:c r="U333" s="70" t="n">
        <x:v>4</x:v>
      </x:c>
      <x:c r="V333" s="70" t="n">
        <x:v>49.5</x:v>
      </x:c>
      <x:c r="W333" t="str">
        <x:v>DraftKings</x:v>
      </x:c>
      <x:c r="X333" t="str">
        <x:v>https://www.espn.com/college-football/game/_/gameId/401864509</x:v>
      </x:c>
    </x:row>
    <x:row r="334">
      <x:c r="A334" t="str">
        <x:v>CFB</x:v>
      </x:c>
      <x:c r="B334" t="n">
        <x:v>4</x:v>
      </x:c>
      <x:c r="C334" s="68" t="n">
        <x:v>46292.125</x:v>
      </x:c>
      <x:c r="D334" s="71" t="str">
        <x:v>pre</x:v>
      </x:c>
      <x:c r="E334" s="72" t="b">
        <x:v>0</x:v>
      </x:c>
      <x:c r="F334" t="str">
        <x:v>Minnesota Golden Gophers</x:v>
      </x:c>
      <x:c r="G334" t="str">
        <x:v>MINN</x:v>
      </x:c>
      <x:c r="H334" s="69" t="n">
        <x:v>0</x:v>
      </x:c>
      <x:c r="I334" t="str">
        <x:v>2-1</x:v>
      </x:c>
      <x:c r="J334" t="str">
        <x:f>IF(E334&lt;&gt;TRUE,"",IF(H334&gt;M334,"W",IF(H334&lt;M334,"L","T")))</x:f>
      </x:c>
      <x:c r="K334" t="str">
        <x:v>Washington Huskies</x:v>
      </x:c>
      <x:c r="L334" t="str">
        <x:v>WASH</x:v>
      </x:c>
      <x:c r="M334" s="69" t="n">
        <x:v>0</x:v>
      </x:c>
      <x:c r="N334" t="str">
        <x:v>3-0</x:v>
      </x:c>
      <x:c r="O334" t="str">
        <x:f>IF(E334&lt;&gt;TRUE,"",IF(M334&gt;H334,"W",IF(M334&lt;H334,"L","T")))</x:f>
      </x:c>
      <x:c r="P334" s="66" t="b">
        <x:v>0</x:v>
      </x:c>
      <x:c r="Q334" s="66" t="b">
        <x:v>1</x:v>
      </x:c>
      <x:c r="R334" t="str">
        <x:v>Husky Stadium</x:v>
      </x:c>
      <x:c r="S334" t="str">
        <x:v>FOX</x:v>
      </x:c>
      <x:c r="T334" t="str">
        <x:v>WASH -8.5</x:v>
      </x:c>
      <x:c r="U334" s="70" t="n">
        <x:v>-8.5</x:v>
      </x:c>
      <x:c r="V334" s="70" t="n">
        <x:v>45.5</x:v>
      </x:c>
      <x:c r="W334" t="str">
        <x:v>DraftKings</x:v>
      </x:c>
      <x:c r="X334" t="str">
        <x:v>https://www.espn.com/college-football/game/_/gameId/401858470</x:v>
      </x:c>
    </x:row>
    <x:row r="335">
      <x:c r="A335" t="str">
        <x:v>CFB</x:v>
      </x:c>
      <x:c r="B335" t="n">
        <x:v>5</x:v>
      </x:c>
      <x:c r="C335" s="68" t="n">
        <x:v>46297</x:v>
      </x:c>
      <x:c r="D335" s="71" t="str">
        <x:v>pre</x:v>
      </x:c>
      <x:c r="E335" s="72" t="b">
        <x:v>0</x:v>
      </x:c>
      <x:c r="F335" t="str">
        <x:v>Western Kentucky Hilltoppers</x:v>
      </x:c>
      <x:c r="G335" t="str">
        <x:v>WKU</x:v>
      </x:c>
      <x:c r="H335" s="69" t="n">
        <x:v>0</x:v>
      </x:c>
      <x:c r="I335" t="str">
        <x:v>0-3</x:v>
      </x:c>
      <x:c r="J335" t="str">
        <x:f>IF(E335&lt;&gt;TRUE,"",IF(H335&gt;M335,"W",IF(H335&lt;M335,"L","T")))</x:f>
      </x:c>
      <x:c r="K335" t="str">
        <x:v>New Mexico State Aggies</x:v>
      </x:c>
      <x:c r="L335" t="str">
        <x:v>NMSU</x:v>
      </x:c>
      <x:c r="M335" s="69" t="n">
        <x:v>0</x:v>
      </x:c>
      <x:c r="N335" t="str">
        <x:v>1-2</x:v>
      </x:c>
      <x:c r="O335" t="str">
        <x:f>IF(E335&lt;&gt;TRUE,"",IF(M335&gt;H335,"W",IF(M335&lt;H335,"L","T")))</x:f>
      </x:c>
      <x:c r="P335" s="66" t="b">
        <x:v>0</x:v>
      </x:c>
      <x:c r="Q335" s="66" t="b">
        <x:v>1</x:v>
      </x:c>
      <x:c r="R335" t="str">
        <x:v>Aggie Memorial Stadium</x:v>
      </x:c>
      <x:c r="S335" t="str">
        <x:v>CBSSN</x:v>
      </x:c>
      <x:c r="T335"/>
      <x:c r="U335" s="70"/>
      <x:c r="V335" s="70"/>
      <x:c r="W335"/>
      <x:c r="X335" t="str">
        <x:v>https://www.espn.com/college-football/game/_/gameId/401871049</x:v>
      </x:c>
    </x:row>
    <x:row r="336">
      <x:c r="A336" t="str">
        <x:v>CFB</x:v>
      </x:c>
      <x:c r="B336" t="n">
        <x:v>5</x:v>
      </x:c>
      <x:c r="C336" s="68" t="n">
        <x:v>46297.041666666664</x:v>
      </x:c>
      <x:c r="D336" s="71" t="str">
        <x:v>pre</x:v>
      </x:c>
      <x:c r="E336" s="72" t="b">
        <x:v>0</x:v>
      </x:c>
      <x:c r="F336" t="str">
        <x:v>North Texas Mean Green</x:v>
      </x:c>
      <x:c r="G336" t="str">
        <x:v>UNT</x:v>
      </x:c>
      <x:c r="H336" s="69" t="n">
        <x:v>0</x:v>
      </x:c>
      <x:c r="I336" t="str">
        <x:v>1-2</x:v>
      </x:c>
      <x:c r="J336" t="str">
        <x:f>IF(E336&lt;&gt;TRUE,"",IF(H336&gt;M336,"W",IF(H336&lt;M336,"L","T")))</x:f>
      </x:c>
      <x:c r="K336" t="str">
        <x:v>Tulsa Golden Hurricane</x:v>
      </x:c>
      <x:c r="L336" t="str">
        <x:v>TLSA</x:v>
      </x:c>
      <x:c r="M336" s="69" t="n">
        <x:v>0</x:v>
      </x:c>
      <x:c r="N336" t="str">
        <x:v>3-0</x:v>
      </x:c>
      <x:c r="O336" t="str">
        <x:f>IF(E336&lt;&gt;TRUE,"",IF(M336&gt;H336,"W",IF(M336&lt;H336,"L","T")))</x:f>
      </x:c>
      <x:c r="P336" s="66" t="b">
        <x:v>0</x:v>
      </x:c>
      <x:c r="Q336" s="66" t="b">
        <x:v>1</x:v>
      </x:c>
      <x:c r="R336" t="str">
        <x:v>H. A. Chapman Stadium</x:v>
      </x:c>
      <x:c r="S336" t="str">
        <x:v>ESPN</x:v>
      </x:c>
      <x:c r="T336"/>
      <x:c r="U336" s="70"/>
      <x:c r="V336" s="70"/>
      <x:c r="W336"/>
      <x:c r="X336" t="str">
        <x:v>https://www.espn.com/college-football/game/_/gameId/401862786</x:v>
      </x:c>
    </x:row>
    <x:row r="337">
      <x:c r="A337" t="str">
        <x:v>CFB</x:v>
      </x:c>
      <x:c r="B337" t="n">
        <x:v>5</x:v>
      </x:c>
      <x:c r="C337" s="68" t="n">
        <x:v>46297.958333333336</x:v>
      </x:c>
      <x:c r="D337" s="71" t="str">
        <x:v>pre</x:v>
      </x:c>
      <x:c r="E337" s="72" t="b">
        <x:v>0</x:v>
      </x:c>
      <x:c r="F337" t="str">
        <x:v>Pittsburgh Panthers</x:v>
      </x:c>
      <x:c r="G337" t="str">
        <x:v>PITT</x:v>
      </x:c>
      <x:c r="H337" s="69" t="n">
        <x:v>0</x:v>
      </x:c>
      <x:c r="I337" t="str">
        <x:v>3-0</x:v>
      </x:c>
      <x:c r="J337" t="str">
        <x:f>IF(E337&lt;&gt;TRUE,"",IF(H337&gt;M337,"W",IF(H337&lt;M337,"L","T")))</x:f>
      </x:c>
      <x:c r="K337" t="str">
        <x:v>Virginia Tech Hokies</x:v>
      </x:c>
      <x:c r="L337" t="str">
        <x:v>VT</x:v>
      </x:c>
      <x:c r="M337" s="69" t="n">
        <x:v>0</x:v>
      </x:c>
      <x:c r="N337" t="str">
        <x:v>3-0</x:v>
      </x:c>
      <x:c r="O337" t="str">
        <x:f>IF(E337&lt;&gt;TRUE,"",IF(M337&gt;H337,"W",IF(M337&lt;H337,"L","T")))</x:f>
      </x:c>
      <x:c r="P337" s="66" t="b">
        <x:v>0</x:v>
      </x:c>
      <x:c r="Q337" s="66" t="b">
        <x:v>1</x:v>
      </x:c>
      <x:c r="R337" t="str">
        <x:v>Lane Stadium</x:v>
      </x:c>
      <x:c r="S337" t="str">
        <x:v>ESPN</x:v>
      </x:c>
      <x:c r="T337"/>
      <x:c r="U337" s="70"/>
      <x:c r="V337" s="70"/>
      <x:c r="W337"/>
      <x:c r="X337" t="str">
        <x:v>https://www.espn.com/college-football/game/_/gameId/401858245</x:v>
      </x:c>
    </x:row>
    <x:row r="338">
      <x:c r="A338" t="str">
        <x:v>CFB</x:v>
      </x:c>
      <x:c r="B338" t="n">
        <x:v>5</x:v>
      </x:c>
      <x:c r="C338" s="68" t="n">
        <x:v>46297.958333333336</x:v>
      </x:c>
      <x:c r="D338" s="71" t="str">
        <x:v>pre</x:v>
      </x:c>
      <x:c r="E338" s="72" t="b">
        <x:v>0</x:v>
      </x:c>
      <x:c r="F338" t="str">
        <x:v>Liberty Flames</x:v>
      </x:c>
      <x:c r="G338" t="str">
        <x:v>LIB</x:v>
      </x:c>
      <x:c r="H338" s="69" t="n">
        <x:v>0</x:v>
      </x:c>
      <x:c r="I338" t="str">
        <x:v>2-1</x:v>
      </x:c>
      <x:c r="J338" t="str">
        <x:f>IF(E338&lt;&gt;TRUE,"",IF(H338&gt;M338,"W",IF(H338&lt;M338,"L","T")))</x:f>
      </x:c>
      <x:c r="K338" t="str">
        <x:v>Delaware Blue Hens</x:v>
      </x:c>
      <x:c r="L338" t="str">
        <x:v>DEL</x:v>
      </x:c>
      <x:c r="M338" s="69" t="n">
        <x:v>0</x:v>
      </x:c>
      <x:c r="N338" t="str">
        <x:v>2-1</x:v>
      </x:c>
      <x:c r="O338" t="str">
        <x:f>IF(E338&lt;&gt;TRUE,"",IF(M338&gt;H338,"W",IF(M338&lt;H338,"L","T")))</x:f>
      </x:c>
      <x:c r="P338" s="66" t="b">
        <x:v>0</x:v>
      </x:c>
      <x:c r="Q338" s="66" t="b">
        <x:v>1</x:v>
      </x:c>
      <x:c r="R338" t="str">
        <x:v>Delaware Stadium</x:v>
      </x:c>
      <x:c r="S338" t="str">
        <x:v>CBSSN</x:v>
      </x:c>
      <x:c r="T338"/>
      <x:c r="U338" s="70"/>
      <x:c r="V338" s="70"/>
      <x:c r="W338"/>
      <x:c r="X338" t="str">
        <x:v>https://www.espn.com/college-football/game/_/gameId/401871050</x:v>
      </x:c>
    </x:row>
    <x:row r="339">
      <x:c r="A339" t="str">
        <x:v>CFB</x:v>
      </x:c>
      <x:c r="B339" t="n">
        <x:v>5</x:v>
      </x:c>
      <x:c r="C339" s="68" t="n">
        <x:v>46298</x:v>
      </x:c>
      <x:c r="D339" s="71" t="str">
        <x:v>pre</x:v>
      </x:c>
      <x:c r="E339" s="72" t="b">
        <x:v>0</x:v>
      </x:c>
      <x:c r="F339" t="str">
        <x:v>Penn State Nittany Lions</x:v>
      </x:c>
      <x:c r="G339" t="str">
        <x:v>PSU</x:v>
      </x:c>
      <x:c r="H339" s="69" t="n">
        <x:v>0</x:v>
      </x:c>
      <x:c r="I339" t="str">
        <x:v>3-0</x:v>
      </x:c>
      <x:c r="J339" t="str">
        <x:f>IF(E339&lt;&gt;TRUE,"",IF(H339&gt;M339,"W",IF(H339&lt;M339,"L","T")))</x:f>
      </x:c>
      <x:c r="K339" t="str">
        <x:v>Northwestern Wildcats</x:v>
      </x:c>
      <x:c r="L339" t="str">
        <x:v>NU</x:v>
      </x:c>
      <x:c r="M339" s="69" t="n">
        <x:v>0</x:v>
      </x:c>
      <x:c r="N339" t="str">
        <x:v>2-0</x:v>
      </x:c>
      <x:c r="O339" t="str">
        <x:f>IF(E339&lt;&gt;TRUE,"",IF(M339&gt;H339,"W",IF(M339&lt;H339,"L","T")))</x:f>
      </x:c>
      <x:c r="P339" s="66" t="b">
        <x:v>0</x:v>
      </x:c>
      <x:c r="Q339" s="66" t="b">
        <x:v>1</x:v>
      </x:c>
      <x:c r="R339" t="str">
        <x:v>Ryan Field</x:v>
      </x:c>
      <x:c r="S339" t="str">
        <x:v>FOX</x:v>
      </x:c>
      <x:c r="T339"/>
      <x:c r="U339" s="70"/>
      <x:c r="V339" s="70"/>
      <x:c r="W339"/>
      <x:c r="X339" t="str">
        <x:v>https://www.espn.com/college-football/game/_/gameId/401858476</x:v>
      </x:c>
    </x:row>
    <x:row r="340">
      <x:c r="A340" t="str">
        <x:v>CFB</x:v>
      </x:c>
      <x:c r="B340" t="n">
        <x:v>5</x:v>
      </x:c>
      <x:c r="C340" s="68" t="n">
        <x:v>46298</x:v>
      </x:c>
      <x:c r="D340" s="71" t="str">
        <x:v>pre</x:v>
      </x:c>
      <x:c r="E340" s="72" t="b">
        <x:v>0</x:v>
      </x:c>
      <x:c r="F340" t="str">
        <x:v>Vanderbilt Commodores</x:v>
      </x:c>
      <x:c r="G340" t="str">
        <x:v>VAN</x:v>
      </x:c>
      <x:c r="H340" s="69" t="n">
        <x:v>0</x:v>
      </x:c>
      <x:c r="I340" t="str">
        <x:v>3-0</x:v>
      </x:c>
      <x:c r="J340" t="str">
        <x:f>IF(E340&lt;&gt;TRUE,"",IF(H340&gt;M340,"W",IF(H340&lt;M340,"L","T")))</x:f>
      </x:c>
      <x:c r="K340" t="str">
        <x:v>Georgia Bulldogs</x:v>
      </x:c>
      <x:c r="L340" t="str">
        <x:v>UGA</x:v>
      </x:c>
      <x:c r="M340" s="69" t="n">
        <x:v>0</x:v>
      </x:c>
      <x:c r="N340" t="str">
        <x:v>3-0</x:v>
      </x:c>
      <x:c r="O340" t="str">
        <x:f>IF(E340&lt;&gt;TRUE,"",IF(M340&gt;H340,"W",IF(M340&lt;H340,"L","T")))</x:f>
      </x:c>
      <x:c r="P340" s="66" t="b">
        <x:v>0</x:v>
      </x:c>
      <x:c r="Q340" s="66" t="b">
        <x:v>1</x:v>
      </x:c>
      <x:c r="R340" t="str">
        <x:v>Sanford Stadium</x:v>
      </x:c>
      <x:c r="S340" t="str"/>
      <x:c r="T340"/>
      <x:c r="U340" s="70"/>
      <x:c r="V340" s="70"/>
      <x:c r="W340"/>
      <x:c r="X340" t="str">
        <x:v>https://www.espn.com/college-football/game/_/gameId/401856705</x:v>
      </x:c>
    </x:row>
    <x:row r="341">
      <x:c r="A341" t="str">
        <x:v>CFB</x:v>
      </x:c>
      <x:c r="B341" t="n">
        <x:v>5</x:v>
      </x:c>
      <x:c r="C341" s="68" t="n">
        <x:v>46298</x:v>
      </x:c>
      <x:c r="D341" s="71" t="str">
        <x:v>pre</x:v>
      </x:c>
      <x:c r="E341" s="72" t="b">
        <x:v>0</x:v>
      </x:c>
      <x:c r="F341" t="str">
        <x:v>Alabama Crimson Tide</x:v>
      </x:c>
      <x:c r="G341" t="str">
        <x:v>ALA</x:v>
      </x:c>
      <x:c r="H341" s="69" t="n">
        <x:v>0</x:v>
      </x:c>
      <x:c r="I341" t="str">
        <x:v>3-0</x:v>
      </x:c>
      <x:c r="J341" t="str">
        <x:f>IF(E341&lt;&gt;TRUE,"",IF(H341&gt;M341,"W",IF(H341&lt;M341,"L","T")))</x:f>
      </x:c>
      <x:c r="K341" t="str">
        <x:v>Mississippi State Bulldogs</x:v>
      </x:c>
      <x:c r="L341" t="str">
        <x:v>MSST</x:v>
      </x:c>
      <x:c r="M341" s="69" t="n">
        <x:v>0</x:v>
      </x:c>
      <x:c r="N341" t="str">
        <x:v>3-0</x:v>
      </x:c>
      <x:c r="O341" t="str">
        <x:f>IF(E341&lt;&gt;TRUE,"",IF(M341&gt;H341,"W",IF(M341&lt;H341,"L","T")))</x:f>
      </x:c>
      <x:c r="P341" s="66" t="b">
        <x:v>0</x:v>
      </x:c>
      <x:c r="Q341" s="66" t="b">
        <x:v>1</x:v>
      </x:c>
      <x:c r="R341" t="str">
        <x:v>Davis Wade Stadium</x:v>
      </x:c>
      <x:c r="S341" t="str"/>
      <x:c r="T341"/>
      <x:c r="U341" s="70"/>
      <x:c r="V341" s="70"/>
      <x:c r="W341"/>
      <x:c r="X341" t="str">
        <x:v>https://www.espn.com/college-football/game/_/gameId/401856707</x:v>
      </x:c>
    </x:row>
    <x:row r="342">
      <x:c r="A342" t="str">
        <x:v>CFB</x:v>
      </x:c>
      <x:c r="B342" t="n">
        <x:v>5</x:v>
      </x:c>
      <x:c r="C342" s="68" t="n">
        <x:v>46298</x:v>
      </x:c>
      <x:c r="D342" s="71" t="str">
        <x:v>pre</x:v>
      </x:c>
      <x:c r="E342" s="72" t="b">
        <x:v>0</x:v>
      </x:c>
      <x:c r="F342" t="str">
        <x:v>Florida Gators</x:v>
      </x:c>
      <x:c r="G342" t="str">
        <x:v>FLA</x:v>
      </x:c>
      <x:c r="H342" s="69" t="n">
        <x:v>0</x:v>
      </x:c>
      <x:c r="I342" t="str">
        <x:v>3-0</x:v>
      </x:c>
      <x:c r="J342" t="str">
        <x:f>IF(E342&lt;&gt;TRUE,"",IF(H342&gt;M342,"W",IF(H342&lt;M342,"L","T")))</x:f>
      </x:c>
      <x:c r="K342" t="str">
        <x:v>Missouri Tigers</x:v>
      </x:c>
      <x:c r="L342" t="str">
        <x:v>MIZ</x:v>
      </x:c>
      <x:c r="M342" s="69" t="n">
        <x:v>0</x:v>
      </x:c>
      <x:c r="N342" t="str">
        <x:v>3-0</x:v>
      </x:c>
      <x:c r="O342" t="str">
        <x:f>IF(E342&lt;&gt;TRUE,"",IF(M342&gt;H342,"W",IF(M342&lt;H342,"L","T")))</x:f>
      </x:c>
      <x:c r="P342" s="66" t="b">
        <x:v>0</x:v>
      </x:c>
      <x:c r="Q342" s="66" t="b">
        <x:v>1</x:v>
      </x:c>
      <x:c r="R342" t="str">
        <x:v>Memorial Stadium</x:v>
      </x:c>
      <x:c r="S342" t="str"/>
      <x:c r="T342"/>
      <x:c r="U342" s="70"/>
      <x:c r="V342" s="70"/>
      <x:c r="W342"/>
      <x:c r="X342" t="str">
        <x:v>https://www.espn.com/college-football/game/_/gameId/401856708</x:v>
      </x:c>
    </x:row>
    <x:row r="343">
      <x:c r="A343" t="str">
        <x:v>CFB</x:v>
      </x:c>
      <x:c r="B343" t="n">
        <x:v>5</x:v>
      </x:c>
      <x:c r="C343" s="68" t="n">
        <x:v>46298</x:v>
      </x:c>
      <x:c r="D343" s="71" t="str">
        <x:v>pre</x:v>
      </x:c>
      <x:c r="E343" s="72" t="b">
        <x:v>0</x:v>
      </x:c>
      <x:c r="F343" t="str">
        <x:v>Kentucky Wildcats</x:v>
      </x:c>
      <x:c r="G343" t="str">
        <x:v>UK</x:v>
      </x:c>
      <x:c r="H343" s="69" t="n">
        <x:v>0</x:v>
      </x:c>
      <x:c r="I343" t="str">
        <x:v>2-1</x:v>
      </x:c>
      <x:c r="J343" t="str">
        <x:f>IF(E343&lt;&gt;TRUE,"",IF(H343&gt;M343,"W",IF(H343&lt;M343,"L","T")))</x:f>
      </x:c>
      <x:c r="K343" t="str">
        <x:v>South Carolina Gamecocks</x:v>
      </x:c>
      <x:c r="L343" t="str">
        <x:v>SC</x:v>
      </x:c>
      <x:c r="M343" s="69" t="n">
        <x:v>0</x:v>
      </x:c>
      <x:c r="N343" t="str">
        <x:v>2-1</x:v>
      </x:c>
      <x:c r="O343" t="str">
        <x:f>IF(E343&lt;&gt;TRUE,"",IF(M343&gt;H343,"W",IF(M343&lt;H343,"L","T")))</x:f>
      </x:c>
      <x:c r="P343" s="66" t="b">
        <x:v>0</x:v>
      </x:c>
      <x:c r="Q343" s="66" t="b">
        <x:v>1</x:v>
      </x:c>
      <x:c r="R343" t="str">
        <x:v>Williams-Brice Stadium</x:v>
      </x:c>
      <x:c r="S343" t="str"/>
      <x:c r="T343"/>
      <x:c r="U343" s="70"/>
      <x:c r="V343" s="70"/>
      <x:c r="W343"/>
      <x:c r="X343" t="str">
        <x:v>https://www.espn.com/college-football/game/_/gameId/401856709</x:v>
      </x:c>
    </x:row>
    <x:row r="344">
      <x:c r="A344" t="str">
        <x:v>CFB</x:v>
      </x:c>
      <x:c r="B344" t="n">
        <x:v>5</x:v>
      </x:c>
      <x:c r="C344" s="68" t="n">
        <x:v>46298</x:v>
      </x:c>
      <x:c r="D344" s="71" t="str">
        <x:v>pre</x:v>
      </x:c>
      <x:c r="E344" s="72" t="b">
        <x:v>0</x:v>
      </x:c>
      <x:c r="F344" t="str">
        <x:v>Auburn Tigers</x:v>
      </x:c>
      <x:c r="G344" t="str">
        <x:v>AUB</x:v>
      </x:c>
      <x:c r="H344" s="69" t="n">
        <x:v>0</x:v>
      </x:c>
      <x:c r="I344" t="str">
        <x:v>2-1</x:v>
      </x:c>
      <x:c r="J344" t="str">
        <x:f>IF(E344&lt;&gt;TRUE,"",IF(H344&gt;M344,"W",IF(H344&lt;M344,"L","T")))</x:f>
      </x:c>
      <x:c r="K344" t="str">
        <x:v>Tennessee Volunteers</x:v>
      </x:c>
      <x:c r="L344" t="str">
        <x:v>TENN</x:v>
      </x:c>
      <x:c r="M344" s="69" t="n">
        <x:v>0</x:v>
      </x:c>
      <x:c r="N344" t="str">
        <x:v>3-0</x:v>
      </x:c>
      <x:c r="O344" t="str">
        <x:f>IF(E344&lt;&gt;TRUE,"",IF(M344&gt;H344,"W",IF(M344&lt;H344,"L","T")))</x:f>
      </x:c>
      <x:c r="P344" s="66" t="b">
        <x:v>0</x:v>
      </x:c>
      <x:c r="Q344" s="66" t="b">
        <x:v>1</x:v>
      </x:c>
      <x:c r="R344" t="str">
        <x:v>Neyland Stadium</x:v>
      </x:c>
      <x:c r="S344" t="str"/>
      <x:c r="T344"/>
      <x:c r="U344" s="70"/>
      <x:c r="V344" s="70"/>
      <x:c r="W344"/>
      <x:c r="X344" t="str">
        <x:v>https://www.espn.com/college-football/game/_/gameId/401856710</x:v>
      </x:c>
    </x:row>
    <x:row r="345">
      <x:c r="A345" t="str">
        <x:v>CFB</x:v>
      </x:c>
      <x:c r="B345" t="n">
        <x:v>5</x:v>
      </x:c>
      <x:c r="C345" s="68" t="n">
        <x:v>46298</x:v>
      </x:c>
      <x:c r="D345" s="71" t="str">
        <x:v>pre</x:v>
      </x:c>
      <x:c r="E345" s="72" t="b">
        <x:v>0</x:v>
      </x:c>
      <x:c r="F345" t="str">
        <x:v>Arkansas Razorbacks</x:v>
      </x:c>
      <x:c r="G345" t="str">
        <x:v>ARK</x:v>
      </x:c>
      <x:c r="H345" s="69" t="n">
        <x:v>0</x:v>
      </x:c>
      <x:c r="I345" t="str">
        <x:v>1-2</x:v>
      </x:c>
      <x:c r="J345" t="str">
        <x:f>IF(E345&lt;&gt;TRUE,"",IF(H345&gt;M345,"W",IF(H345&lt;M345,"L","T")))</x:f>
      </x:c>
      <x:c r="K345" t="str">
        <x:v>Texas A&amp;M Aggies</x:v>
      </x:c>
      <x:c r="L345" t="str">
        <x:v>TA&amp;M</x:v>
      </x:c>
      <x:c r="M345" s="69" t="n">
        <x:v>0</x:v>
      </x:c>
      <x:c r="N345" t="str">
        <x:v>2-1</x:v>
      </x:c>
      <x:c r="O345" t="str">
        <x:f>IF(E345&lt;&gt;TRUE,"",IF(M345&gt;H345,"W",IF(M345&lt;H345,"L","T")))</x:f>
      </x:c>
      <x:c r="P345" s="66" t="b">
        <x:v>0</x:v>
      </x:c>
      <x:c r="Q345" s="66" t="b">
        <x:v>1</x:v>
      </x:c>
      <x:c r="R345" t="str">
        <x:v>Kyle Field</x:v>
      </x:c>
      <x:c r="S345" t="str"/>
      <x:c r="T345"/>
      <x:c r="U345" s="70"/>
      <x:c r="V345" s="70"/>
      <x:c r="W345"/>
      <x:c r="X345" t="str">
        <x:v>https://www.espn.com/college-football/game/_/gameId/401856711</x:v>
      </x:c>
    </x:row>
    <x:row r="346">
      <x:c r="A346" t="str">
        <x:v>CFB</x:v>
      </x:c>
      <x:c r="B346" t="n">
        <x:v>5</x:v>
      </x:c>
      <x:c r="C346" s="68" t="n">
        <x:v>46298</x:v>
      </x:c>
      <x:c r="D346" s="71" t="str">
        <x:v>pre</x:v>
      </x:c>
      <x:c r="E346" s="72" t="b">
        <x:v>0</x:v>
      </x:c>
      <x:c r="F346" t="str">
        <x:v>Middle Tennessee Blue Raiders</x:v>
      </x:c>
      <x:c r="G346" t="str">
        <x:v>MTSU</x:v>
      </x:c>
      <x:c r="H346" s="69" t="n">
        <x:v>0</x:v>
      </x:c>
      <x:c r="I346" t="str">
        <x:v>2-1</x:v>
      </x:c>
      <x:c r="J346" t="str">
        <x:f>IF(E346&lt;&gt;TRUE,"",IF(H346&gt;M346,"W",IF(H346&lt;M346,"L","T")))</x:f>
      </x:c>
      <x:c r="K346" t="str">
        <x:v>Kansas Jayhawks</x:v>
      </x:c>
      <x:c r="L346" t="str">
        <x:v>KU</x:v>
      </x:c>
      <x:c r="M346" s="69" t="n">
        <x:v>0</x:v>
      </x:c>
      <x:c r="N346" t="str">
        <x:v>1-2</x:v>
      </x:c>
      <x:c r="O346" t="str">
        <x:f>IF(E346&lt;&gt;TRUE,"",IF(M346&gt;H346,"W",IF(M346&lt;H346,"L","T")))</x:f>
      </x:c>
      <x:c r="P346" s="66" t="b">
        <x:v>0</x:v>
      </x:c>
      <x:c r="Q346" s="66" t="b">
        <x:v>0</x:v>
      </x:c>
      <x:c r="R346" t="str">
        <x:v>David Booth Kansas Memorial Stadium</x:v>
      </x:c>
      <x:c r="S346" t="str"/>
      <x:c r="T346"/>
      <x:c r="U346" s="70"/>
      <x:c r="V346" s="70"/>
      <x:c r="W346"/>
      <x:c r="X346" t="str">
        <x:v>https://www.espn.com/college-football/game/_/gameId/401856807</x:v>
      </x:c>
    </x:row>
    <x:row r="347">
      <x:c r="A347" t="str">
        <x:v>CFB</x:v>
      </x:c>
      <x:c r="B347" t="n">
        <x:v>5</x:v>
      </x:c>
      <x:c r="C347" s="68" t="n">
        <x:v>46298</x:v>
      </x:c>
      <x:c r="D347" s="71" t="str">
        <x:v>pre</x:v>
      </x:c>
      <x:c r="E347" s="72" t="b">
        <x:v>0</x:v>
      </x:c>
      <x:c r="F347" t="str">
        <x:v>Baylor Bears</x:v>
      </x:c>
      <x:c r="G347" t="str">
        <x:v>BAY</x:v>
      </x:c>
      <x:c r="H347" s="69" t="n">
        <x:v>0</x:v>
      </x:c>
      <x:c r="I347" t="str">
        <x:v>2-1</x:v>
      </x:c>
      <x:c r="J347" t="str">
        <x:f>IF(E347&lt;&gt;TRUE,"",IF(H347&gt;M347,"W",IF(H347&lt;M347,"L","T")))</x:f>
      </x:c>
      <x:c r="K347" t="str">
        <x:v>Arizona State Sun Devils</x:v>
      </x:c>
      <x:c r="L347" t="str">
        <x:v>ASU</x:v>
      </x:c>
      <x:c r="M347" s="69" t="n">
        <x:v>0</x:v>
      </x:c>
      <x:c r="N347" t="str">
        <x:v>2-1</x:v>
      </x:c>
      <x:c r="O347" t="str">
        <x:f>IF(E347&lt;&gt;TRUE,"",IF(M347&gt;H347,"W",IF(M347&lt;H347,"L","T")))</x:f>
      </x:c>
      <x:c r="P347" s="66" t="b">
        <x:v>0</x:v>
      </x:c>
      <x:c r="Q347" s="66" t="b">
        <x:v>1</x:v>
      </x:c>
      <x:c r="R347" t="str">
        <x:v>Mountain America Stadium</x:v>
      </x:c>
      <x:c r="S347" t="str"/>
      <x:c r="T347"/>
      <x:c r="U347" s="70"/>
      <x:c r="V347" s="70"/>
      <x:c r="W347"/>
      <x:c r="X347" t="str">
        <x:v>https://www.espn.com/college-football/game/_/gameId/401856817</x:v>
      </x:c>
    </x:row>
    <x:row r="348">
      <x:c r="A348" t="str">
        <x:v>CFB</x:v>
      </x:c>
      <x:c r="B348" t="n">
        <x:v>5</x:v>
      </x:c>
      <x:c r="C348" s="68" t="n">
        <x:v>46298</x:v>
      </x:c>
      <x:c r="D348" s="71" t="str">
        <x:v>pre</x:v>
      </x:c>
      <x:c r="E348" s="72" t="b">
        <x:v>0</x:v>
      </x:c>
      <x:c r="F348" t="str">
        <x:v>BYU Cougars</x:v>
      </x:c>
      <x:c r="G348" t="str">
        <x:v>BYU</x:v>
      </x:c>
      <x:c r="H348" s="69" t="n">
        <x:v>0</x:v>
      </x:c>
      <x:c r="I348" t="str">
        <x:v>3-0</x:v>
      </x:c>
      <x:c r="J348" t="str">
        <x:f>IF(E348&lt;&gt;TRUE,"",IF(H348&gt;M348,"W",IF(H348&lt;M348,"L","T")))</x:f>
      </x:c>
      <x:c r="K348" t="str">
        <x:v>TCU Horned Frogs</x:v>
      </x:c>
      <x:c r="L348" t="str">
        <x:v>TCU</x:v>
      </x:c>
      <x:c r="M348" s="69" t="n">
        <x:v>0</x:v>
      </x:c>
      <x:c r="N348" t="str">
        <x:v>2-1</x:v>
      </x:c>
      <x:c r="O348" t="str">
        <x:f>IF(E348&lt;&gt;TRUE,"",IF(M348&gt;H348,"W",IF(M348&lt;H348,"L","T")))</x:f>
      </x:c>
      <x:c r="P348" s="66" t="b">
        <x:v>0</x:v>
      </x:c>
      <x:c r="Q348" s="66" t="b">
        <x:v>1</x:v>
      </x:c>
      <x:c r="R348" t="str">
        <x:v>Amon G. Carter Stadium</x:v>
      </x:c>
      <x:c r="S348" t="str"/>
      <x:c r="T348"/>
      <x:c r="U348" s="70"/>
      <x:c r="V348" s="70"/>
      <x:c r="W348"/>
      <x:c r="X348" t="str">
        <x:v>https://www.espn.com/college-football/game/_/gameId/401856818</x:v>
      </x:c>
    </x:row>
    <x:row r="349">
      <x:c r="A349" t="str">
        <x:v>CFB</x:v>
      </x:c>
      <x:c r="B349" t="n">
        <x:v>5</x:v>
      </x:c>
      <x:c r="C349" s="68" t="n">
        <x:v>46298</x:v>
      </x:c>
      <x:c r="D349" s="71" t="str">
        <x:v>pre</x:v>
      </x:c>
      <x:c r="E349" s="72" t="b">
        <x:v>0</x:v>
      </x:c>
      <x:c r="F349" t="str">
        <x:v>UCF Knights</x:v>
      </x:c>
      <x:c r="G349" t="str">
        <x:v>UCF</x:v>
      </x:c>
      <x:c r="H349" s="69" t="n">
        <x:v>0</x:v>
      </x:c>
      <x:c r="I349" t="str">
        <x:v>2-1</x:v>
      </x:c>
      <x:c r="J349" t="str">
        <x:f>IF(E349&lt;&gt;TRUE,"",IF(H349&gt;M349,"W",IF(H349&lt;M349,"L","T")))</x:f>
      </x:c>
      <x:c r="K349" t="str">
        <x:v>Houston Cougars</x:v>
      </x:c>
      <x:c r="L349" t="str">
        <x:v>HOU</x:v>
      </x:c>
      <x:c r="M349" s="69" t="n">
        <x:v>0</x:v>
      </x:c>
      <x:c r="N349" t="str">
        <x:v>2-1</x:v>
      </x:c>
      <x:c r="O349" t="str">
        <x:f>IF(E349&lt;&gt;TRUE,"",IF(M349&gt;H349,"W",IF(M349&lt;H349,"L","T")))</x:f>
      </x:c>
      <x:c r="P349" s="66" t="b">
        <x:v>0</x:v>
      </x:c>
      <x:c r="Q349" s="66" t="b">
        <x:v>1</x:v>
      </x:c>
      <x:c r="R349" t="str">
        <x:v>TDECU Stadium</x:v>
      </x:c>
      <x:c r="S349" t="str"/>
      <x:c r="T349"/>
      <x:c r="U349" s="70"/>
      <x:c r="V349" s="70"/>
      <x:c r="W349"/>
      <x:c r="X349" t="str">
        <x:v>https://www.espn.com/college-football/game/_/gameId/401856819</x:v>
      </x:c>
    </x:row>
    <x:row r="350">
      <x:c r="A350" t="str">
        <x:v>CFB</x:v>
      </x:c>
      <x:c r="B350" t="n">
        <x:v>5</x:v>
      </x:c>
      <x:c r="C350" s="68" t="n">
        <x:v>46298</x:v>
      </x:c>
      <x:c r="D350" s="71" t="str">
        <x:v>pre</x:v>
      </x:c>
      <x:c r="E350" s="72" t="b">
        <x:v>0</x:v>
      </x:c>
      <x:c r="F350" t="str">
        <x:v>Cincinnati Bearcats</x:v>
      </x:c>
      <x:c r="G350" t="str">
        <x:v>CIN</x:v>
      </x:c>
      <x:c r="H350" s="69" t="n">
        <x:v>0</x:v>
      </x:c>
      <x:c r="I350" t="str">
        <x:v>3-0</x:v>
      </x:c>
      <x:c r="J350" t="str">
        <x:f>IF(E350&lt;&gt;TRUE,"",IF(H350&gt;M350,"W",IF(H350&lt;M350,"L","T")))</x:f>
      </x:c>
      <x:c r="K350" t="str">
        <x:v>Arizona Wildcats</x:v>
      </x:c>
      <x:c r="L350" t="str">
        <x:v>ARIZ</x:v>
      </x:c>
      <x:c r="M350" s="69" t="n">
        <x:v>0</x:v>
      </x:c>
      <x:c r="N350" t="str">
        <x:v>2-1</x:v>
      </x:c>
      <x:c r="O350" t="str">
        <x:f>IF(E350&lt;&gt;TRUE,"",IF(M350&gt;H350,"W",IF(M350&lt;H350,"L","T")))</x:f>
      </x:c>
      <x:c r="P350" s="66" t="b">
        <x:v>0</x:v>
      </x:c>
      <x:c r="Q350" s="66" t="b">
        <x:v>1</x:v>
      </x:c>
      <x:c r="R350" t="str">
        <x:v>Casino Del Sol Stadium</x:v>
      </x:c>
      <x:c r="S350" t="str"/>
      <x:c r="T350"/>
      <x:c r="U350" s="70"/>
      <x:c r="V350" s="70"/>
      <x:c r="W350"/>
      <x:c r="X350" t="str">
        <x:v>https://www.espn.com/college-football/game/_/gameId/401856820</x:v>
      </x:c>
    </x:row>
    <x:row r="351">
      <x:c r="A351" t="str">
        <x:v>CFB</x:v>
      </x:c>
      <x:c r="B351" t="n">
        <x:v>5</x:v>
      </x:c>
      <x:c r="C351" s="68" t="n">
        <x:v>46298</x:v>
      </x:c>
      <x:c r="D351" s="71" t="str">
        <x:v>pre</x:v>
      </x:c>
      <x:c r="E351" s="72" t="b">
        <x:v>0</x:v>
      </x:c>
      <x:c r="F351" t="str">
        <x:v>Texas Tech Red Raiders</x:v>
      </x:c>
      <x:c r="G351" t="str">
        <x:v>TTU</x:v>
      </x:c>
      <x:c r="H351" s="69" t="n">
        <x:v>0</x:v>
      </x:c>
      <x:c r="I351" t="str">
        <x:v>3-0</x:v>
      </x:c>
      <x:c r="J351" t="str">
        <x:f>IF(E351&lt;&gt;TRUE,"",IF(H351&gt;M351,"W",IF(H351&lt;M351,"L","T")))</x:f>
      </x:c>
      <x:c r="K351" t="str">
        <x:v>Colorado Buffaloes</x:v>
      </x:c>
      <x:c r="L351" t="str">
        <x:v>COLO</x:v>
      </x:c>
      <x:c r="M351" s="69" t="n">
        <x:v>0</x:v>
      </x:c>
      <x:c r="N351" t="str">
        <x:v>2-1</x:v>
      </x:c>
      <x:c r="O351" t="str">
        <x:f>IF(E351&lt;&gt;TRUE,"",IF(M351&gt;H351,"W",IF(M351&lt;H351,"L","T")))</x:f>
      </x:c>
      <x:c r="P351" s="66" t="b">
        <x:v>0</x:v>
      </x:c>
      <x:c r="Q351" s="66" t="b">
        <x:v>1</x:v>
      </x:c>
      <x:c r="R351" t="str">
        <x:v>Folsom Field</x:v>
      </x:c>
      <x:c r="S351" t="str"/>
      <x:c r="T351"/>
      <x:c r="U351" s="70"/>
      <x:c r="V351" s="70"/>
      <x:c r="W351"/>
      <x:c r="X351" t="str">
        <x:v>https://www.espn.com/college-football/game/_/gameId/401856821</x:v>
      </x:c>
    </x:row>
    <x:row r="352">
      <x:c r="A352" t="str">
        <x:v>CFB</x:v>
      </x:c>
      <x:c r="B352" t="n">
        <x:v>5</x:v>
      </x:c>
      <x:c r="C352" s="68" t="n">
        <x:v>46298</x:v>
      </x:c>
      <x:c r="D352" s="71" t="str">
        <x:v>pre</x:v>
      </x:c>
      <x:c r="E352" s="72" t="b">
        <x:v>0</x:v>
      </x:c>
      <x:c r="F352" t="str">
        <x:v>West Virginia Mountaineers</x:v>
      </x:c>
      <x:c r="G352" t="str">
        <x:v>WVU</x:v>
      </x:c>
      <x:c r="H352" s="69" t="n">
        <x:v>0</x:v>
      </x:c>
      <x:c r="I352" t="str">
        <x:v>3-0</x:v>
      </x:c>
      <x:c r="J352" t="str">
        <x:f>IF(E352&lt;&gt;TRUE,"",IF(H352&gt;M352,"W",IF(H352&lt;M352,"L","T")))</x:f>
      </x:c>
      <x:c r="K352" t="str">
        <x:v>Iowa State Cyclones</x:v>
      </x:c>
      <x:c r="L352" t="str">
        <x:v>ISU</x:v>
      </x:c>
      <x:c r="M352" s="69" t="n">
        <x:v>0</x:v>
      </x:c>
      <x:c r="N352" t="str">
        <x:v>2-1</x:v>
      </x:c>
      <x:c r="O352" t="str">
        <x:f>IF(E352&lt;&gt;TRUE,"",IF(M352&gt;H352,"W",IF(M352&lt;H352,"L","T")))</x:f>
      </x:c>
      <x:c r="P352" s="66" t="b">
        <x:v>0</x:v>
      </x:c>
      <x:c r="Q352" s="66" t="b">
        <x:v>1</x:v>
      </x:c>
      <x:c r="R352" t="str">
        <x:v>Jack Trice Stadium</x:v>
      </x:c>
      <x:c r="S352" t="str"/>
      <x:c r="T352"/>
      <x:c r="U352" s="70"/>
      <x:c r="V352" s="70"/>
      <x:c r="W352"/>
      <x:c r="X352" t="str">
        <x:v>https://www.espn.com/college-football/game/_/gameId/401856822</x:v>
      </x:c>
    </x:row>
    <x:row r="353">
      <x:c r="A353" t="str">
        <x:v>CFB</x:v>
      </x:c>
      <x:c r="B353" t="n">
        <x:v>5</x:v>
      </x:c>
      <x:c r="C353" s="68" t="n">
        <x:v>46298</x:v>
      </x:c>
      <x:c r="D353" s="71" t="str">
        <x:v>pre</x:v>
      </x:c>
      <x:c r="E353" s="72" t="b">
        <x:v>0</x:v>
      </x:c>
      <x:c r="F353" t="str">
        <x:v>Boston College Eagles</x:v>
      </x:c>
      <x:c r="G353" t="str">
        <x:v>BC</x:v>
      </x:c>
      <x:c r="H353" s="69" t="n">
        <x:v>0</x:v>
      </x:c>
      <x:c r="I353" t="str">
        <x:v>2-1</x:v>
      </x:c>
      <x:c r="J353" t="str">
        <x:f>IF(E353&lt;&gt;TRUE,"",IF(H353&gt;M353,"W",IF(H353&lt;M353,"L","T")))</x:f>
      </x:c>
      <x:c r="K353" t="str">
        <x:v>SMU Mustangs</x:v>
      </x:c>
      <x:c r="L353" t="str">
        <x:v>SMU</x:v>
      </x:c>
      <x:c r="M353" s="69" t="n">
        <x:v>0</x:v>
      </x:c>
      <x:c r="N353" t="str">
        <x:v>2-1</x:v>
      </x:c>
      <x:c r="O353" t="str">
        <x:f>IF(E353&lt;&gt;TRUE,"",IF(M353&gt;H353,"W",IF(M353&lt;H353,"L","T")))</x:f>
      </x:c>
      <x:c r="P353" s="66" t="b">
        <x:v>0</x:v>
      </x:c>
      <x:c r="Q353" s="66" t="b">
        <x:v>1</x:v>
      </x:c>
      <x:c r="R353" t="str">
        <x:v>Gerald J. Ford Stadium</x:v>
      </x:c>
      <x:c r="S353" t="str"/>
      <x:c r="T353"/>
      <x:c r="U353" s="70"/>
      <x:c r="V353" s="70"/>
      <x:c r="W353"/>
      <x:c r="X353" t="str">
        <x:v>https://www.espn.com/college-football/game/_/gameId/401858246</x:v>
      </x:c>
    </x:row>
    <x:row r="354">
      <x:c r="A354" t="str">
        <x:v>CFB</x:v>
      </x:c>
      <x:c r="B354" t="n">
        <x:v>5</x:v>
      </x:c>
      <x:c r="C354" s="68" t="n">
        <x:v>46298</x:v>
      </x:c>
      <x:c r="D354" s="71" t="str">
        <x:v>pre</x:v>
      </x:c>
      <x:c r="E354" s="72" t="b">
        <x:v>0</x:v>
      </x:c>
      <x:c r="F354" t="str">
        <x:v>Louisville Cardinals</x:v>
      </x:c>
      <x:c r="G354" t="str">
        <x:v>LOU</x:v>
      </x:c>
      <x:c r="H354" s="69" t="n">
        <x:v>0</x:v>
      </x:c>
      <x:c r="I354" t="str">
        <x:v>2-1</x:v>
      </x:c>
      <x:c r="J354" t="str">
        <x:f>IF(E354&lt;&gt;TRUE,"",IF(H354&gt;M354,"W",IF(H354&lt;M354,"L","T")))</x:f>
      </x:c>
      <x:c r="K354" t="str">
        <x:v>NC State Wolfpack</x:v>
      </x:c>
      <x:c r="L354" t="str">
        <x:v>NCSU</x:v>
      </x:c>
      <x:c r="M354" s="69" t="n">
        <x:v>0</x:v>
      </x:c>
      <x:c r="N354" t="str">
        <x:v>1-2</x:v>
      </x:c>
      <x:c r="O354" t="str">
        <x:f>IF(E354&lt;&gt;TRUE,"",IF(M354&gt;H354,"W",IF(M354&lt;H354,"L","T")))</x:f>
      </x:c>
      <x:c r="P354" s="66" t="b">
        <x:v>0</x:v>
      </x:c>
      <x:c r="Q354" s="66" t="b">
        <x:v>1</x:v>
      </x:c>
      <x:c r="R354" t="str">
        <x:v>Carter-Finley Stadium</x:v>
      </x:c>
      <x:c r="S354" t="str"/>
      <x:c r="T354"/>
      <x:c r="U354" s="70"/>
      <x:c r="V354" s="70"/>
      <x:c r="W354"/>
      <x:c r="X354" t="str">
        <x:v>https://www.espn.com/college-football/game/_/gameId/401858248</x:v>
      </x:c>
    </x:row>
    <x:row r="355">
      <x:c r="A355" t="str">
        <x:v>CFB</x:v>
      </x:c>
      <x:c r="B355" t="n">
        <x:v>5</x:v>
      </x:c>
      <x:c r="C355" s="68" t="n">
        <x:v>46298</x:v>
      </x:c>
      <x:c r="D355" s="71" t="str">
        <x:v>pre</x:v>
      </x:c>
      <x:c r="E355" s="72" t="b">
        <x:v>0</x:v>
      </x:c>
      <x:c r="F355" t="str">
        <x:v>Miami Hurricanes</x:v>
      </x:c>
      <x:c r="G355" t="str">
        <x:v>MIA</x:v>
      </x:c>
      <x:c r="H355" s="69" t="n">
        <x:v>0</x:v>
      </x:c>
      <x:c r="I355" t="str">
        <x:v>3-0</x:v>
      </x:c>
      <x:c r="J355" t="str">
        <x:f>IF(E355&lt;&gt;TRUE,"",IF(H355&gt;M355,"W",IF(H355&lt;M355,"L","T")))</x:f>
      </x:c>
      <x:c r="K355" t="str">
        <x:v>Clemson Tigers</x:v>
      </x:c>
      <x:c r="L355" t="str">
        <x:v>CLEM</x:v>
      </x:c>
      <x:c r="M355" s="69" t="n">
        <x:v>0</x:v>
      </x:c>
      <x:c r="N355" t="str">
        <x:v>2-1</x:v>
      </x:c>
      <x:c r="O355" t="str">
        <x:f>IF(E355&lt;&gt;TRUE,"",IF(M355&gt;H355,"W",IF(M355&lt;H355,"L","T")))</x:f>
      </x:c>
      <x:c r="P355" s="66" t="b">
        <x:v>0</x:v>
      </x:c>
      <x:c r="Q355" s="66" t="b">
        <x:v>1</x:v>
      </x:c>
      <x:c r="R355" t="str">
        <x:v>Memorial Stadium (Clemson, SC)</x:v>
      </x:c>
      <x:c r="S355" t="str"/>
      <x:c r="T355" t="str">
        <x:v>MIA -7</x:v>
      </x:c>
      <x:c r="U355" s="70" t="n">
        <x:v>7</x:v>
      </x:c>
      <x:c r="V355" s="70" t="n">
        <x:v>55.5</x:v>
      </x:c>
      <x:c r="W355" t="str">
        <x:v>DraftKings</x:v>
      </x:c>
      <x:c r="X355" t="str">
        <x:v>https://www.espn.com/college-football/game/_/gameId/401858249</x:v>
      </x:c>
    </x:row>
    <x:row r="356">
      <x:c r="A356" t="str">
        <x:v>CFB</x:v>
      </x:c>
      <x:c r="B356" t="n">
        <x:v>5</x:v>
      </x:c>
      <x:c r="C356" s="68" t="n">
        <x:v>46298</x:v>
      </x:c>
      <x:c r="D356" s="71" t="str">
        <x:v>pre</x:v>
      </x:c>
      <x:c r="E356" s="72" t="b">
        <x:v>0</x:v>
      </x:c>
      <x:c r="F356" t="str">
        <x:v>Notre Dame Fighting Irish</x:v>
      </x:c>
      <x:c r="G356" t="str">
        <x:v>ND</x:v>
      </x:c>
      <x:c r="H356" s="69" t="n">
        <x:v>0</x:v>
      </x:c>
      <x:c r="I356" t="str">
        <x:v>3-0</x:v>
      </x:c>
      <x:c r="J356" t="str">
        <x:f>IF(E356&lt;&gt;TRUE,"",IF(H356&gt;M356,"W",IF(H356&lt;M356,"L","T")))</x:f>
      </x:c>
      <x:c r="K356" t="str">
        <x:v>North Carolina Tar Heels</x:v>
      </x:c>
      <x:c r="L356" t="str">
        <x:v>UNC</x:v>
      </x:c>
      <x:c r="M356" s="69" t="n">
        <x:v>0</x:v>
      </x:c>
      <x:c r="N356" t="str">
        <x:v>2-1</x:v>
      </x:c>
      <x:c r="O356" t="str">
        <x:f>IF(E356&lt;&gt;TRUE,"",IF(M356&gt;H356,"W",IF(M356&lt;H356,"L","T")))</x:f>
      </x:c>
      <x:c r="P356" s="66" t="b">
        <x:v>0</x:v>
      </x:c>
      <x:c r="Q356" s="66" t="b">
        <x:v>0</x:v>
      </x:c>
      <x:c r="R356" t="str">
        <x:v>Kenan Stadium</x:v>
      </x:c>
      <x:c r="S356" t="str"/>
      <x:c r="T356" t="str">
        <x:v>ND -23.5</x:v>
      </x:c>
      <x:c r="U356" s="70" t="n">
        <x:v>23.5</x:v>
      </x:c>
      <x:c r="V356" s="70" t="n">
        <x:v>55.5</x:v>
      </x:c>
      <x:c r="W356" t="str">
        <x:v>DraftKings</x:v>
      </x:c>
      <x:c r="X356" t="str">
        <x:v>https://www.espn.com/college-football/game/_/gameId/401858250</x:v>
      </x:c>
    </x:row>
    <x:row r="357">
      <x:c r="A357" t="str">
        <x:v>CFB</x:v>
      </x:c>
      <x:c r="B357" t="n">
        <x:v>5</x:v>
      </x:c>
      <x:c r="C357" s="68" t="n">
        <x:v>46298</x:v>
      </x:c>
      <x:c r="D357" s="71" t="str">
        <x:v>pre</x:v>
      </x:c>
      <x:c r="E357" s="72" t="b">
        <x:v>0</x:v>
      </x:c>
      <x:c r="F357" t="str">
        <x:v>Stanford Cardinal</x:v>
      </x:c>
      <x:c r="G357" t="str">
        <x:v>STAN</x:v>
      </x:c>
      <x:c r="H357" s="69" t="n">
        <x:v>0</x:v>
      </x:c>
      <x:c r="I357" t="str">
        <x:v>1-2</x:v>
      </x:c>
      <x:c r="J357" t="str">
        <x:f>IF(E357&lt;&gt;TRUE,"",IF(H357&gt;M357,"W",IF(H357&lt;M357,"L","T")))</x:f>
      </x:c>
      <x:c r="K357" t="str">
        <x:v>Wake Forest Demon Deacons</x:v>
      </x:c>
      <x:c r="L357" t="str">
        <x:v>WAKE</x:v>
      </x:c>
      <x:c r="M357" s="69" t="n">
        <x:v>0</x:v>
      </x:c>
      <x:c r="N357" t="str">
        <x:v>2-1</x:v>
      </x:c>
      <x:c r="O357" t="str">
        <x:f>IF(E357&lt;&gt;TRUE,"",IF(M357&gt;H357,"W",IF(M357&lt;H357,"L","T")))</x:f>
      </x:c>
      <x:c r="P357" s="66" t="b">
        <x:v>0</x:v>
      </x:c>
      <x:c r="Q357" s="66" t="b">
        <x:v>1</x:v>
      </x:c>
      <x:c r="R357" t="str">
        <x:v>Allegacy Federal Credit Union Stadium</x:v>
      </x:c>
      <x:c r="S357" t="str"/>
      <x:c r="T357"/>
      <x:c r="U357" s="70"/>
      <x:c r="V357" s="70"/>
      <x:c r="W357"/>
      <x:c r="X357" t="str">
        <x:v>https://www.espn.com/college-football/game/_/gameId/401858251</x:v>
      </x:c>
    </x:row>
    <x:row r="358">
      <x:c r="A358" t="str">
        <x:v>CFB</x:v>
      </x:c>
      <x:c r="B358" t="n">
        <x:v>5</x:v>
      </x:c>
      <x:c r="C358" s="68" t="n">
        <x:v>46298</x:v>
      </x:c>
      <x:c r="D358" s="71" t="str">
        <x:v>pre</x:v>
      </x:c>
      <x:c r="E358" s="72" t="b">
        <x:v>0</x:v>
      </x:c>
      <x:c r="F358" t="str">
        <x:v>Virginia Cavaliers</x:v>
      </x:c>
      <x:c r="G358" t="str">
        <x:v>UVA</x:v>
      </x:c>
      <x:c r="H358" s="69" t="n">
        <x:v>0</x:v>
      </x:c>
      <x:c r="I358" t="str">
        <x:v>2-1</x:v>
      </x:c>
      <x:c r="J358" t="str">
        <x:f>IF(E358&lt;&gt;TRUE,"",IF(H358&gt;M358,"W",IF(H358&lt;M358,"L","T")))</x:f>
      </x:c>
      <x:c r="K358" t="str">
        <x:v>Florida State Seminoles</x:v>
      </x:c>
      <x:c r="L358" t="str">
        <x:v>FSU</x:v>
      </x:c>
      <x:c r="M358" s="69" t="n">
        <x:v>0</x:v>
      </x:c>
      <x:c r="N358" t="str">
        <x:v>1-2</x:v>
      </x:c>
      <x:c r="O358" t="str">
        <x:f>IF(E358&lt;&gt;TRUE,"",IF(M358&gt;H358,"W",IF(M358&lt;H358,"L","T")))</x:f>
      </x:c>
      <x:c r="P358" s="66" t="b">
        <x:v>0</x:v>
      </x:c>
      <x:c r="Q358" s="66" t="b">
        <x:v>1</x:v>
      </x:c>
      <x:c r="R358" t="str">
        <x:v>Doak Campbell Stadium</x:v>
      </x:c>
      <x:c r="S358" t="str"/>
      <x:c r="T358"/>
      <x:c r="U358" s="70"/>
      <x:c r="V358" s="70"/>
      <x:c r="W358"/>
      <x:c r="X358" t="str">
        <x:v>https://www.espn.com/college-football/game/_/gameId/401858253</x:v>
      </x:c>
    </x:row>
    <x:row r="359">
      <x:c r="A359" t="str">
        <x:v>CFB</x:v>
      </x:c>
      <x:c r="B359" t="n">
        <x:v>5</x:v>
      </x:c>
      <x:c r="C359" s="68" t="n">
        <x:v>46298</x:v>
      </x:c>
      <x:c r="D359" s="71" t="str">
        <x:v>pre</x:v>
      </x:c>
      <x:c r="E359" s="72" t="b">
        <x:v>0</x:v>
      </x:c>
      <x:c r="F359" t="str">
        <x:v>Purdue Boilermakers</x:v>
      </x:c>
      <x:c r="G359" t="str">
        <x:v>PUR</x:v>
      </x:c>
      <x:c r="H359" s="69" t="n">
        <x:v>0</x:v>
      </x:c>
      <x:c r="I359" t="str">
        <x:v>1-2</x:v>
      </x:c>
      <x:c r="J359" t="str">
        <x:f>IF(E359&lt;&gt;TRUE,"",IF(H359&gt;M359,"W",IF(H359&lt;M359,"L","T")))</x:f>
      </x:c>
      <x:c r="K359" t="str">
        <x:v>Illinois Fighting Illini</x:v>
      </x:c>
      <x:c r="L359" t="str">
        <x:v>ILL</x:v>
      </x:c>
      <x:c r="M359" s="69" t="n">
        <x:v>0</x:v>
      </x:c>
      <x:c r="N359" t="str">
        <x:v>2-1</x:v>
      </x:c>
      <x:c r="O359" t="str">
        <x:f>IF(E359&lt;&gt;TRUE,"",IF(M359&gt;H359,"W",IF(M359&lt;H359,"L","T")))</x:f>
      </x:c>
      <x:c r="P359" s="66" t="b">
        <x:v>0</x:v>
      </x:c>
      <x:c r="Q359" s="66" t="b">
        <x:v>1</x:v>
      </x:c>
      <x:c r="R359" t="str">
        <x:v>Gies Memorial Stadium</x:v>
      </x:c>
      <x:c r="S359" t="str"/>
      <x:c r="T359"/>
      <x:c r="U359" s="70"/>
      <x:c r="V359" s="70"/>
      <x:c r="W359"/>
      <x:c r="X359" t="str">
        <x:v>https://www.espn.com/college-football/game/_/gameId/401858472</x:v>
      </x:c>
    </x:row>
    <x:row r="360">
      <x:c r="A360" t="str">
        <x:v>CFB</x:v>
      </x:c>
      <x:c r="B360" t="n">
        <x:v>5</x:v>
      </x:c>
      <x:c r="C360" s="68" t="n">
        <x:v>46298</x:v>
      </x:c>
      <x:c r="D360" s="71" t="str">
        <x:v>pre</x:v>
      </x:c>
      <x:c r="E360" s="72" t="b">
        <x:v>0</x:v>
      </x:c>
      <x:c r="F360" t="str">
        <x:v>Ohio State Buckeyes</x:v>
      </x:c>
      <x:c r="G360" t="str">
        <x:v>OSU</x:v>
      </x:c>
      <x:c r="H360" s="69" t="n">
        <x:v>0</x:v>
      </x:c>
      <x:c r="I360" t="str">
        <x:v>2-1</x:v>
      </x:c>
      <x:c r="J360" t="str">
        <x:f>IF(E360&lt;&gt;TRUE,"",IF(H360&gt;M360,"W",IF(H360&lt;M360,"L","T")))</x:f>
      </x:c>
      <x:c r="K360" t="str">
        <x:v>Iowa Hawkeyes</x:v>
      </x:c>
      <x:c r="L360" t="str">
        <x:v>IOWA</x:v>
      </x:c>
      <x:c r="M360" s="69" t="n">
        <x:v>0</x:v>
      </x:c>
      <x:c r="N360" t="str">
        <x:v>3-0</x:v>
      </x:c>
      <x:c r="O360" t="str">
        <x:f>IF(E360&lt;&gt;TRUE,"",IF(M360&gt;H360,"W",IF(M360&lt;H360,"L","T")))</x:f>
      </x:c>
      <x:c r="P360" s="66" t="b">
        <x:v>0</x:v>
      </x:c>
      <x:c r="Q360" s="66" t="b">
        <x:v>1</x:v>
      </x:c>
      <x:c r="R360" t="str">
        <x:v>Kinnick Stadium</x:v>
      </x:c>
      <x:c r="S360" t="str"/>
      <x:c r="T360"/>
      <x:c r="U360" s="70"/>
      <x:c r="V360" s="70"/>
      <x:c r="W360"/>
      <x:c r="X360" t="str">
        <x:v>https://www.espn.com/college-football/game/_/gameId/401858473</x:v>
      </x:c>
    </x:row>
    <x:row r="361">
      <x:c r="A361" t="str">
        <x:v>CFB</x:v>
      </x:c>
      <x:c r="B361" t="n">
        <x:v>5</x:v>
      </x:c>
      <x:c r="C361" s="68" t="n">
        <x:v>46298</x:v>
      </x:c>
      <x:c r="D361" s="71" t="str">
        <x:v>pre</x:v>
      </x:c>
      <x:c r="E361" s="72" t="b">
        <x:v>0</x:v>
      </x:c>
      <x:c r="F361" t="str">
        <x:v>Michigan Wolverines</x:v>
      </x:c>
      <x:c r="G361" t="str">
        <x:v>MICH</x:v>
      </x:c>
      <x:c r="H361" s="69" t="n">
        <x:v>0</x:v>
      </x:c>
      <x:c r="I361" t="str">
        <x:v>3-0</x:v>
      </x:c>
      <x:c r="J361" t="str">
        <x:f>IF(E361&lt;&gt;TRUE,"",IF(H361&gt;M361,"W",IF(H361&lt;M361,"L","T")))</x:f>
      </x:c>
      <x:c r="K361" t="str">
        <x:v>Minnesota Golden Gophers</x:v>
      </x:c>
      <x:c r="L361" t="str">
        <x:v>MINN</x:v>
      </x:c>
      <x:c r="M361" s="69" t="n">
        <x:v>0</x:v>
      </x:c>
      <x:c r="N361" t="str">
        <x:v>2-1</x:v>
      </x:c>
      <x:c r="O361" t="str">
        <x:f>IF(E361&lt;&gt;TRUE,"",IF(M361&gt;H361,"W",IF(M361&lt;H361,"L","T")))</x:f>
      </x:c>
      <x:c r="P361" s="66" t="b">
        <x:v>0</x:v>
      </x:c>
      <x:c r="Q361" s="66" t="b">
        <x:v>1</x:v>
      </x:c>
      <x:c r="R361" t="str">
        <x:v>Huntington Bank Stadium</x:v>
      </x:c>
      <x:c r="S361" t="str"/>
      <x:c r="T361"/>
      <x:c r="U361" s="70"/>
      <x:c r="V361" s="70"/>
      <x:c r="W361"/>
      <x:c r="X361" t="str">
        <x:v>https://www.espn.com/college-football/game/_/gameId/401858474</x:v>
      </x:c>
    </x:row>
    <x:row r="362">
      <x:c r="A362" t="str">
        <x:v>CFB</x:v>
      </x:c>
      <x:c r="B362" t="n">
        <x:v>5</x:v>
      </x:c>
      <x:c r="C362" s="68" t="n">
        <x:v>46298</x:v>
      </x:c>
      <x:c r="D362" s="71" t="str">
        <x:v>pre</x:v>
      </x:c>
      <x:c r="E362" s="72" t="b">
        <x:v>0</x:v>
      </x:c>
      <x:c r="F362" t="str">
        <x:v>Maryland Terrapins</x:v>
      </x:c>
      <x:c r="G362" t="str">
        <x:v>MD</x:v>
      </x:c>
      <x:c r="H362" s="69" t="n">
        <x:v>0</x:v>
      </x:c>
      <x:c r="I362" t="str">
        <x:v>2-1</x:v>
      </x:c>
      <x:c r="J362" t="str">
        <x:f>IF(E362&lt;&gt;TRUE,"",IF(H362&gt;M362,"W",IF(H362&lt;M362,"L","T")))</x:f>
      </x:c>
      <x:c r="K362" t="str">
        <x:v>Nebraska Cornhuskers</x:v>
      </x:c>
      <x:c r="L362" t="str">
        <x:v>NEB</x:v>
      </x:c>
      <x:c r="M362" s="69" t="n">
        <x:v>0</x:v>
      </x:c>
      <x:c r="N362" t="str">
        <x:v>3-0</x:v>
      </x:c>
      <x:c r="O362" t="str">
        <x:f>IF(E362&lt;&gt;TRUE,"",IF(M362&gt;H362,"W",IF(M362&lt;H362,"L","T")))</x:f>
      </x:c>
      <x:c r="P362" s="66" t="b">
        <x:v>0</x:v>
      </x:c>
      <x:c r="Q362" s="66" t="b">
        <x:v>1</x:v>
      </x:c>
      <x:c r="R362" t="str">
        <x:v>Memorial Stadium (Lincoln, NE)</x:v>
      </x:c>
      <x:c r="S362" t="str"/>
      <x:c r="T362"/>
      <x:c r="U362" s="70"/>
      <x:c r="V362" s="70"/>
      <x:c r="W362"/>
      <x:c r="X362" t="str">
        <x:v>https://www.espn.com/college-football/game/_/gameId/401858475</x:v>
      </x:c>
    </x:row>
    <x:row r="363">
      <x:c r="A363" t="str">
        <x:v>CFB</x:v>
      </x:c>
      <x:c r="B363" t="n">
        <x:v>5</x:v>
      </x:c>
      <x:c r="C363" s="68" t="n">
        <x:v>46298</x:v>
      </x:c>
      <x:c r="D363" s="71" t="str">
        <x:v>pre</x:v>
      </x:c>
      <x:c r="E363" s="72" t="b">
        <x:v>0</x:v>
      </x:c>
      <x:c r="F363" t="str">
        <x:v>Washington Huskies</x:v>
      </x:c>
      <x:c r="G363" t="str">
        <x:v>WASH</x:v>
      </x:c>
      <x:c r="H363" s="69" t="n">
        <x:v>0</x:v>
      </x:c>
      <x:c r="I363" t="str">
        <x:v>3-0</x:v>
      </x:c>
      <x:c r="J363" t="str">
        <x:f>IF(E363&lt;&gt;TRUE,"",IF(H363&gt;M363,"W",IF(H363&lt;M363,"L","T")))</x:f>
      </x:c>
      <x:c r="K363" t="str">
        <x:v>USC Trojans</x:v>
      </x:c>
      <x:c r="L363" t="str">
        <x:v>USC</x:v>
      </x:c>
      <x:c r="M363" s="69" t="n">
        <x:v>0</x:v>
      </x:c>
      <x:c r="N363" t="str">
        <x:v>4-0</x:v>
      </x:c>
      <x:c r="O363" t="str">
        <x:f>IF(E363&lt;&gt;TRUE,"",IF(M363&gt;H363,"W",IF(M363&lt;H363,"L","T")))</x:f>
      </x:c>
      <x:c r="P363" s="66" t="b">
        <x:v>0</x:v>
      </x:c>
      <x:c r="Q363" s="66" t="b">
        <x:v>1</x:v>
      </x:c>
      <x:c r="R363" t="str">
        <x:v>Los Angeles Memorial Coliseum</x:v>
      </x:c>
      <x:c r="S363" t="str"/>
      <x:c r="T363"/>
      <x:c r="U363" s="70"/>
      <x:c r="V363" s="70"/>
      <x:c r="W363"/>
      <x:c r="X363" t="str">
        <x:v>https://www.espn.com/college-football/game/_/gameId/401858478</x:v>
      </x:c>
    </x:row>
    <x:row r="364">
      <x:c r="A364" t="str">
        <x:v>CFB</x:v>
      </x:c>
      <x:c r="B364" t="n">
        <x:v>5</x:v>
      </x:c>
      <x:c r="C364" s="68" t="n">
        <x:v>46298</x:v>
      </x:c>
      <x:c r="D364" s="71" t="str">
        <x:v>pre</x:v>
      </x:c>
      <x:c r="E364" s="72" t="b">
        <x:v>0</x:v>
      </x:c>
      <x:c r="F364" t="str">
        <x:v>Michigan State Spartans</x:v>
      </x:c>
      <x:c r="G364" t="str">
        <x:v>MSU</x:v>
      </x:c>
      <x:c r="H364" s="69" t="n">
        <x:v>0</x:v>
      </x:c>
      <x:c r="I364" t="str">
        <x:v>2-1</x:v>
      </x:c>
      <x:c r="J364" t="str">
        <x:f>IF(E364&lt;&gt;TRUE,"",IF(H364&gt;M364,"W",IF(H364&lt;M364,"L","T")))</x:f>
      </x:c>
      <x:c r="K364" t="str">
        <x:v>Wisconsin Badgers</x:v>
      </x:c>
      <x:c r="L364" t="str">
        <x:v>WIS</x:v>
      </x:c>
      <x:c r="M364" s="69" t="n">
        <x:v>0</x:v>
      </x:c>
      <x:c r="N364" t="str">
        <x:v>2-1</x:v>
      </x:c>
      <x:c r="O364" t="str">
        <x:f>IF(E364&lt;&gt;TRUE,"",IF(M364&gt;H364,"W",IF(M364&lt;H364,"L","T")))</x:f>
      </x:c>
      <x:c r="P364" s="66" t="b">
        <x:v>0</x:v>
      </x:c>
      <x:c r="Q364" s="66" t="b">
        <x:v>1</x:v>
      </x:c>
      <x:c r="R364" t="str">
        <x:v>Camp Randall Stadium</x:v>
      </x:c>
      <x:c r="S364" t="str"/>
      <x:c r="T364"/>
      <x:c r="U364" s="70"/>
      <x:c r="V364" s="70"/>
      <x:c r="W364"/>
      <x:c r="X364" t="str">
        <x:v>https://www.espn.com/college-football/game/_/gameId/401858479</x:v>
      </x:c>
    </x:row>
    <x:row r="365">
      <x:c r="A365" t="str">
        <x:v>CFB</x:v>
      </x:c>
      <x:c r="B365" t="n">
        <x:v>5</x:v>
      </x:c>
      <x:c r="C365" s="68" t="n">
        <x:v>46298</x:v>
      </x:c>
      <x:c r="D365" s="71" t="str">
        <x:v>pre</x:v>
      </x:c>
      <x:c r="E365" s="72" t="b">
        <x:v>0</x:v>
      </x:c>
      <x:c r="F365" t="str">
        <x:v>Memphis Tigers</x:v>
      </x:c>
      <x:c r="G365" t="str">
        <x:v>MEM</x:v>
      </x:c>
      <x:c r="H365" s="69" t="n">
        <x:v>0</x:v>
      </x:c>
      <x:c r="I365" t="str">
        <x:v>3-1</x:v>
      </x:c>
      <x:c r="J365" t="str">
        <x:f>IF(E365&lt;&gt;TRUE,"",IF(H365&gt;M365,"W",IF(H365&lt;M365,"L","T")))</x:f>
      </x:c>
      <x:c r="K365" t="str">
        <x:v>Charlotte 49ers</x:v>
      </x:c>
      <x:c r="L365" t="str">
        <x:v>CLT</x:v>
      </x:c>
      <x:c r="M365" s="69" t="n">
        <x:v>0</x:v>
      </x:c>
      <x:c r="N365" t="str">
        <x:v>0-3</x:v>
      </x:c>
      <x:c r="O365" t="str">
        <x:f>IF(E365&lt;&gt;TRUE,"",IF(M365&gt;H365,"W",IF(M365&lt;H365,"L","T")))</x:f>
      </x:c>
      <x:c r="P365" s="66" t="b">
        <x:v>0</x:v>
      </x:c>
      <x:c r="Q365" s="66" t="b">
        <x:v>1</x:v>
      </x:c>
      <x:c r="R365" t="str">
        <x:v>Jerry Richardson Stadium</x:v>
      </x:c>
      <x:c r="S365" t="str"/>
      <x:c r="T365"/>
      <x:c r="U365" s="70"/>
      <x:c r="V365" s="70"/>
      <x:c r="W365"/>
      <x:c r="X365" t="str">
        <x:v>https://www.espn.com/college-football/game/_/gameId/401862787</x:v>
      </x:c>
    </x:row>
    <x:row r="366">
      <x:c r="A366" t="str">
        <x:v>CFB</x:v>
      </x:c>
      <x:c r="B366" t="n">
        <x:v>5</x:v>
      </x:c>
      <x:c r="C366" s="68" t="n">
        <x:v>46298</x:v>
      </x:c>
      <x:c r="D366" s="71" t="str">
        <x:v>pre</x:v>
      </x:c>
      <x:c r="E366" s="72" t="b">
        <x:v>0</x:v>
      </x:c>
      <x:c r="F366" t="str">
        <x:v>UTSA Roadrunners</x:v>
      </x:c>
      <x:c r="G366" t="str">
        <x:v>UTSA</x:v>
      </x:c>
      <x:c r="H366" s="69" t="n">
        <x:v>0</x:v>
      </x:c>
      <x:c r="I366" t="str">
        <x:v>2-1</x:v>
      </x:c>
      <x:c r="J366" t="str">
        <x:f>IF(E366&lt;&gt;TRUE,"",IF(H366&gt;M366,"W",IF(H366&lt;M366,"L","T")))</x:f>
      </x:c>
      <x:c r="K366" t="str">
        <x:v>Rice Owls</x:v>
      </x:c>
      <x:c r="L366" t="str">
        <x:v>RICE</x:v>
      </x:c>
      <x:c r="M366" s="69" t="n">
        <x:v>0</x:v>
      </x:c>
      <x:c r="N366" t="str">
        <x:v>1-2</x:v>
      </x:c>
      <x:c r="O366" t="str">
        <x:f>IF(E366&lt;&gt;TRUE,"",IF(M366&gt;H366,"W",IF(M366&lt;H366,"L","T")))</x:f>
      </x:c>
      <x:c r="P366" s="66" t="b">
        <x:v>0</x:v>
      </x:c>
      <x:c r="Q366" s="66" t="b">
        <x:v>1</x:v>
      </x:c>
      <x:c r="R366" t="str">
        <x:v>Rice Stadium</x:v>
      </x:c>
      <x:c r="S366" t="str"/>
      <x:c r="T366"/>
      <x:c r="U366" s="70"/>
      <x:c r="V366" s="70"/>
      <x:c r="W366"/>
      <x:c r="X366" t="str">
        <x:v>https://www.espn.com/college-football/game/_/gameId/401862788</x:v>
      </x:c>
    </x:row>
    <x:row r="367">
      <x:c r="A367" t="str">
        <x:v>CFB</x:v>
      </x:c>
      <x:c r="B367" t="n">
        <x:v>5</x:v>
      </x:c>
      <x:c r="C367" s="68" t="n">
        <x:v>46298</x:v>
      </x:c>
      <x:c r="D367" s="71" t="str">
        <x:v>pre</x:v>
      </x:c>
      <x:c r="E367" s="72" t="b">
        <x:v>0</x:v>
      </x:c>
      <x:c r="F367" t="str">
        <x:v>Temple Owls</x:v>
      </x:c>
      <x:c r="G367" t="str">
        <x:v>TEM</x:v>
      </x:c>
      <x:c r="H367" s="69" t="n">
        <x:v>0</x:v>
      </x:c>
      <x:c r="I367" t="str">
        <x:v>1-2</x:v>
      </x:c>
      <x:c r="J367" t="str">
        <x:f>IF(E367&lt;&gt;TRUE,"",IF(H367&gt;M367,"W",IF(H367&lt;M367,"L","T")))</x:f>
      </x:c>
      <x:c r="K367" t="str">
        <x:v>South Florida Bulls</x:v>
      </x:c>
      <x:c r="L367" t="str">
        <x:v>USF</x:v>
      </x:c>
      <x:c r="M367" s="69" t="n">
        <x:v>0</x:v>
      </x:c>
      <x:c r="N367" t="str">
        <x:v>3-0</x:v>
      </x:c>
      <x:c r="O367" t="str">
        <x:f>IF(E367&lt;&gt;TRUE,"",IF(M367&gt;H367,"W",IF(M367&lt;H367,"L","T")))</x:f>
      </x:c>
      <x:c r="P367" s="66" t="b">
        <x:v>0</x:v>
      </x:c>
      <x:c r="Q367" s="66" t="b">
        <x:v>1</x:v>
      </x:c>
      <x:c r="R367" t="str">
        <x:v>Raymond James Stadium</x:v>
      </x:c>
      <x:c r="S367" t="str"/>
      <x:c r="T367"/>
      <x:c r="U367" s="70"/>
      <x:c r="V367" s="70"/>
      <x:c r="W367"/>
      <x:c r="X367" t="str">
        <x:v>https://www.espn.com/college-football/game/_/gameId/401862792</x:v>
      </x:c>
    </x:row>
    <x:row r="368">
      <x:c r="A368" t="str">
        <x:v>CFB</x:v>
      </x:c>
      <x:c r="B368" t="n">
        <x:v>5</x:v>
      </x:c>
      <x:c r="C368" s="68" t="n">
        <x:v>46298</x:v>
      </x:c>
      <x:c r="D368" s="71" t="str">
        <x:v>pre</x:v>
      </x:c>
      <x:c r="E368" s="72" t="b">
        <x:v>0</x:v>
      </x:c>
      <x:c r="F368" t="str">
        <x:v>UTEP Miners</x:v>
      </x:c>
      <x:c r="G368" t="str">
        <x:v>UTEP</x:v>
      </x:c>
      <x:c r="H368" s="69" t="n">
        <x:v>0</x:v>
      </x:c>
      <x:c r="I368" t="str">
        <x:v>1-2</x:v>
      </x:c>
      <x:c r="J368" t="str">
        <x:f>IF(E368&lt;&gt;TRUE,"",IF(H368&gt;M368,"W",IF(H368&lt;M368,"L","T")))</x:f>
      </x:c>
      <x:c r="K368" t="str">
        <x:v>New Mexico Lobos</x:v>
      </x:c>
      <x:c r="L368" t="str">
        <x:v>UNM</x:v>
      </x:c>
      <x:c r="M368" s="69" t="n">
        <x:v>0</x:v>
      </x:c>
      <x:c r="N368" t="str">
        <x:v>2-1</x:v>
      </x:c>
      <x:c r="O368" t="str">
        <x:f>IF(E368&lt;&gt;TRUE,"",IF(M368&gt;H368,"W",IF(M368&lt;H368,"L","T")))</x:f>
      </x:c>
      <x:c r="P368" s="66" t="b">
        <x:v>0</x:v>
      </x:c>
      <x:c r="Q368" s="66" t="b">
        <x:v>1</x:v>
      </x:c>
      <x:c r="R368" t="str">
        <x:v>University Stadium (NM)</x:v>
      </x:c>
      <x:c r="S368" t="str">
        <x:v>MW+</x:v>
      </x:c>
      <x:c r="T368"/>
      <x:c r="U368" s="70"/>
      <x:c r="V368" s="70"/>
      <x:c r="W368"/>
      <x:c r="X368" t="str">
        <x:v>https://www.espn.com/college-football/game/_/gameId/401864514</x:v>
      </x:c>
    </x:row>
    <x:row r="369">
      <x:c r="A369" t="str">
        <x:v>CFB</x:v>
      </x:c>
      <x:c r="B369" t="n">
        <x:v>5</x:v>
      </x:c>
      <x:c r="C369" s="68" t="n">
        <x:v>46298</x:v>
      </x:c>
      <x:c r="D369" s="71" t="str">
        <x:v>pre</x:v>
      </x:c>
      <x:c r="E369" s="72" t="b">
        <x:v>0</x:v>
      </x:c>
      <x:c r="F369" t="str">
        <x:v>Akron Zips</x:v>
      </x:c>
      <x:c r="G369" t="str">
        <x:v>AKR</x:v>
      </x:c>
      <x:c r="H369" s="69" t="n">
        <x:v>0</x:v>
      </x:c>
      <x:c r="I369" t="str">
        <x:v>1-2</x:v>
      </x:c>
      <x:c r="J369" t="str">
        <x:f>IF(E369&lt;&gt;TRUE,"",IF(H369&gt;M369,"W",IF(H369&lt;M369,"L","T")))</x:f>
      </x:c>
      <x:c r="K369" t="str">
        <x:v>Central Michigan Chippewas</x:v>
      </x:c>
      <x:c r="L369" t="str">
        <x:v>CMU</x:v>
      </x:c>
      <x:c r="M369" s="69" t="n">
        <x:v>0</x:v>
      </x:c>
      <x:c r="N369" t="str">
        <x:v>2-1</x:v>
      </x:c>
      <x:c r="O369" t="str">
        <x:f>IF(E369&lt;&gt;TRUE,"",IF(M369&gt;H369,"W",IF(M369&lt;H369,"L","T")))</x:f>
      </x:c>
      <x:c r="P369" s="66" t="b">
        <x:v>0</x:v>
      </x:c>
      <x:c r="Q369" s="66" t="b">
        <x:v>1</x:v>
      </x:c>
      <x:c r="R369" t="str">
        <x:v>Kelly/Shorts Stadium</x:v>
      </x:c>
      <x:c r="S369" t="str"/>
      <x:c r="T369"/>
      <x:c r="U369" s="70"/>
      <x:c r="V369" s="70"/>
      <x:c r="W369"/>
      <x:c r="X369" t="str">
        <x:v>https://www.espn.com/college-football/game/_/gameId/401866430</x:v>
      </x:c>
    </x:row>
    <x:row r="370">
      <x:c r="A370" t="str">
        <x:v>CFB</x:v>
      </x:c>
      <x:c r="B370" t="n">
        <x:v>5</x:v>
      </x:c>
      <x:c r="C370" s="68" t="n">
        <x:v>46298</x:v>
      </x:c>
      <x:c r="D370" s="71" t="str">
        <x:v>pre</x:v>
      </x:c>
      <x:c r="E370" s="72" t="b">
        <x:v>0</x:v>
      </x:c>
      <x:c r="F370" t="str">
        <x:v>Toledo Rockets</x:v>
      </x:c>
      <x:c r="G370" t="str">
        <x:v>TOL</x:v>
      </x:c>
      <x:c r="H370" s="69" t="n">
        <x:v>0</x:v>
      </x:c>
      <x:c r="I370" t="str">
        <x:v>2-1</x:v>
      </x:c>
      <x:c r="J370" t="str">
        <x:f>IF(E370&lt;&gt;TRUE,"",IF(H370&gt;M370,"W",IF(H370&lt;M370,"L","T")))</x:f>
      </x:c>
      <x:c r="K370" t="str">
        <x:v>Ball State Cardinals</x:v>
      </x:c>
      <x:c r="L370" t="str">
        <x:v>BALL</x:v>
      </x:c>
      <x:c r="M370" s="69" t="n">
        <x:v>0</x:v>
      </x:c>
      <x:c r="N370" t="str">
        <x:v>1-2</x:v>
      </x:c>
      <x:c r="O370" t="str">
        <x:f>IF(E370&lt;&gt;TRUE,"",IF(M370&gt;H370,"W",IF(M370&lt;H370,"L","T")))</x:f>
      </x:c>
      <x:c r="P370" s="66" t="b">
        <x:v>0</x:v>
      </x:c>
      <x:c r="Q370" s="66" t="b">
        <x:v>1</x:v>
      </x:c>
      <x:c r="R370" t="str">
        <x:v>Scheumann Stadium</x:v>
      </x:c>
      <x:c r="S370" t="str"/>
      <x:c r="T370"/>
      <x:c r="U370" s="70"/>
      <x:c r="V370" s="70"/>
      <x:c r="W370"/>
      <x:c r="X370" t="str">
        <x:v>https://www.espn.com/college-football/game/_/gameId/401866431</x:v>
      </x:c>
    </x:row>
    <x:row r="371">
      <x:c r="A371" t="str">
        <x:v>CFB</x:v>
      </x:c>
      <x:c r="B371" t="n">
        <x:v>5</x:v>
      </x:c>
      <x:c r="C371" s="68" t="n">
        <x:v>46298</x:v>
      </x:c>
      <x:c r="D371" s="71" t="str">
        <x:v>pre</x:v>
      </x:c>
      <x:c r="E371" s="72" t="b">
        <x:v>0</x:v>
      </x:c>
      <x:c r="F371" t="str">
        <x:v>Western Michigan Broncos</x:v>
      </x:c>
      <x:c r="G371" t="str">
        <x:v>WMU</x:v>
      </x:c>
      <x:c r="H371" s="69" t="n">
        <x:v>0</x:v>
      </x:c>
      <x:c r="I371" t="str">
        <x:v>2-1</x:v>
      </x:c>
      <x:c r="J371" t="str">
        <x:f>IF(E371&lt;&gt;TRUE,"",IF(H371&gt;M371,"W",IF(H371&lt;M371,"L","T")))</x:f>
      </x:c>
      <x:c r="K371" t="str">
        <x:v>Buffalo Bulls</x:v>
      </x:c>
      <x:c r="L371" t="str">
        <x:v>BUFF</x:v>
      </x:c>
      <x:c r="M371" s="69" t="n">
        <x:v>0</x:v>
      </x:c>
      <x:c r="N371" t="str">
        <x:v>1-2</x:v>
      </x:c>
      <x:c r="O371" t="str">
        <x:f>IF(E371&lt;&gt;TRUE,"",IF(M371&gt;H371,"W",IF(M371&lt;H371,"L","T")))</x:f>
      </x:c>
      <x:c r="P371" s="66" t="b">
        <x:v>0</x:v>
      </x:c>
      <x:c r="Q371" s="66" t="b">
        <x:v>1</x:v>
      </x:c>
      <x:c r="R371" t="str">
        <x:v>Broadview Stadium</x:v>
      </x:c>
      <x:c r="S371" t="str"/>
      <x:c r="T371"/>
      <x:c r="U371" s="70"/>
      <x:c r="V371" s="70"/>
      <x:c r="W371"/>
      <x:c r="X371" t="str">
        <x:v>https://www.espn.com/college-football/game/_/gameId/401866432</x:v>
      </x:c>
    </x:row>
    <x:row r="372">
      <x:c r="A372" t="str">
        <x:v>CFB</x:v>
      </x:c>
      <x:c r="B372" t="n">
        <x:v>5</x:v>
      </x:c>
      <x:c r="C372" s="68" t="n">
        <x:v>46298</x:v>
      </x:c>
      <x:c r="D372" s="71" t="str">
        <x:v>pre</x:v>
      </x:c>
      <x:c r="E372" s="72" t="b">
        <x:v>0</x:v>
      </x:c>
      <x:c r="F372" t="str">
        <x:v>Eastern Michigan Eagles</x:v>
      </x:c>
      <x:c r="G372" t="str">
        <x:v>EMU</x:v>
      </x:c>
      <x:c r="H372" s="69" t="n">
        <x:v>0</x:v>
      </x:c>
      <x:c r="I372" t="str">
        <x:v>1-3</x:v>
      </x:c>
      <x:c r="J372" t="str">
        <x:f>IF(E372&lt;&gt;TRUE,"",IF(H372&gt;M372,"W",IF(H372&lt;M372,"L","T")))</x:f>
      </x:c>
      <x:c r="K372" t="str">
        <x:v>Massachusetts Minutemen</x:v>
      </x:c>
      <x:c r="L372" t="str">
        <x:v>MASS</x:v>
      </x:c>
      <x:c r="M372" s="69" t="n">
        <x:v>0</x:v>
      </x:c>
      <x:c r="N372" t="str">
        <x:v>3-0</x:v>
      </x:c>
      <x:c r="O372" t="str">
        <x:f>IF(E372&lt;&gt;TRUE,"",IF(M372&gt;H372,"W",IF(M372&lt;H372,"L","T")))</x:f>
      </x:c>
      <x:c r="P372" s="66" t="b">
        <x:v>0</x:v>
      </x:c>
      <x:c r="Q372" s="66" t="b">
        <x:v>1</x:v>
      </x:c>
      <x:c r="R372" t="str">
        <x:v>Warren McGuirk Alumni Stadium</x:v>
      </x:c>
      <x:c r="S372" t="str"/>
      <x:c r="T372"/>
      <x:c r="U372" s="70"/>
      <x:c r="V372" s="70"/>
      <x:c r="W372"/>
      <x:c r="X372" t="str">
        <x:v>https://www.espn.com/college-football/game/_/gameId/401866433</x:v>
      </x:c>
    </x:row>
    <x:row r="373">
      <x:c r="A373" t="str">
        <x:v>CFB</x:v>
      </x:c>
      <x:c r="B373" t="n">
        <x:v>5</x:v>
      </x:c>
      <x:c r="C373" s="68" t="n">
        <x:v>46298</x:v>
      </x:c>
      <x:c r="D373" s="71" t="str">
        <x:v>pre</x:v>
      </x:c>
      <x:c r="E373" s="72" t="b">
        <x:v>0</x:v>
      </x:c>
      <x:c r="F373" t="str">
        <x:v>Ohio Bobcats</x:v>
      </x:c>
      <x:c r="G373" t="str">
        <x:v>OHIO</x:v>
      </x:c>
      <x:c r="H373" s="69" t="n">
        <x:v>0</x:v>
      </x:c>
      <x:c r="I373" t="str">
        <x:v>1-2</x:v>
      </x:c>
      <x:c r="J373" t="str">
        <x:f>IF(E373&lt;&gt;TRUE,"",IF(H373&gt;M373,"W",IF(H373&lt;M373,"L","T")))</x:f>
      </x:c>
      <x:c r="K373" t="str">
        <x:v>Kent State Golden Flashes</x:v>
      </x:c>
      <x:c r="L373" t="str">
        <x:v>KENT</x:v>
      </x:c>
      <x:c r="M373" s="69" t="n">
        <x:v>0</x:v>
      </x:c>
      <x:c r="N373" t="str">
        <x:v>1-2</x:v>
      </x:c>
      <x:c r="O373" t="str">
        <x:f>IF(E373&lt;&gt;TRUE,"",IF(M373&gt;H373,"W",IF(M373&lt;H373,"L","T")))</x:f>
      </x:c>
      <x:c r="P373" s="66" t="b">
        <x:v>0</x:v>
      </x:c>
      <x:c r="Q373" s="66" t="b">
        <x:v>1</x:v>
      </x:c>
      <x:c r="R373" t="str">
        <x:v>Zoeller Field at Dix Stadium</x:v>
      </x:c>
      <x:c r="S373" t="str"/>
      <x:c r="T373"/>
      <x:c r="U373" s="70"/>
      <x:c r="V373" s="70"/>
      <x:c r="W373"/>
      <x:c r="X373" t="str">
        <x:v>https://www.espn.com/college-football/game/_/gameId/401866434</x:v>
      </x:c>
    </x:row>
    <x:row r="374">
      <x:c r="A374" t="str">
        <x:v>CFB</x:v>
      </x:c>
      <x:c r="B374" t="n">
        <x:v>5</x:v>
      </x:c>
      <x:c r="C374" s="68" t="n">
        <x:v>46298</x:v>
      </x:c>
      <x:c r="D374" s="71" t="str">
        <x:v>pre</x:v>
      </x:c>
      <x:c r="E374" s="72" t="b">
        <x:v>0</x:v>
      </x:c>
      <x:c r="F374" t="str">
        <x:v>Bowling Green Falcons</x:v>
      </x:c>
      <x:c r="G374" t="str">
        <x:v>BGSU</x:v>
      </x:c>
      <x:c r="H374" s="69" t="n">
        <x:v>0</x:v>
      </x:c>
      <x:c r="I374" t="str">
        <x:v>0-3</x:v>
      </x:c>
      <x:c r="J374" t="str">
        <x:f>IF(E374&lt;&gt;TRUE,"",IF(H374&gt;M374,"W",IF(H374&lt;M374,"L","T")))</x:f>
      </x:c>
      <x:c r="K374" t="str">
        <x:v>Miami (OH) RedHawks</x:v>
      </x:c>
      <x:c r="L374" t="str">
        <x:v>M-OH</x:v>
      </x:c>
      <x:c r="M374" s="69" t="n">
        <x:v>0</x:v>
      </x:c>
      <x:c r="N374" t="str">
        <x:v>1-2</x:v>
      </x:c>
      <x:c r="O374" t="str">
        <x:f>IF(E374&lt;&gt;TRUE,"",IF(M374&gt;H374,"W",IF(M374&lt;H374,"L","T")))</x:f>
      </x:c>
      <x:c r="P374" s="66" t="b">
        <x:v>0</x:v>
      </x:c>
      <x:c r="Q374" s="66" t="b">
        <x:v>1</x:v>
      </x:c>
      <x:c r="R374" t="str">
        <x:v>Yager Stadium</x:v>
      </x:c>
      <x:c r="S374" t="str"/>
      <x:c r="T374"/>
      <x:c r="U374" s="70"/>
      <x:c r="V374" s="70"/>
      <x:c r="W374"/>
      <x:c r="X374" t="str">
        <x:v>https://www.espn.com/college-football/game/_/gameId/401866477</x:v>
      </x:c>
    </x:row>
    <x:row r="375">
      <x:c r="A375" t="str">
        <x:v>CFB</x:v>
      </x:c>
      <x:c r="B375" t="n">
        <x:v>5</x:v>
      </x:c>
      <x:c r="C375" s="68" t="n">
        <x:v>46298</x:v>
      </x:c>
      <x:c r="D375" s="71" t="str">
        <x:v>pre</x:v>
      </x:c>
      <x:c r="E375" s="72" t="b">
        <x:v>0</x:v>
      </x:c>
      <x:c r="F375" t="str">
        <x:v>Army Black Knights</x:v>
      </x:c>
      <x:c r="G375" t="str">
        <x:v>ARMY</x:v>
      </x:c>
      <x:c r="H375" s="69" t="n">
        <x:v>0</x:v>
      </x:c>
      <x:c r="I375" t="str">
        <x:v>1-1</x:v>
      </x:c>
      <x:c r="J375" t="str">
        <x:f>IF(E375&lt;&gt;TRUE,"",IF(H375&gt;M375,"W",IF(H375&lt;M375,"L","T")))</x:f>
      </x:c>
      <x:c r="K375" t="str">
        <x:v>Louisiana Tech Bulldogs</x:v>
      </x:c>
      <x:c r="L375" t="str">
        <x:v>LT</x:v>
      </x:c>
      <x:c r="M375" s="69" t="n">
        <x:v>0</x:v>
      </x:c>
      <x:c r="N375" t="str">
        <x:v>1-2</x:v>
      </x:c>
      <x:c r="O375" t="str">
        <x:f>IF(E375&lt;&gt;TRUE,"",IF(M375&gt;H375,"W",IF(M375&lt;H375,"L","T")))</x:f>
      </x:c>
      <x:c r="P375" s="66" t="b">
        <x:v>0</x:v>
      </x:c>
      <x:c r="Q375" s="66" t="b">
        <x:v>0</x:v>
      </x:c>
      <x:c r="R375" t="str">
        <x:v>Joe Aillet Stadium</x:v>
      </x:c>
      <x:c r="S375" t="str"/>
      <x:c r="T375"/>
      <x:c r="U375" s="70"/>
      <x:c r="V375" s="70"/>
      <x:c r="W375"/>
      <x:c r="X375" t="str">
        <x:v>https://www.espn.com/college-football/game/_/gameId/401869842</x:v>
      </x:c>
    </x:row>
    <x:row r="376">
      <x:c r="A376" t="str">
        <x:v>CFB</x:v>
      </x:c>
      <x:c r="B376" t="n">
        <x:v>5</x:v>
      </x:c>
      <x:c r="C376" s="68" t="n">
        <x:v>46298</x:v>
      </x:c>
      <x:c r="D376" s="71" t="str">
        <x:v>pre</x:v>
      </x:c>
      <x:c r="E376" s="72" t="b">
        <x:v>0</x:v>
      </x:c>
      <x:c r="F376" t="str">
        <x:v>Arkansas State Red Wolves</x:v>
      </x:c>
      <x:c r="G376" t="str">
        <x:v>ARST</x:v>
      </x:c>
      <x:c r="H376" s="69" t="n">
        <x:v>0</x:v>
      </x:c>
      <x:c r="I376" t="str">
        <x:v>1-2</x:v>
      </x:c>
      <x:c r="J376" t="str">
        <x:f>IF(E376&lt;&gt;TRUE,"",IF(H376&gt;M376,"W",IF(H376&lt;M376,"L","T")))</x:f>
      </x:c>
      <x:c r="K376" t="str">
        <x:v>Louisiana Ragin' Cajuns</x:v>
      </x:c>
      <x:c r="L376" t="str">
        <x:v>UL</x:v>
      </x:c>
      <x:c r="M376" s="69" t="n">
        <x:v>0</x:v>
      </x:c>
      <x:c r="N376" t="str">
        <x:v>2-1</x:v>
      </x:c>
      <x:c r="O376" t="str">
        <x:f>IF(E376&lt;&gt;TRUE,"",IF(M376&gt;H376,"W",IF(M376&lt;H376,"L","T")))</x:f>
      </x:c>
      <x:c r="P376" s="66" t="b">
        <x:v>0</x:v>
      </x:c>
      <x:c r="Q376" s="66" t="b">
        <x:v>1</x:v>
      </x:c>
      <x:c r="R376" t="str">
        <x:v>Our Lady of Lourdes Stadium</x:v>
      </x:c>
      <x:c r="S376" t="str"/>
      <x:c r="T376"/>
      <x:c r="U376" s="70"/>
      <x:c r="V376" s="70"/>
      <x:c r="W376"/>
      <x:c r="X376" t="str">
        <x:v>https://www.espn.com/college-football/game/_/gameId/401869932</x:v>
      </x:c>
    </x:row>
    <x:row r="377">
      <x:c r="A377" t="str">
        <x:v>CFB</x:v>
      </x:c>
      <x:c r="B377" t="n">
        <x:v>5</x:v>
      </x:c>
      <x:c r="C377" s="68" t="n">
        <x:v>46298</x:v>
      </x:c>
      <x:c r="D377" s="71" t="str">
        <x:v>pre</x:v>
      </x:c>
      <x:c r="E377" s="72" t="b">
        <x:v>0</x:v>
      </x:c>
      <x:c r="F377" t="str">
        <x:v>Georgia Southern Eagles</x:v>
      </x:c>
      <x:c r="G377" t="str">
        <x:v>GASO</x:v>
      </x:c>
      <x:c r="H377" s="69" t="n">
        <x:v>0</x:v>
      </x:c>
      <x:c r="I377" t="str">
        <x:v>1-2</x:v>
      </x:c>
      <x:c r="J377" t="str">
        <x:f>IF(E377&lt;&gt;TRUE,"",IF(H377&gt;M377,"W",IF(H377&lt;M377,"L","T")))</x:f>
      </x:c>
      <x:c r="K377" t="str">
        <x:v>Coastal Carolina Chanticleers</x:v>
      </x:c>
      <x:c r="L377" t="str">
        <x:v>CCU</x:v>
      </x:c>
      <x:c r="M377" s="69" t="n">
        <x:v>0</x:v>
      </x:c>
      <x:c r="N377" t="str">
        <x:v>1-2</x:v>
      </x:c>
      <x:c r="O377" t="str">
        <x:f>IF(E377&lt;&gt;TRUE,"",IF(M377&gt;H377,"W",IF(M377&lt;H377,"L","T")))</x:f>
      </x:c>
      <x:c r="P377" s="66" t="b">
        <x:v>0</x:v>
      </x:c>
      <x:c r="Q377" s="66" t="b">
        <x:v>1</x:v>
      </x:c>
      <x:c r="R377" t="str">
        <x:v>Brooks Stadium (SC)</x:v>
      </x:c>
      <x:c r="S377" t="str"/>
      <x:c r="T377"/>
      <x:c r="U377" s="70"/>
      <x:c r="V377" s="70"/>
      <x:c r="W377"/>
      <x:c r="X377" t="str">
        <x:v>https://www.espn.com/college-football/game/_/gameId/401869942</x:v>
      </x:c>
    </x:row>
    <x:row r="378">
      <x:c r="A378" t="str">
        <x:v>CFB</x:v>
      </x:c>
      <x:c r="B378" t="n">
        <x:v>5</x:v>
      </x:c>
      <x:c r="C378" s="68" t="n">
        <x:v>46298</x:v>
      </x:c>
      <x:c r="D378" s="71" t="str">
        <x:v>pre</x:v>
      </x:c>
      <x:c r="E378" s="72" t="b">
        <x:v>0</x:v>
      </x:c>
      <x:c r="F378" t="str">
        <x:v>Old Dominion Monarchs</x:v>
      </x:c>
      <x:c r="G378" t="str">
        <x:v>ODU</x:v>
      </x:c>
      <x:c r="H378" s="69" t="n">
        <x:v>0</x:v>
      </x:c>
      <x:c r="I378" t="str">
        <x:v>1-2</x:v>
      </x:c>
      <x:c r="J378" t="str">
        <x:f>IF(E378&lt;&gt;TRUE,"",IF(H378&gt;M378,"W",IF(H378&lt;M378,"L","T")))</x:f>
      </x:c>
      <x:c r="K378" t="str">
        <x:v>Georgia State Panthers</x:v>
      </x:c>
      <x:c r="L378" t="str">
        <x:v>GAST</x:v>
      </x:c>
      <x:c r="M378" s="69" t="n">
        <x:v>0</x:v>
      </x:c>
      <x:c r="N378" t="str">
        <x:v>2-1</x:v>
      </x:c>
      <x:c r="O378" t="str">
        <x:f>IF(E378&lt;&gt;TRUE,"",IF(M378&gt;H378,"W",IF(M378&lt;H378,"L","T")))</x:f>
      </x:c>
      <x:c r="P378" s="66" t="b">
        <x:v>0</x:v>
      </x:c>
      <x:c r="Q378" s="66" t="b">
        <x:v>1</x:v>
      </x:c>
      <x:c r="R378" t="str">
        <x:v>Center Parc Stadium</x:v>
      </x:c>
      <x:c r="S378" t="str"/>
      <x:c r="T378"/>
      <x:c r="U378" s="70"/>
      <x:c r="V378" s="70"/>
      <x:c r="W378"/>
      <x:c r="X378" t="str">
        <x:v>https://www.espn.com/college-football/game/_/gameId/401869956</x:v>
      </x:c>
    </x:row>
    <x:row r="379">
      <x:c r="A379" t="str">
        <x:v>CFB</x:v>
      </x:c>
      <x:c r="B379" t="n">
        <x:v>5</x:v>
      </x:c>
      <x:c r="C379" s="68" t="n">
        <x:v>46298</x:v>
      </x:c>
      <x:c r="D379" s="71" t="str">
        <x:v>pre</x:v>
      </x:c>
      <x:c r="E379" s="72" t="b">
        <x:v>0</x:v>
      </x:c>
      <x:c r="F379" t="str">
        <x:v>Marshall Thundering Herd</x:v>
      </x:c>
      <x:c r="G379" t="str">
        <x:v>MRSH</x:v>
      </x:c>
      <x:c r="H379" s="69" t="n">
        <x:v>0</x:v>
      </x:c>
      <x:c r="I379" t="str">
        <x:v>2-1</x:v>
      </x:c>
      <x:c r="J379" t="str">
        <x:f>IF(E379&lt;&gt;TRUE,"",IF(H379&gt;M379,"W",IF(H379&lt;M379,"L","T")))</x:f>
      </x:c>
      <x:c r="K379" t="str">
        <x:v>James Madison Dukes</x:v>
      </x:c>
      <x:c r="L379" t="str">
        <x:v>JMU</x:v>
      </x:c>
      <x:c r="M379" s="69" t="n">
        <x:v>0</x:v>
      </x:c>
      <x:c r="N379" t="str">
        <x:v>3-0</x:v>
      </x:c>
      <x:c r="O379" t="str">
        <x:f>IF(E379&lt;&gt;TRUE,"",IF(M379&gt;H379,"W",IF(M379&lt;H379,"L","T")))</x:f>
      </x:c>
      <x:c r="P379" s="66" t="b">
        <x:v>0</x:v>
      </x:c>
      <x:c r="Q379" s="66" t="b">
        <x:v>1</x:v>
      </x:c>
      <x:c r="R379" t="str">
        <x:v>Bridgeforth Stadium</x:v>
      </x:c>
      <x:c r="S379" t="str"/>
      <x:c r="T379"/>
      <x:c r="U379" s="70"/>
      <x:c r="V379" s="70"/>
      <x:c r="W379"/>
      <x:c r="X379" t="str">
        <x:v>https://www.espn.com/college-football/game/_/gameId/401869962</x:v>
      </x:c>
    </x:row>
    <x:row r="380">
      <x:c r="A380" t="str">
        <x:v>CFB</x:v>
      </x:c>
      <x:c r="B380" t="n">
        <x:v>5</x:v>
      </x:c>
      <x:c r="C380" s="68" t="n">
        <x:v>46298</x:v>
      </x:c>
      <x:c r="D380" s="71" t="str">
        <x:v>pre</x:v>
      </x:c>
      <x:c r="E380" s="72" t="b">
        <x:v>0</x:v>
      </x:c>
      <x:c r="F380" t="str">
        <x:v>UL Monroe Warhawks</x:v>
      </x:c>
      <x:c r="G380" t="str">
        <x:v>ULM</x:v>
      </x:c>
      <x:c r="H380" s="69" t="n">
        <x:v>0</x:v>
      </x:c>
      <x:c r="I380" t="str">
        <x:v>0-3</x:v>
      </x:c>
      <x:c r="J380" t="str">
        <x:f>IF(E380&lt;&gt;TRUE,"",IF(H380&gt;M380,"W",IF(H380&lt;M380,"L","T")))</x:f>
      </x:c>
      <x:c r="K380" t="str">
        <x:v>South Alabama Jaguars</x:v>
      </x:c>
      <x:c r="L380" t="str">
        <x:v>USA</x:v>
      </x:c>
      <x:c r="M380" s="69" t="n">
        <x:v>0</x:v>
      </x:c>
      <x:c r="N380" t="str">
        <x:v>2-1</x:v>
      </x:c>
      <x:c r="O380" t="str">
        <x:f>IF(E380&lt;&gt;TRUE,"",IF(M380&gt;H380,"W",IF(M380&lt;H380,"L","T")))</x:f>
      </x:c>
      <x:c r="P380" s="66" t="b">
        <x:v>0</x:v>
      </x:c>
      <x:c r="Q380" s="66" t="b">
        <x:v>1</x:v>
      </x:c>
      <x:c r="R380" t="str">
        <x:v>Hancock Whitney Stadium</x:v>
      </x:c>
      <x:c r="S380" t="str"/>
      <x:c r="T380"/>
      <x:c r="U380" s="70"/>
      <x:c r="V380" s="70"/>
      <x:c r="W380"/>
      <x:c r="X380" t="str">
        <x:v>https://www.espn.com/college-football/game/_/gameId/401871089</x:v>
      </x:c>
    </x:row>
    <x:row r="381">
      <x:c r="A381" t="str">
        <x:v>CFB</x:v>
      </x:c>
      <x:c r="B381" t="n">
        <x:v>5</x:v>
      </x:c>
      <x:c r="C381" s="68" t="n">
        <x:v>46298.666666666664</x:v>
      </x:c>
      <x:c r="D381" s="71" t="str">
        <x:v>pre</x:v>
      </x:c>
      <x:c r="E381" s="72" t="b">
        <x:v>0</x:v>
      </x:c>
      <x:c r="F381" t="str">
        <x:v>Syracuse Orange</x:v>
      </x:c>
      <x:c r="G381" t="str">
        <x:v>SYR</x:v>
      </x:c>
      <x:c r="H381" s="69" t="n">
        <x:v>0</x:v>
      </x:c>
      <x:c r="I381" t="str">
        <x:v>1-2</x:v>
      </x:c>
      <x:c r="J381" t="str">
        <x:f>IF(E381&lt;&gt;TRUE,"",IF(H381&gt;M381,"W",IF(H381&lt;M381,"L","T")))</x:f>
      </x:c>
      <x:c r="K381" t="str">
        <x:v>UConn Huskies</x:v>
      </x:c>
      <x:c r="L381" t="str">
        <x:v>CONN</x:v>
      </x:c>
      <x:c r="M381" s="69" t="n">
        <x:v>0</x:v>
      </x:c>
      <x:c r="N381" t="str">
        <x:v>2-1</x:v>
      </x:c>
      <x:c r="O381" t="str">
        <x:f>IF(E381&lt;&gt;TRUE,"",IF(M381&gt;H381,"W",IF(M381&lt;H381,"L","T")))</x:f>
      </x:c>
      <x:c r="P381" s="66" t="b">
        <x:v>0</x:v>
      </x:c>
      <x:c r="Q381" s="66" t="b">
        <x:v>0</x:v>
      </x:c>
      <x:c r="R381" t="str">
        <x:v>Pratt &amp; Whitney Stadium</x:v>
      </x:c>
      <x:c r="S381" t="str">
        <x:v>CBSSN</x:v>
      </x:c>
      <x:c r="T381"/>
      <x:c r="U381" s="70"/>
      <x:c r="V381" s="70"/>
      <x:c r="W381"/>
      <x:c r="X381" t="str">
        <x:v>https://www.espn.com/college-football/game/_/gameId/401858252</x:v>
      </x:c>
    </x:row>
    <x:row r="382">
      <x:c r="A382" t="str">
        <x:v>CFB</x:v>
      </x:c>
      <x:c r="B382" t="n">
        <x:v>5</x:v>
      </x:c>
      <x:c r="C382" s="68" t="n">
        <x:v>46298.666666666664</x:v>
      </x:c>
      <x:c r="D382" s="71" t="str">
        <x:v>pre</x:v>
      </x:c>
      <x:c r="E382" s="72" t="b">
        <x:v>0</x:v>
      </x:c>
      <x:c r="F382" t="str">
        <x:v>Navy Midshipmen</x:v>
      </x:c>
      <x:c r="G382" t="str">
        <x:v>NAVY</x:v>
      </x:c>
      <x:c r="H382" s="69" t="n">
        <x:v>0</x:v>
      </x:c>
      <x:c r="I382" t="str">
        <x:v>1-1</x:v>
      </x:c>
      <x:c r="J382" t="str">
        <x:f>IF(E382&lt;&gt;TRUE,"",IF(H382&gt;M382,"W",IF(H382&lt;M382,"L","T")))</x:f>
      </x:c>
      <x:c r="K382" t="str">
        <x:v>Air Force Falcons</x:v>
      </x:c>
      <x:c r="L382" t="str">
        <x:v>AFA</x:v>
      </x:c>
      <x:c r="M382" s="69" t="n">
        <x:v>0</x:v>
      </x:c>
      <x:c r="N382" t="str">
        <x:v>1-1</x:v>
      </x:c>
      <x:c r="O382" t="str">
        <x:f>IF(E382&lt;&gt;TRUE,"",IF(M382&gt;H382,"W",IF(M382&lt;H382,"L","T")))</x:f>
      </x:c>
      <x:c r="P382" s="66" t="b">
        <x:v>0</x:v>
      </x:c>
      <x:c r="Q382" s="66" t="b">
        <x:v>0</x:v>
      </x:c>
      <x:c r="R382" t="str">
        <x:v>Falcon Stadium</x:v>
      </x:c>
      <x:c r="S382" t="str">
        <x:v>CBS</x:v>
      </x:c>
      <x:c r="T382"/>
      <x:c r="U382" s="70"/>
      <x:c r="V382" s="70"/>
      <x:c r="W382"/>
      <x:c r="X382" t="str">
        <x:v>https://www.espn.com/college-football/game/_/gameId/401862791</x:v>
      </x:c>
    </x:row>
    <x:row r="383">
      <x:c r="A383" t="str">
        <x:v>CFB</x:v>
      </x:c>
      <x:c r="B383" t="n">
        <x:v>5</x:v>
      </x:c>
      <x:c r="C383" s="68" t="n">
        <x:v>46298.8125</x:v>
      </x:c>
      <x:c r="D383" s="71" t="str">
        <x:v>pre</x:v>
      </x:c>
      <x:c r="E383" s="72" t="b">
        <x:v>0</x:v>
      </x:c>
      <x:c r="F383" t="str">
        <x:v>California Golden Bears</x:v>
      </x:c>
      <x:c r="G383" t="str">
        <x:v>CAL</x:v>
      </x:c>
      <x:c r="H383" s="69" t="n">
        <x:v>0</x:v>
      </x:c>
      <x:c r="I383" t="str">
        <x:v>2-1</x:v>
      </x:c>
      <x:c r="J383" t="str">
        <x:f>IF(E383&lt;&gt;TRUE,"",IF(H383&gt;M383,"W",IF(H383&lt;M383,"L","T")))</x:f>
      </x:c>
      <x:c r="K383" t="str">
        <x:v>UNLV Rebels</x:v>
      </x:c>
      <x:c r="L383" t="str">
        <x:v>UNLV</x:v>
      </x:c>
      <x:c r="M383" s="69" t="n">
        <x:v>0</x:v>
      </x:c>
      <x:c r="N383" t="str">
        <x:v>1-2</x:v>
      </x:c>
      <x:c r="O383" t="str">
        <x:f>IF(E383&lt;&gt;TRUE,"",IF(M383&gt;H383,"W",IF(M383&lt;H383,"L","T")))</x:f>
      </x:c>
      <x:c r="P383" s="66" t="b">
        <x:v>0</x:v>
      </x:c>
      <x:c r="Q383" s="66" t="b">
        <x:v>0</x:v>
      </x:c>
      <x:c r="R383" t="str">
        <x:v>Allegiant Stadium</x:v>
      </x:c>
      <x:c r="S383" t="str">
        <x:v>CBSSN</x:v>
      </x:c>
      <x:c r="T383"/>
      <x:c r="U383" s="70"/>
      <x:c r="V383" s="70"/>
      <x:c r="W383"/>
      <x:c r="X383" t="str">
        <x:v>https://www.espn.com/college-football/game/_/gameId/401858247</x:v>
      </x:c>
    </x:row>
    <x:row r="384">
      <x:c r="A384" t="str">
        <x:v>CFB</x:v>
      </x:c>
      <x:c r="B384" t="n">
        <x:v>5</x:v>
      </x:c>
      <x:c r="C384" s="68" t="n">
        <x:v>46298.8125</x:v>
      </x:c>
      <x:c r="D384" s="71" t="str">
        <x:v>pre</x:v>
      </x:c>
      <x:c r="E384" s="72" t="b">
        <x:v>0</x:v>
      </x:c>
      <x:c r="F384" t="str">
        <x:v>Samford Bulldogs</x:v>
      </x:c>
      <x:c r="G384" t="str">
        <x:v>SAM</x:v>
      </x:c>
      <x:c r="H384" s="69" t="n">
        <x:v>0</x:v>
      </x:c>
      <x:c r="I384" t="str">
        <x:v>0-3</x:v>
      </x:c>
      <x:c r="J384" t="str">
        <x:f>IF(E384&lt;&gt;TRUE,"",IF(H384&gt;M384,"W",IF(H384&lt;M384,"L","T")))</x:f>
      </x:c>
      <x:c r="K384" t="str">
        <x:v>UAB Blazers</x:v>
      </x:c>
      <x:c r="L384" t="str">
        <x:v>UAB</x:v>
      </x:c>
      <x:c r="M384" s="69" t="n">
        <x:v>0</x:v>
      </x:c>
      <x:c r="N384" t="str">
        <x:v>1-2</x:v>
      </x:c>
      <x:c r="O384" t="str">
        <x:f>IF(E384&lt;&gt;TRUE,"",IF(M384&gt;H384,"W",IF(M384&lt;H384,"L","T")))</x:f>
      </x:c>
      <x:c r="P384" s="66" t="b">
        <x:v>0</x:v>
      </x:c>
      <x:c r="Q384" s="66" t="b">
        <x:v>0</x:v>
      </x:c>
      <x:c r="R384" t="str">
        <x:v>Protective Stadium</x:v>
      </x:c>
      <x:c r="S384" t="str">
        <x:v>ESPN+</x:v>
      </x:c>
      <x:c r="T384"/>
      <x:c r="U384" s="70"/>
      <x:c r="V384" s="70"/>
      <x:c r="W384"/>
      <x:c r="X384" t="str">
        <x:v>https://www.espn.com/college-football/game/_/gameId/401862793</x:v>
      </x:c>
    </x:row>
    <x:row r="385">
      <x:c r="A385" t="str">
        <x:v>CFB</x:v>
      </x:c>
      <x:c r="B385" t="n">
        <x:v>5</x:v>
      </x:c>
      <x:c r="C385" s="68" t="n">
        <x:v>46298.8125</x:v>
      </x:c>
      <x:c r="D385" s="71" t="str">
        <x:v>pre</x:v>
      </x:c>
      <x:c r="E385" s="72" t="b">
        <x:v>0</x:v>
      </x:c>
      <x:c r="F385" t="str">
        <x:v>Wyoming Cowboys</x:v>
      </x:c>
      <x:c r="G385" t="str">
        <x:v>WYO</x:v>
      </x:c>
      <x:c r="H385" s="69" t="n">
        <x:v>0</x:v>
      </x:c>
      <x:c r="I385" t="str">
        <x:v>1-2</x:v>
      </x:c>
      <x:c r="J385" t="str">
        <x:f>IF(E385&lt;&gt;TRUE,"",IF(H385&gt;M385,"W",IF(H385&lt;M385,"L","T")))</x:f>
      </x:c>
      <x:c r="K385" t="str">
        <x:v>North Dakota State Bison</x:v>
      </x:c>
      <x:c r="L385" t="str">
        <x:v>NDSU</x:v>
      </x:c>
      <x:c r="M385" s="69" t="n">
        <x:v>0</x:v>
      </x:c>
      <x:c r="N385" t="str">
        <x:v>4-0</x:v>
      </x:c>
      <x:c r="O385" t="str">
        <x:f>IF(E385&lt;&gt;TRUE,"",IF(M385&gt;H385,"W",IF(M385&lt;H385,"L","T")))</x:f>
      </x:c>
      <x:c r="P385" s="66" t="b">
        <x:v>0</x:v>
      </x:c>
      <x:c r="Q385" s="66" t="b">
        <x:v>1</x:v>
      </x:c>
      <x:c r="R385" t="str">
        <x:v>Fargodome</x:v>
      </x:c>
      <x:c r="S385" t="str">
        <x:v>CW</x:v>
      </x:c>
      <x:c r="T385"/>
      <x:c r="U385" s="70"/>
      <x:c r="V385" s="70"/>
      <x:c r="W385"/>
      <x:c r="X385" t="str">
        <x:v>https://www.espn.com/college-football/game/_/gameId/401864515</x:v>
      </x:c>
    </x:row>
    <x:row r="386">
      <x:c r="A386" t="str">
        <x:v>CFB</x:v>
      </x:c>
      <x:c r="B386" t="n">
        <x:v>5</x:v>
      </x:c>
      <x:c r="C386" s="68" t="n">
        <x:v>46298.916666666664</x:v>
      </x:c>
      <x:c r="D386" s="71" t="str">
        <x:v>pre</x:v>
      </x:c>
      <x:c r="E386" s="72" t="b">
        <x:v>0</x:v>
      </x:c>
      <x:c r="F386" t="str">
        <x:v>Oregon State Beavers</x:v>
      </x:c>
      <x:c r="G386" t="str">
        <x:v>ORST</x:v>
      </x:c>
      <x:c r="H386" s="69" t="n">
        <x:v>0</x:v>
      </x:c>
      <x:c r="I386" t="str">
        <x:v>1-2</x:v>
      </x:c>
      <x:c r="J386" t="str">
        <x:f>IF(E386&lt;&gt;TRUE,"",IF(H386&gt;M386,"W",IF(H386&lt;M386,"L","T")))</x:f>
      </x:c>
      <x:c r="K386" t="str">
        <x:v>Colorado State Rams</x:v>
      </x:c>
      <x:c r="L386" t="str">
        <x:v>CSU</x:v>
      </x:c>
      <x:c r="M386" s="69" t="n">
        <x:v>0</x:v>
      </x:c>
      <x:c r="N386" t="str">
        <x:v>2-1</x:v>
      </x:c>
      <x:c r="O386" t="str">
        <x:f>IF(E386&lt;&gt;TRUE,"",IF(M386&gt;H386,"W",IF(M386&lt;H386,"L","T")))</x:f>
      </x:c>
      <x:c r="P386" s="66" t="b">
        <x:v>0</x:v>
      </x:c>
      <x:c r="Q386" s="66" t="b">
        <x:v>1</x:v>
      </x:c>
      <x:c r="R386" t="str">
        <x:v>Canvas Stadium</x:v>
      </x:c>
      <x:c r="S386" t="str">
        <x:v>USA Net</x:v>
      </x:c>
      <x:c r="T386"/>
      <x:c r="U386" s="70"/>
      <x:c r="V386" s="70"/>
      <x:c r="W386"/>
      <x:c r="X386" t="str">
        <x:v>https://www.espn.com/college-football/game/_/gameId/401860899</x:v>
      </x:c>
    </x:row>
    <x:row r="387">
      <x:c r="A387" t="str">
        <x:v>CFB</x:v>
      </x:c>
      <x:c r="B387" t="n">
        <x:v>5</x:v>
      </x:c>
      <x:c r="C387" s="68" t="n">
        <x:v>46298.916666666664</x:v>
      </x:c>
      <x:c r="D387" s="71" t="str">
        <x:v>pre</x:v>
      </x:c>
      <x:c r="E387" s="72" t="b">
        <x:v>0</x:v>
      </x:c>
      <x:c r="F387" t="str">
        <x:v>Texas Southern Tigers</x:v>
      </x:c>
      <x:c r="G387" t="str">
        <x:v>TXSO</x:v>
      </x:c>
      <x:c r="H387" s="69" t="n">
        <x:v>0</x:v>
      </x:c>
      <x:c r="I387" t="str">
        <x:v>1-2</x:v>
      </x:c>
      <x:c r="J387" t="str">
        <x:f>IF(E387&lt;&gt;TRUE,"",IF(H387&gt;M387,"W",IF(H387&lt;M387,"L","T")))</x:f>
      </x:c>
      <x:c r="K387" t="str">
        <x:v>Florida Atlantic Owls</x:v>
      </x:c>
      <x:c r="L387" t="str">
        <x:v>FAU</x:v>
      </x:c>
      <x:c r="M387" s="69" t="n">
        <x:v>0</x:v>
      </x:c>
      <x:c r="N387" t="str">
        <x:v>2-1</x:v>
      </x:c>
      <x:c r="O387" t="str">
        <x:f>IF(E387&lt;&gt;TRUE,"",IF(M387&gt;H387,"W",IF(M387&lt;H387,"L","T")))</x:f>
      </x:c>
      <x:c r="P387" s="66" t="b">
        <x:v>0</x:v>
      </x:c>
      <x:c r="Q387" s="66" t="b">
        <x:v>0</x:v>
      </x:c>
      <x:c r="R387" t="str">
        <x:v>Flagler Credit Union Stadium</x:v>
      </x:c>
      <x:c r="S387" t="str">
        <x:v>ESPN+</x:v>
      </x:c>
      <x:c r="T387"/>
      <x:c r="U387" s="70"/>
      <x:c r="V387" s="70"/>
      <x:c r="W387"/>
      <x:c r="X387" t="str">
        <x:v>https://www.espn.com/college-football/game/_/gameId/401862790</x:v>
      </x:c>
    </x:row>
    <x:row r="388">
      <x:c r="A388" t="str">
        <x:v>CFB</x:v>
      </x:c>
      <x:c r="B388" t="n">
        <x:v>5</x:v>
      </x:c>
      <x:c r="C388" s="68" t="n">
        <x:v>46298.979166666664</x:v>
      </x:c>
      <x:c r="D388" s="71" t="str">
        <x:v>pre</x:v>
      </x:c>
      <x:c r="E388" s="72" t="b">
        <x:v>0</x:v>
      </x:c>
      <x:c r="F388" t="str">
        <x:v>Utah State Aggies</x:v>
      </x:c>
      <x:c r="G388" t="str">
        <x:v>USU</x:v>
      </x:c>
      <x:c r="H388" s="69" t="n">
        <x:v>0</x:v>
      </x:c>
      <x:c r="I388" t="str">
        <x:v>0-3</x:v>
      </x:c>
      <x:c r="J388" t="str">
        <x:f>IF(E388&lt;&gt;TRUE,"",IF(H388&gt;M388,"W",IF(H388&lt;M388,"L","T")))</x:f>
      </x:c>
      <x:c r="K388" t="str">
        <x:v>Boise State Broncos</x:v>
      </x:c>
      <x:c r="L388" t="str">
        <x:v>BOIS</x:v>
      </x:c>
      <x:c r="M388" s="69" t="n">
        <x:v>0</x:v>
      </x:c>
      <x:c r="N388" t="str">
        <x:v>2-1</x:v>
      </x:c>
      <x:c r="O388" t="str">
        <x:f>IF(E388&lt;&gt;TRUE,"",IF(M388&gt;H388,"W",IF(M388&lt;H388,"L","T")))</x:f>
      </x:c>
      <x:c r="P388" s="66" t="b">
        <x:v>0</x:v>
      </x:c>
      <x:c r="Q388" s="66" t="b">
        <x:v>1</x:v>
      </x:c>
      <x:c r="R388" t="str">
        <x:v>Albertsons Stadium</x:v>
      </x:c>
      <x:c r="S388" t="str">
        <x:v>CBSSN</x:v>
      </x:c>
      <x:c r="T388"/>
      <x:c r="U388" s="70"/>
      <x:c r="V388" s="70"/>
      <x:c r="W388"/>
      <x:c r="X388" t="str">
        <x:v>https://www.espn.com/college-football/game/_/gameId/401860898</x:v>
      </x:c>
    </x:row>
    <x:row r="389">
      <x:c r="A389" t="str">
        <x:v>CFB</x:v>
      </x:c>
      <x:c r="B389" t="n">
        <x:v>5</x:v>
      </x:c>
      <x:c r="C389" s="68" t="n">
        <x:v>46298.989583333336</x:v>
      </x:c>
      <x:c r="D389" s="71" t="str">
        <x:v>pre</x:v>
      </x:c>
      <x:c r="E389" s="72" t="b">
        <x:v>0</x:v>
      </x:c>
      <x:c r="F389" t="str">
        <x:v>McNeese Cowboys</x:v>
      </x:c>
      <x:c r="G389" t="str">
        <x:v>MCN</x:v>
      </x:c>
      <x:c r="H389" s="69" t="n">
        <x:v>0</x:v>
      </x:c>
      <x:c r="I389" t="str">
        <x:v>1-3</x:v>
      </x:c>
      <x:c r="J389" t="str">
        <x:f>IF(E389&lt;&gt;TRUE,"",IF(H389&gt;M389,"W",IF(H389&lt;M389,"L","T")))</x:f>
      </x:c>
      <x:c r="K389" t="str">
        <x:v>LSU Tigers</x:v>
      </x:c>
      <x:c r="L389" t="str">
        <x:v>LSU</x:v>
      </x:c>
      <x:c r="M389" s="69" t="n">
        <x:v>0</x:v>
      </x:c>
      <x:c r="N389" t="str">
        <x:v>2-1</x:v>
      </x:c>
      <x:c r="O389" t="str">
        <x:f>IF(E389&lt;&gt;TRUE,"",IF(M389&gt;H389,"W",IF(M389&lt;H389,"L","T")))</x:f>
      </x:c>
      <x:c r="P389" s="66" t="b">
        <x:v>0</x:v>
      </x:c>
      <x:c r="Q389" s="66" t="b">
        <x:v>0</x:v>
      </x:c>
      <x:c r="R389" t="str">
        <x:v>Tiger Stadium (LA)</x:v>
      </x:c>
      <x:c r="S389" t="str">
        <x:v>SEC Network</x:v>
      </x:c>
      <x:c r="T389"/>
      <x:c r="U389" s="70"/>
      <x:c r="V389" s="70"/>
      <x:c r="W389"/>
      <x:c r="X389" t="str">
        <x:v>https://www.espn.com/college-football/game/_/gameId/401856706</x:v>
      </x:c>
    </x:row>
    <x:row r="390">
      <x:c r="A390" t="str">
        <x:v>CFB</x:v>
      </x:c>
      <x:c r="B390" t="n">
        <x:v>5</x:v>
      </x:c>
      <x:c r="C390" s="68" t="n">
        <x:v>46299</x:v>
      </x:c>
      <x:c r="D390" s="71" t="str">
        <x:v>pre</x:v>
      </x:c>
      <x:c r="E390" s="72" t="b">
        <x:v>0</x:v>
      </x:c>
      <x:c r="F390" t="str">
        <x:v>Indiana Hoosiers</x:v>
      </x:c>
      <x:c r="G390" t="str">
        <x:v>IU</x:v>
      </x:c>
      <x:c r="H390" s="69" t="n">
        <x:v>0</x:v>
      </x:c>
      <x:c r="I390" t="str">
        <x:v>3-0</x:v>
      </x:c>
      <x:c r="J390" t="str">
        <x:f>IF(E390&lt;&gt;TRUE,"",IF(H390&gt;M390,"W",IF(H390&lt;M390,"L","T")))</x:f>
      </x:c>
      <x:c r="K390" t="str">
        <x:v>Rutgers Scarlet Knights</x:v>
      </x:c>
      <x:c r="L390" t="str">
        <x:v>RUTG</x:v>
      </x:c>
      <x:c r="M390" s="69" t="n">
        <x:v>0</x:v>
      </x:c>
      <x:c r="N390" t="str">
        <x:v>0-3</x:v>
      </x:c>
      <x:c r="O390" t="str">
        <x:f>IF(E390&lt;&gt;TRUE,"",IF(M390&gt;H390,"W",IF(M390&lt;H390,"L","T")))</x:f>
      </x:c>
      <x:c r="P390" s="66" t="b">
        <x:v>0</x:v>
      </x:c>
      <x:c r="Q390" s="66" t="b">
        <x:v>1</x:v>
      </x:c>
      <x:c r="R390" t="str">
        <x:v>SHI Stadium</x:v>
      </x:c>
      <x:c r="S390" t="str"/>
      <x:c r="T390"/>
      <x:c r="U390" s="70"/>
      <x:c r="V390" s="70"/>
      <x:c r="W390"/>
      <x:c r="X390" t="str">
        <x:v>https://www.espn.com/college-football/game/_/gameId/401858477</x:v>
      </x:c>
    </x:row>
    <x:row r="391">
      <x:c r="A391" t="str">
        <x:v>CFB</x:v>
      </x:c>
      <x:c r="B391" t="n">
        <x:v>5</x:v>
      </x:c>
      <x:c r="C391" s="68" t="n">
        <x:v>46299.0625</x:v>
      </x:c>
      <x:c r="D391" s="71" t="str">
        <x:v>pre</x:v>
      </x:c>
      <x:c r="E391" s="72" t="b">
        <x:v>0</x:v>
      </x:c>
      <x:c r="F391" t="str">
        <x:v>Fresno State Bulldogs</x:v>
      </x:c>
      <x:c r="G391" t="str">
        <x:v>FRES</x:v>
      </x:c>
      <x:c r="H391" s="69" t="n">
        <x:v>0</x:v>
      </x:c>
      <x:c r="I391" t="str">
        <x:v>2-1</x:v>
      </x:c>
      <x:c r="J391" t="str">
        <x:f>IF(E391&lt;&gt;TRUE,"",IF(H391&gt;M391,"W",IF(H391&lt;M391,"L","T")))</x:f>
      </x:c>
      <x:c r="K391" t="str">
        <x:v>Washington State Cougars</x:v>
      </x:c>
      <x:c r="L391" t="str">
        <x:v>WSU</x:v>
      </x:c>
      <x:c r="M391" s="69" t="n">
        <x:v>0</x:v>
      </x:c>
      <x:c r="N391" t="str">
        <x:v>1-2</x:v>
      </x:c>
      <x:c r="O391" t="str">
        <x:f>IF(E391&lt;&gt;TRUE,"",IF(M391&gt;H391,"W",IF(M391&lt;H391,"L","T")))</x:f>
      </x:c>
      <x:c r="P391" s="66" t="b">
        <x:v>0</x:v>
      </x:c>
      <x:c r="Q391" s="66" t="b">
        <x:v>1</x:v>
      </x:c>
      <x:c r="R391" t="str">
        <x:v>Martin Stadium</x:v>
      </x:c>
      <x:c r="S391" t="str">
        <x:v>USA Net</x:v>
      </x:c>
      <x:c r="T391"/>
      <x:c r="U391" s="70"/>
      <x:c r="V391" s="70"/>
      <x:c r="W391"/>
      <x:c r="X391" t="str">
        <x:v>https://www.espn.com/college-football/game/_/gameId/401860921</x:v>
      </x:c>
    </x:row>
    <x:row r="392">
      <x:c r="A392" t="str">
        <x:v>CFB</x:v>
      </x:c>
      <x:c r="B392" t="n">
        <x:v>5</x:v>
      </x:c>
      <x:c r="C392" s="68" t="n">
        <x:v>46299.104166666664</x:v>
      </x:c>
      <x:c r="D392" s="71" t="str">
        <x:v>pre</x:v>
      </x:c>
      <x:c r="E392" s="72" t="b">
        <x:v>0</x:v>
      </x:c>
      <x:c r="F392" t="str">
        <x:v>Texas State Bobcats</x:v>
      </x:c>
      <x:c r="G392" t="str">
        <x:v>TXST</x:v>
      </x:c>
      <x:c r="H392" s="69" t="n">
        <x:v>0</x:v>
      </x:c>
      <x:c r="I392" t="str">
        <x:v>1-2</x:v>
      </x:c>
      <x:c r="J392" t="str">
        <x:f>IF(E392&lt;&gt;TRUE,"",IF(H392&gt;M392,"W",IF(H392&lt;M392,"L","T")))</x:f>
      </x:c>
      <x:c r="K392" t="str">
        <x:v>San Diego State Aztecs</x:v>
      </x:c>
      <x:c r="L392" t="str">
        <x:v>SDSU</x:v>
      </x:c>
      <x:c r="M392" s="69" t="n">
        <x:v>0</x:v>
      </x:c>
      <x:c r="N392" t="str">
        <x:v>1-2</x:v>
      </x:c>
      <x:c r="O392" t="str">
        <x:f>IF(E392&lt;&gt;TRUE,"",IF(M392&gt;H392,"W",IF(M392&lt;H392,"L","T")))</x:f>
      </x:c>
      <x:c r="P392" s="66" t="b">
        <x:v>0</x:v>
      </x:c>
      <x:c r="Q392" s="66" t="b">
        <x:v>1</x:v>
      </x:c>
      <x:c r="R392" t="str">
        <x:v>Snapdragon Stadium</x:v>
      </x:c>
      <x:c r="S392" t="str">
        <x:v>CW</x:v>
      </x:c>
      <x:c r="T392"/>
      <x:c r="U392" s="70"/>
      <x:c r="V392" s="70"/>
      <x:c r="W392"/>
      <x:c r="X392" t="str">
        <x:v>https://www.espn.com/college-football/game/_/gameId/401860900</x:v>
      </x:c>
    </x:row>
    <x:row r="393">
      <x:c r="A393" t="str">
        <x:v>CFB</x:v>
      </x:c>
      <x:c r="B393" t="n">
        <x:v>5</x:v>
      </x:c>
      <x:c r="C393" s="68" t="n">
        <x:v>46299.165972222225</x:v>
      </x:c>
      <x:c r="D393" s="71" t="str">
        <x:v>pre</x:v>
      </x:c>
      <x:c r="E393" s="72" t="b">
        <x:v>0</x:v>
      </x:c>
      <x:c r="F393" t="str">
        <x:v>San José State Spartans</x:v>
      </x:c>
      <x:c r="G393" t="str">
        <x:v>SJSU</x:v>
      </x:c>
      <x:c r="H393" s="69" t="n">
        <x:v>0</x:v>
      </x:c>
      <x:c r="I393" t="str">
        <x:v>2-2</x:v>
      </x:c>
      <x:c r="J393" t="str">
        <x:f>IF(E393&lt;&gt;TRUE,"",IF(H393&gt;M393,"W",IF(H393&lt;M393,"L","T")))</x:f>
      </x:c>
      <x:c r="K393" t="str">
        <x:v>Hawai'i Rainbow Warriors</x:v>
      </x:c>
      <x:c r="L393" t="str">
        <x:v>HAW</x:v>
      </x:c>
      <x:c r="M393" s="69" t="n">
        <x:v>0</x:v>
      </x:c>
      <x:c r="N393" t="str">
        <x:v>1-2</x:v>
      </x:c>
      <x:c r="O393" t="str">
        <x:f>IF(E393&lt;&gt;TRUE,"",IF(M393&gt;H393,"W",IF(M393&lt;H393,"L","T")))</x:f>
      </x:c>
      <x:c r="P393" s="66" t="b">
        <x:v>0</x:v>
      </x:c>
      <x:c r="Q393" s="66" t="b">
        <x:v>1</x:v>
      </x:c>
      <x:c r="R393" t="str">
        <x:v>Clarence T.C. Ching Athletics Complex</x:v>
      </x:c>
      <x:c r="S393" t="str">
        <x:v>MW+</x:v>
      </x:c>
      <x:c r="T393"/>
      <x:c r="U393" s="70"/>
      <x:c r="V393" s="70"/>
      <x:c r="W393"/>
      <x:c r="X393" t="str">
        <x:v>https://www.espn.com/college-football/game/_/gameId/401864513</x:v>
      </x:c>
    </x:row>
    <x:row r="394">
      <x:c r="A394" t="str">
        <x:v>CFB</x:v>
      </x:c>
      <x:c r="B394" t="n">
        <x:v>6</x:v>
      </x:c>
      <x:c r="C394" s="68" t="n">
        <x:v>46302</x:v>
      </x:c>
      <x:c r="D394" s="71" t="str">
        <x:v>pre</x:v>
      </x:c>
      <x:c r="E394" s="72" t="b">
        <x:v>0</x:v>
      </x:c>
      <x:c r="F394" t="str">
        <x:v>Southern Miss Golden Eagles</x:v>
      </x:c>
      <x:c r="G394" t="str">
        <x:v>USM</x:v>
      </x:c>
      <x:c r="H394" s="69" t="n">
        <x:v>0</x:v>
      </x:c>
      <x:c r="I394" t="str">
        <x:v>1-2</x:v>
      </x:c>
      <x:c r="J394" t="str">
        <x:f>IF(E394&lt;&gt;TRUE,"",IF(H394&gt;M394,"W",IF(H394&lt;M394,"L","T")))</x:f>
      </x:c>
      <x:c r="K394" t="str">
        <x:v>Troy Trojans</x:v>
      </x:c>
      <x:c r="L394" t="str">
        <x:v>TROY</x:v>
      </x:c>
      <x:c r="M394" s="69" t="n">
        <x:v>0</x:v>
      </x:c>
      <x:c r="N394" t="str">
        <x:v>2-1</x:v>
      </x:c>
      <x:c r="O394" t="str">
        <x:f>IF(E394&lt;&gt;TRUE,"",IF(M394&gt;H394,"W",IF(M394&lt;H394,"L","T")))</x:f>
      </x:c>
      <x:c r="P394" s="66" t="b">
        <x:v>0</x:v>
      </x:c>
      <x:c r="Q394" s="66" t="b">
        <x:v>1</x:v>
      </x:c>
      <x:c r="R394" t="str">
        <x:v>Veterans Memorial Stadium (AL)</x:v>
      </x:c>
      <x:c r="S394" t="str">
        <x:v>ESPN2</x:v>
      </x:c>
      <x:c r="T394"/>
      <x:c r="U394" s="70"/>
      <x:c r="V394" s="70"/>
      <x:c r="W394"/>
      <x:c r="X394" t="str">
        <x:v>https://www.espn.com/college-football/game/_/gameId/401871090</x:v>
      </x:c>
    </x:row>
    <x:row r="395">
      <x:c r="A395" t="str">
        <x:v>CFB</x:v>
      </x:c>
      <x:c r="B395" t="n">
        <x:v>6</x:v>
      </x:c>
      <x:c r="C395" s="68" t="n">
        <x:v>46302.958333333336</x:v>
      </x:c>
      <x:c r="D395" s="71" t="str">
        <x:v>pre</x:v>
      </x:c>
      <x:c r="E395" s="72" t="b">
        <x:v>0</x:v>
      </x:c>
      <x:c r="F395" t="str">
        <x:v>Jacksonville State Gamecocks</x:v>
      </x:c>
      <x:c r="G395" t="str">
        <x:v>JXST</x:v>
      </x:c>
      <x:c r="H395" s="69" t="n">
        <x:v>0</x:v>
      </x:c>
      <x:c r="I395" t="str">
        <x:v>2-2</x:v>
      </x:c>
      <x:c r="J395" t="str">
        <x:f>IF(E395&lt;&gt;TRUE,"",IF(H395&gt;M395,"W",IF(H395&lt;M395,"L","T")))</x:f>
      </x:c>
      <x:c r="K395" t="str">
        <x:v>Kennesaw State Owls</x:v>
      </x:c>
      <x:c r="L395" t="str">
        <x:v>KENN</x:v>
      </x:c>
      <x:c r="M395" s="69" t="n">
        <x:v>0</x:v>
      </x:c>
      <x:c r="N395" t="str">
        <x:v>1-2</x:v>
      </x:c>
      <x:c r="O395" t="str">
        <x:f>IF(E395&lt;&gt;TRUE,"",IF(M395&gt;H395,"W",IF(M395&lt;H395,"L","T")))</x:f>
      </x:c>
      <x:c r="P395" s="66" t="b">
        <x:v>0</x:v>
      </x:c>
      <x:c r="Q395" s="66" t="b">
        <x:v>1</x:v>
      </x:c>
      <x:c r="R395" t="str">
        <x:v>Walens Family Field at Fifth Third Stadium</x:v>
      </x:c>
      <x:c r="S395" t="str">
        <x:v>CBSSN</x:v>
      </x:c>
      <x:c r="T395"/>
      <x:c r="U395" s="70"/>
      <x:c r="V395" s="70"/>
      <x:c r="W395"/>
      <x:c r="X395" t="str">
        <x:v>https://www.espn.com/college-football/game/_/gameId/401871051</x:v>
      </x:c>
    </x:row>
    <x:row r="396">
      <x:c r="A396" t="str">
        <x:v>CFB</x:v>
      </x:c>
      <x:c r="B396" t="n">
        <x:v>6</x:v>
      </x:c>
      <x:c r="C396" s="68" t="n">
        <x:v>46302.979166666664</x:v>
      </x:c>
      <x:c r="D396" s="71" t="str">
        <x:v>pre</x:v>
      </x:c>
      <x:c r="E396" s="72" t="b">
        <x:v>0</x:v>
      </x:c>
      <x:c r="F396" t="str">
        <x:v>New Mexico State Aggies</x:v>
      </x:c>
      <x:c r="G396" t="str">
        <x:v>NMSU</x:v>
      </x:c>
      <x:c r="H396" s="69" t="n">
        <x:v>0</x:v>
      </x:c>
      <x:c r="I396" t="str">
        <x:v>1-2</x:v>
      </x:c>
      <x:c r="J396" t="str">
        <x:f>IF(E396&lt;&gt;TRUE,"",IF(H396&gt;M396,"W",IF(H396&lt;M396,"L","T")))</x:f>
      </x:c>
      <x:c r="K396" t="str">
        <x:v>Florida International Panthers</x:v>
      </x:c>
      <x:c r="L396" t="str">
        <x:v>FIU</x:v>
      </x:c>
      <x:c r="M396" s="69" t="n">
        <x:v>0</x:v>
      </x:c>
      <x:c r="N396" t="str">
        <x:v>1-2</x:v>
      </x:c>
      <x:c r="O396" t="str">
        <x:f>IF(E396&lt;&gt;TRUE,"",IF(M396&gt;H396,"W",IF(M396&lt;H396,"L","T")))</x:f>
      </x:c>
      <x:c r="P396" s="66" t="b">
        <x:v>0</x:v>
      </x:c>
      <x:c r="Q396" s="66" t="b">
        <x:v>1</x:v>
      </x:c>
      <x:c r="R396" t="str">
        <x:v>Pitbull Stadium</x:v>
      </x:c>
      <x:c r="S396" t="str">
        <x:v>ESPN2</x:v>
      </x:c>
      <x:c r="T396"/>
      <x:c r="U396" s="70"/>
      <x:c r="V396" s="70"/>
      <x:c r="W396"/>
      <x:c r="X396" t="str">
        <x:v>https://www.espn.com/college-football/game/_/gameId/401871066</x:v>
      </x:c>
    </x:row>
    <x:row r="397">
      <x:c r="A397" t="str">
        <x:v>CFB</x:v>
      </x:c>
      <x:c r="B397" t="n">
        <x:v>6</x:v>
      </x:c>
      <x:c r="C397" s="68" t="n">
        <x:v>46303.958333333336</x:v>
      </x:c>
      <x:c r="D397" s="71" t="str">
        <x:v>pre</x:v>
      </x:c>
      <x:c r="E397" s="72" t="b">
        <x:v>0</x:v>
      </x:c>
      <x:c r="F397" t="str">
        <x:v>Sam Houston Bearkats</x:v>
      </x:c>
      <x:c r="G397" t="str">
        <x:v>SHSU</x:v>
      </x:c>
      <x:c r="H397" s="69" t="n">
        <x:v>0</x:v>
      </x:c>
      <x:c r="I397" t="str">
        <x:v>1-2</x:v>
      </x:c>
      <x:c r="J397" t="str">
        <x:f>IF(E397&lt;&gt;TRUE,"",IF(H397&gt;M397,"W",IF(H397&lt;M397,"L","T")))</x:f>
      </x:c>
      <x:c r="K397" t="str">
        <x:v>Liberty Flames</x:v>
      </x:c>
      <x:c r="L397" t="str">
        <x:v>LIB</x:v>
      </x:c>
      <x:c r="M397" s="69" t="n">
        <x:v>0</x:v>
      </x:c>
      <x:c r="N397" t="str">
        <x:v>2-1</x:v>
      </x:c>
      <x:c r="O397" t="str">
        <x:f>IF(E397&lt;&gt;TRUE,"",IF(M397&gt;H397,"W",IF(M397&lt;H397,"L","T")))</x:f>
      </x:c>
      <x:c r="P397" s="66" t="b">
        <x:v>0</x:v>
      </x:c>
      <x:c r="Q397" s="66" t="b">
        <x:v>1</x:v>
      </x:c>
      <x:c r="R397" t="str">
        <x:v>Williams Stadium (VA)</x:v>
      </x:c>
      <x:c r="S397" t="str">
        <x:v>ESPNU</x:v>
      </x:c>
      <x:c r="T397"/>
      <x:c r="U397" s="70"/>
      <x:c r="V397" s="70"/>
      <x:c r="W397"/>
      <x:c r="X397" t="str">
        <x:v>https://www.espn.com/college-football/game/_/gameId/401870766</x:v>
      </x:c>
    </x:row>
    <x:row r="398">
      <x:c r="A398" t="str">
        <x:v>CFB</x:v>
      </x:c>
      <x:c r="B398" t="n">
        <x:v>6</x:v>
      </x:c>
      <x:c r="C398" s="68" t="n">
        <x:v>46303.958333333336</x:v>
      </x:c>
      <x:c r="D398" s="71" t="str">
        <x:v>pre</x:v>
      </x:c>
      <x:c r="E398" s="72" t="b">
        <x:v>0</x:v>
      </x:c>
      <x:c r="F398" t="str">
        <x:v>Missouri State Bears</x:v>
      </x:c>
      <x:c r="G398" t="str">
        <x:v>MOST</x:v>
      </x:c>
      <x:c r="H398" s="69" t="n">
        <x:v>0</x:v>
      </x:c>
      <x:c r="I398" t="str">
        <x:v>1-2</x:v>
      </x:c>
      <x:c r="J398" t="str">
        <x:f>IF(E398&lt;&gt;TRUE,"",IF(H398&gt;M398,"W",IF(H398&lt;M398,"L","T")))</x:f>
      </x:c>
      <x:c r="K398" t="str">
        <x:v>Western Kentucky Hilltoppers</x:v>
      </x:c>
      <x:c r="L398" t="str">
        <x:v>WKU</x:v>
      </x:c>
      <x:c r="M398" s="69" t="n">
        <x:v>0</x:v>
      </x:c>
      <x:c r="N398" t="str">
        <x:v>0-3</x:v>
      </x:c>
      <x:c r="O398" t="str">
        <x:f>IF(E398&lt;&gt;TRUE,"",IF(M398&gt;H398,"W",IF(M398&lt;H398,"L","T")))</x:f>
      </x:c>
      <x:c r="P398" s="66" t="b">
        <x:v>0</x:v>
      </x:c>
      <x:c r="Q398" s="66" t="b">
        <x:v>1</x:v>
      </x:c>
      <x:c r="R398" t="str">
        <x:v>Houchens Industries-L.T. Smith Stadium</x:v>
      </x:c>
      <x:c r="S398" t="str">
        <x:v>CBSSN</x:v>
      </x:c>
      <x:c r="T398"/>
      <x:c r="U398" s="70"/>
      <x:c r="V398" s="70"/>
      <x:c r="W398"/>
      <x:c r="X398" t="str">
        <x:v>https://www.espn.com/college-football/game/_/gameId/401871052</x:v>
      </x:c>
    </x:row>
    <x:row r="399">
      <x:c r="A399" t="str">
        <x:v>CFB</x:v>
      </x:c>
      <x:c r="B399" t="n">
        <x:v>6</x:v>
      </x:c>
      <x:c r="C399" s="68" t="n">
        <x:v>46303.979166666664</x:v>
      </x:c>
      <x:c r="D399" s="71" t="str">
        <x:v>pre</x:v>
      </x:c>
      <x:c r="E399" s="72" t="b">
        <x:v>0</x:v>
      </x:c>
      <x:c r="F399" t="str">
        <x:v>South Florida Bulls</x:v>
      </x:c>
      <x:c r="G399" t="str">
        <x:v>USF</x:v>
      </x:c>
      <x:c r="H399" s="69" t="n">
        <x:v>0</x:v>
      </x:c>
      <x:c r="I399" t="str">
        <x:v>3-0</x:v>
      </x:c>
      <x:c r="J399" t="str">
        <x:f>IF(E399&lt;&gt;TRUE,"",IF(H399&gt;M399,"W",IF(H399&lt;M399,"L","T")))</x:f>
      </x:c>
      <x:c r="K399" t="str">
        <x:v>UTSA Roadrunners</x:v>
      </x:c>
      <x:c r="L399" t="str">
        <x:v>UTSA</x:v>
      </x:c>
      <x:c r="M399" s="69" t="n">
        <x:v>0</x:v>
      </x:c>
      <x:c r="N399" t="str">
        <x:v>2-1</x:v>
      </x:c>
      <x:c r="O399" t="str">
        <x:f>IF(E399&lt;&gt;TRUE,"",IF(M399&gt;H399,"W",IF(M399&lt;H399,"L","T")))</x:f>
      </x:c>
      <x:c r="P399" s="66" t="b">
        <x:v>0</x:v>
      </x:c>
      <x:c r="Q399" s="66" t="b">
        <x:v>1</x:v>
      </x:c>
      <x:c r="R399" t="str">
        <x:v>Alamodome</x:v>
      </x:c>
      <x:c r="S399" t="str"/>
      <x:c r="T399"/>
      <x:c r="U399" s="70"/>
      <x:c r="V399" s="70"/>
      <x:c r="W399"/>
      <x:c r="X399" t="str">
        <x:v>https://www.espn.com/college-football/game/_/gameId/401862794</x:v>
      </x:c>
    </x:row>
    <x:row r="400">
      <x:c r="A400" t="str">
        <x:v>CFB</x:v>
      </x:c>
      <x:c r="B400" t="n">
        <x:v>6</x:v>
      </x:c>
      <x:c r="C400" s="68" t="n">
        <x:v>46303.979166666664</x:v>
      </x:c>
      <x:c r="D400" s="71" t="str">
        <x:v>pre</x:v>
      </x:c>
      <x:c r="E400" s="72" t="b">
        <x:v>0</x:v>
      </x:c>
      <x:c r="F400" t="str">
        <x:v>South Alabama Jaguars</x:v>
      </x:c>
      <x:c r="G400" t="str">
        <x:v>USA</x:v>
      </x:c>
      <x:c r="H400" s="69" t="n">
        <x:v>0</x:v>
      </x:c>
      <x:c r="I400" t="str">
        <x:v>2-1</x:v>
      </x:c>
      <x:c r="J400" t="str">
        <x:f>IF(E400&lt;&gt;TRUE,"",IF(H400&gt;M400,"W",IF(H400&lt;M400,"L","T")))</x:f>
      </x:c>
      <x:c r="K400" t="str">
        <x:v>Arkansas State Red Wolves</x:v>
      </x:c>
      <x:c r="L400" t="str">
        <x:v>ARST</x:v>
      </x:c>
      <x:c r="M400" s="69" t="n">
        <x:v>0</x:v>
      </x:c>
      <x:c r="N400" t="str">
        <x:v>1-2</x:v>
      </x:c>
      <x:c r="O400" t="str">
        <x:f>IF(E400&lt;&gt;TRUE,"",IF(M400&gt;H400,"W",IF(M400&lt;H400,"L","T")))</x:f>
      </x:c>
      <x:c r="P400" s="66" t="b">
        <x:v>0</x:v>
      </x:c>
      <x:c r="Q400" s="66" t="b">
        <x:v>1</x:v>
      </x:c>
      <x:c r="R400" t="str">
        <x:v>Centennial Bank Stadium</x:v>
      </x:c>
      <x:c r="S400" t="str"/>
      <x:c r="T400"/>
      <x:c r="U400" s="70"/>
      <x:c r="V400" s="70"/>
      <x:c r="W400"/>
      <x:c r="X400" t="str">
        <x:v>https://www.espn.com/college-football/game/_/gameId/401869933</x:v>
      </x:c>
    </x:row>
    <x:row r="401">
      <x:c r="A401" t="str">
        <x:v>CFB</x:v>
      </x:c>
      <x:c r="B401" t="n">
        <x:v>6</x:v>
      </x:c>
      <x:c r="C401" s="68" t="n">
        <x:v>46304.958333333336</x:v>
      </x:c>
      <x:c r="D401" s="71" t="str">
        <x:v>pre</x:v>
      </x:c>
      <x:c r="E401" s="72" t="b">
        <x:v>0</x:v>
      </x:c>
      <x:c r="F401" t="str">
        <x:v>Florida State Seminoles</x:v>
      </x:c>
      <x:c r="G401" t="str">
        <x:v>FSU</x:v>
      </x:c>
      <x:c r="H401" s="69" t="n">
        <x:v>0</x:v>
      </x:c>
      <x:c r="I401" t="str">
        <x:v>1-2</x:v>
      </x:c>
      <x:c r="J401" t="str">
        <x:f>IF(E401&lt;&gt;TRUE,"",IF(H401&gt;M401,"W",IF(H401&lt;M401,"L","T")))</x:f>
      </x:c>
      <x:c r="K401" t="str">
        <x:v>Louisville Cardinals</x:v>
      </x:c>
      <x:c r="L401" t="str">
        <x:v>LOU</x:v>
      </x:c>
      <x:c r="M401" s="69" t="n">
        <x:v>0</x:v>
      </x:c>
      <x:c r="N401" t="str">
        <x:v>2-1</x:v>
      </x:c>
      <x:c r="O401" t="str">
        <x:f>IF(E401&lt;&gt;TRUE,"",IF(M401&gt;H401,"W",IF(M401&lt;H401,"L","T")))</x:f>
      </x:c>
      <x:c r="P401" s="66" t="b">
        <x:v>0</x:v>
      </x:c>
      <x:c r="Q401" s="66" t="b">
        <x:v>1</x:v>
      </x:c>
      <x:c r="R401" t="str">
        <x:v>L&amp;N Federal Credit Union Stadium</x:v>
      </x:c>
      <x:c r="S401" t="str">
        <x:v>ESPN</x:v>
      </x:c>
      <x:c r="T401"/>
      <x:c r="U401" s="70"/>
      <x:c r="V401" s="70"/>
      <x:c r="W401"/>
      <x:c r="X401" t="str">
        <x:v>https://www.espn.com/college-football/game/_/gameId/401858254</x:v>
      </x:c>
    </x:row>
    <x:row r="402">
      <x:c r="A402" t="str">
        <x:v>CFB</x:v>
      </x:c>
      <x:c r="B402" t="n">
        <x:v>6</x:v>
      </x:c>
      <x:c r="C402" s="68" t="n">
        <x:v>46305.041666666664</x:v>
      </x:c>
      <x:c r="D402" s="71" t="str">
        <x:v>pre</x:v>
      </x:c>
      <x:c r="E402" s="72" t="b">
        <x:v>0</x:v>
      </x:c>
      <x:c r="F402" t="str">
        <x:v>Iowa Hawkeyes</x:v>
      </x:c>
      <x:c r="G402" t="str">
        <x:v>IOWA</x:v>
      </x:c>
      <x:c r="H402" s="69" t="n">
        <x:v>0</x:v>
      </x:c>
      <x:c r="I402" t="str">
        <x:v>3-0</x:v>
      </x:c>
      <x:c r="J402" t="str">
        <x:f>IF(E402&lt;&gt;TRUE,"",IF(H402&gt;M402,"W",IF(H402&lt;M402,"L","T")))</x:f>
      </x:c>
      <x:c r="K402" t="str">
        <x:v>Washington Huskies</x:v>
      </x:c>
      <x:c r="L402" t="str">
        <x:v>WASH</x:v>
      </x:c>
      <x:c r="M402" s="69" t="n">
        <x:v>0</x:v>
      </x:c>
      <x:c r="N402" t="str">
        <x:v>3-0</x:v>
      </x:c>
      <x:c r="O402" t="str">
        <x:f>IF(E402&lt;&gt;TRUE,"",IF(M402&gt;H402,"W",IF(M402&lt;H402,"L","T")))</x:f>
      </x:c>
      <x:c r="P402" s="66" t="b">
        <x:v>0</x:v>
      </x:c>
      <x:c r="Q402" s="66" t="b">
        <x:v>1</x:v>
      </x:c>
      <x:c r="R402" t="str">
        <x:v>Husky Stadium</x:v>
      </x:c>
      <x:c r="S402" t="str"/>
      <x:c r="T402"/>
      <x:c r="U402" s="70"/>
      <x:c r="V402" s="70"/>
      <x:c r="W402"/>
      <x:c r="X402" t="str">
        <x:v>https://www.espn.com/college-football/game/_/gameId/401858487</x:v>
      </x:c>
    </x:row>
    <x:row r="403">
      <x:c r="A403" t="str">
        <x:v>CFB</x:v>
      </x:c>
      <x:c r="B403" t="n">
        <x:v>6</x:v>
      </x:c>
      <x:c r="C403" s="68" t="n">
        <x:v>46305.041666666664</x:v>
      </x:c>
      <x:c r="D403" s="71" t="str">
        <x:v>pre</x:v>
      </x:c>
      <x:c r="E403" s="72" t="b">
        <x:v>0</x:v>
      </x:c>
      <x:c r="F403" t="str">
        <x:v>Washington State Cougars</x:v>
      </x:c>
      <x:c r="G403" t="str">
        <x:v>WSU</x:v>
      </x:c>
      <x:c r="H403" s="69" t="n">
        <x:v>0</x:v>
      </x:c>
      <x:c r="I403" t="str">
        <x:v>1-2</x:v>
      </x:c>
      <x:c r="J403" t="str">
        <x:f>IF(E403&lt;&gt;TRUE,"",IF(H403&gt;M403,"W",IF(H403&lt;M403,"L","T")))</x:f>
      </x:c>
      <x:c r="K403" t="str">
        <x:v>Utah State Aggies</x:v>
      </x:c>
      <x:c r="L403" t="str">
        <x:v>USU</x:v>
      </x:c>
      <x:c r="M403" s="69" t="n">
        <x:v>0</x:v>
      </x:c>
      <x:c r="N403" t="str">
        <x:v>0-3</x:v>
      </x:c>
      <x:c r="O403" t="str">
        <x:f>IF(E403&lt;&gt;TRUE,"",IF(M403&gt;H403,"W",IF(M403&lt;H403,"L","T")))</x:f>
      </x:c>
      <x:c r="P403" s="66" t="b">
        <x:v>0</x:v>
      </x:c>
      <x:c r="Q403" s="66" t="b">
        <x:v>1</x:v>
      </x:c>
      <x:c r="R403" t="str">
        <x:v>Maverik Stadium</x:v>
      </x:c>
      <x:c r="S403" t="str">
        <x:v>CW</x:v>
      </x:c>
      <x:c r="T403"/>
      <x:c r="U403" s="70"/>
      <x:c r="V403" s="70"/>
      <x:c r="W403"/>
      <x:c r="X403" t="str">
        <x:v>https://www.espn.com/college-football/game/_/gameId/401860922</x:v>
      </x:c>
    </x:row>
    <x:row r="404">
      <x:c r="A404" t="str">
        <x:v>CFB</x:v>
      </x:c>
      <x:c r="B404" t="n">
        <x:v>6</x:v>
      </x:c>
      <x:c r="C404" s="68" t="n">
        <x:v>46305.041666666664</x:v>
      </x:c>
      <x:c r="D404" s="71" t="str">
        <x:v>pre</x:v>
      </x:c>
      <x:c r="E404" s="72" t="b">
        <x:v>0</x:v>
      </x:c>
      <x:c r="F404" t="str">
        <x:v>Wyoming Cowboys</x:v>
      </x:c>
      <x:c r="G404" t="str">
        <x:v>WYO</x:v>
      </x:c>
      <x:c r="H404" s="69" t="n">
        <x:v>0</x:v>
      </x:c>
      <x:c r="I404" t="str">
        <x:v>1-2</x:v>
      </x:c>
      <x:c r="J404" t="str">
        <x:f>IF(E404&lt;&gt;TRUE,"",IF(H404&gt;M404,"W",IF(H404&lt;M404,"L","T")))</x:f>
      </x:c>
      <x:c r="K404" t="str">
        <x:v>San José State Spartans</x:v>
      </x:c>
      <x:c r="L404" t="str">
        <x:v>SJSU</x:v>
      </x:c>
      <x:c r="M404" s="69" t="n">
        <x:v>0</x:v>
      </x:c>
      <x:c r="N404" t="str">
        <x:v>2-2</x:v>
      </x:c>
      <x:c r="O404" t="str">
        <x:f>IF(E404&lt;&gt;TRUE,"",IF(M404&gt;H404,"W",IF(M404&lt;H404,"L","T")))</x:f>
      </x:c>
      <x:c r="P404" s="66" t="b">
        <x:v>0</x:v>
      </x:c>
      <x:c r="Q404" s="66" t="b">
        <x:v>1</x:v>
      </x:c>
      <x:c r="R404" t="str">
        <x:v>CEFCU Stadium</x:v>
      </x:c>
      <x:c r="S404" t="str">
        <x:v>CBSSN</x:v>
      </x:c>
      <x:c r="T404"/>
      <x:c r="U404" s="70"/>
      <x:c r="V404" s="70"/>
      <x:c r="W404"/>
      <x:c r="X404" t="str">
        <x:v>https://www.espn.com/college-football/game/_/gameId/401864519</x:v>
      </x:c>
    </x:row>
    <x:row r="405">
      <x:c r="A405" t="str">
        <x:v>CFB</x:v>
      </x:c>
      <x:c r="B405" t="n">
        <x:v>6</x:v>
      </x:c>
      <x:c r="C405" s="68" t="n">
        <x:v>46305.09375</x:v>
      </x:c>
      <x:c r="D405" s="71" t="str">
        <x:v>pre</x:v>
      </x:c>
      <x:c r="E405" s="72" t="b">
        <x:v>0</x:v>
      </x:c>
      <x:c r="F405" t="str">
        <x:v>Iowa State Cyclones</x:v>
      </x:c>
      <x:c r="G405" t="str">
        <x:v>ISU</x:v>
      </x:c>
      <x:c r="H405" s="69" t="n">
        <x:v>0</x:v>
      </x:c>
      <x:c r="I405" t="str">
        <x:v>2-1</x:v>
      </x:c>
      <x:c r="J405" t="str">
        <x:f>IF(E405&lt;&gt;TRUE,"",IF(H405&gt;M405,"W",IF(H405&lt;M405,"L","T")))</x:f>
      </x:c>
      <x:c r="K405" t="str">
        <x:v>BYU Cougars</x:v>
      </x:c>
      <x:c r="L405" t="str">
        <x:v>BYU</x:v>
      </x:c>
      <x:c r="M405" s="69" t="n">
        <x:v>0</x:v>
      </x:c>
      <x:c r="N405" t="str">
        <x:v>3-0</x:v>
      </x:c>
      <x:c r="O405" t="str">
        <x:f>IF(E405&lt;&gt;TRUE,"",IF(M405&gt;H405,"W",IF(M405&lt;H405,"L","T")))</x:f>
      </x:c>
      <x:c r="P405" s="66" t="b">
        <x:v>0</x:v>
      </x:c>
      <x:c r="Q405" s="66" t="b">
        <x:v>1</x:v>
      </x:c>
      <x:c r="R405" t="str">
        <x:v>LaVell Edwards Stadium</x:v>
      </x:c>
      <x:c r="S405" t="str">
        <x:v>ESPN</x:v>
      </x:c>
      <x:c r="T405"/>
      <x:c r="U405" s="70"/>
      <x:c r="V405" s="70"/>
      <x:c r="W405"/>
      <x:c r="X405" t="str">
        <x:v>https://www.espn.com/college-football/game/_/gameId/401856826</x:v>
      </x:c>
    </x:row>
    <x:row r="406">
      <x:c r="A406" t="str">
        <x:v>CFB</x:v>
      </x:c>
      <x:c r="B406" t="n">
        <x:v>6</x:v>
      </x:c>
      <x:c r="C406" s="68" t="n">
        <x:v>46305</x:v>
      </x:c>
      <x:c r="D406" s="71" t="str">
        <x:v>pre</x:v>
      </x:c>
      <x:c r="E406" s="72" t="b">
        <x:v>0</x:v>
      </x:c>
      <x:c r="F406" t="str">
        <x:v>Georgia Bulldogs</x:v>
      </x:c>
      <x:c r="G406" t="str">
        <x:v>UGA</x:v>
      </x:c>
      <x:c r="H406" s="69" t="n">
        <x:v>0</x:v>
      </x:c>
      <x:c r="I406" t="str">
        <x:v>3-0</x:v>
      </x:c>
      <x:c r="J406" t="str">
        <x:f>IF(E406&lt;&gt;TRUE,"",IF(H406&gt;M406,"W",IF(H406&lt;M406,"L","T")))</x:f>
      </x:c>
      <x:c r="K406" t="str">
        <x:v>Alabama Crimson Tide</x:v>
      </x:c>
      <x:c r="L406" t="str">
        <x:v>ALA</x:v>
      </x:c>
      <x:c r="M406" s="69" t="n">
        <x:v>0</x:v>
      </x:c>
      <x:c r="N406" t="str">
        <x:v>3-0</x:v>
      </x:c>
      <x:c r="O406" t="str">
        <x:f>IF(E406&lt;&gt;TRUE,"",IF(M406&gt;H406,"W",IF(M406&lt;H406,"L","T")))</x:f>
      </x:c>
      <x:c r="P406" s="66" t="b">
        <x:v>0</x:v>
      </x:c>
      <x:c r="Q406" s="66" t="b">
        <x:v>1</x:v>
      </x:c>
      <x:c r="R406" t="str">
        <x:v>Bryant-Denny Stadium</x:v>
      </x:c>
      <x:c r="S406" t="str"/>
      <x:c r="T406" t="str">
        <x:v>UGA -3</x:v>
      </x:c>
      <x:c r="U406" s="70" t="n">
        <x:v>3</x:v>
      </x:c>
      <x:c r="V406" s="70" t="n">
        <x:v>50.5</x:v>
      </x:c>
      <x:c r="W406" t="str">
        <x:v>DraftKings</x:v>
      </x:c>
      <x:c r="X406" t="str">
        <x:v>https://www.espn.com/college-football/game/_/gameId/401856712</x:v>
      </x:c>
    </x:row>
    <x:row r="407">
      <x:c r="A407" t="str">
        <x:v>CFB</x:v>
      </x:c>
      <x:c r="B407" t="n">
        <x:v>6</x:v>
      </x:c>
      <x:c r="C407" s="68" t="n">
        <x:v>46305</x:v>
      </x:c>
      <x:c r="D407" s="71" t="str">
        <x:v>pre</x:v>
      </x:c>
      <x:c r="E407" s="72" t="b">
        <x:v>0</x:v>
      </x:c>
      <x:c r="F407" t="str">
        <x:v>Tennessee Volunteers</x:v>
      </x:c>
      <x:c r="G407" t="str">
        <x:v>TENN</x:v>
      </x:c>
      <x:c r="H407" s="69" t="n">
        <x:v>0</x:v>
      </x:c>
      <x:c r="I407" t="str">
        <x:v>3-0</x:v>
      </x:c>
      <x:c r="J407" t="str">
        <x:f>IF(E407&lt;&gt;TRUE,"",IF(H407&gt;M407,"W",IF(H407&lt;M407,"L","T")))</x:f>
      </x:c>
      <x:c r="K407" t="str">
        <x:v>Arkansas Razorbacks</x:v>
      </x:c>
      <x:c r="L407" t="str">
        <x:v>ARK</x:v>
      </x:c>
      <x:c r="M407" s="69" t="n">
        <x:v>0</x:v>
      </x:c>
      <x:c r="N407" t="str">
        <x:v>1-2</x:v>
      </x:c>
      <x:c r="O407" t="str">
        <x:f>IF(E407&lt;&gt;TRUE,"",IF(M407&gt;H407,"W",IF(M407&lt;H407,"L","T")))</x:f>
      </x:c>
      <x:c r="P407" s="66" t="b">
        <x:v>0</x:v>
      </x:c>
      <x:c r="Q407" s="66" t="b">
        <x:v>1</x:v>
      </x:c>
      <x:c r="R407" t="str">
        <x:v>Donald W. Reynolds Razorback Stadium</x:v>
      </x:c>
      <x:c r="S407" t="str"/>
      <x:c r="T407"/>
      <x:c r="U407" s="70"/>
      <x:c r="V407" s="70"/>
      <x:c r="W407"/>
      <x:c r="X407" t="str">
        <x:v>https://www.espn.com/college-football/game/_/gameId/401856713</x:v>
      </x:c>
    </x:row>
    <x:row r="408">
      <x:c r="A408" t="str">
        <x:v>CFB</x:v>
      </x:c>
      <x:c r="B408" t="n">
        <x:v>6</x:v>
      </x:c>
      <x:c r="C408" s="68" t="n">
        <x:v>46305</x:v>
      </x:c>
      <x:c r="D408" s="71" t="str">
        <x:v>pre</x:v>
      </x:c>
      <x:c r="E408" s="72" t="b">
        <x:v>0</x:v>
      </x:c>
      <x:c r="F408" t="str">
        <x:v>South Carolina Gamecocks</x:v>
      </x:c>
      <x:c r="G408" t="str">
        <x:v>SC</x:v>
      </x:c>
      <x:c r="H408" s="69" t="n">
        <x:v>0</x:v>
      </x:c>
      <x:c r="I408" t="str">
        <x:v>2-1</x:v>
      </x:c>
      <x:c r="J408" t="str">
        <x:f>IF(E408&lt;&gt;TRUE,"",IF(H408&gt;M408,"W",IF(H408&lt;M408,"L","T")))</x:f>
      </x:c>
      <x:c r="K408" t="str">
        <x:v>Florida Gators</x:v>
      </x:c>
      <x:c r="L408" t="str">
        <x:v>FLA</x:v>
      </x:c>
      <x:c r="M408" s="69" t="n">
        <x:v>0</x:v>
      </x:c>
      <x:c r="N408" t="str">
        <x:v>3-0</x:v>
      </x:c>
      <x:c r="O408" t="str">
        <x:f>IF(E408&lt;&gt;TRUE,"",IF(M408&gt;H408,"W",IF(M408&lt;H408,"L","T")))</x:f>
      </x:c>
      <x:c r="P408" s="66" t="b">
        <x:v>0</x:v>
      </x:c>
      <x:c r="Q408" s="66" t="b">
        <x:v>1</x:v>
      </x:c>
      <x:c r="R408" t="str">
        <x:v>Ben Hill Griffin Stadium</x:v>
      </x:c>
      <x:c r="S408" t="str"/>
      <x:c r="T408"/>
      <x:c r="U408" s="70"/>
      <x:c r="V408" s="70"/>
      <x:c r="W408"/>
      <x:c r="X408" t="str">
        <x:v>https://www.espn.com/college-football/game/_/gameId/401856714</x:v>
      </x:c>
    </x:row>
    <x:row r="409">
      <x:c r="A409" t="str">
        <x:v>CFB</x:v>
      </x:c>
      <x:c r="B409" t="n">
        <x:v>6</x:v>
      </x:c>
      <x:c r="C409" s="68" t="n">
        <x:v>46305</x:v>
      </x:c>
      <x:c r="D409" s="71" t="str">
        <x:v>pre</x:v>
      </x:c>
      <x:c r="E409" s="72" t="b">
        <x:v>0</x:v>
      </x:c>
      <x:c r="F409" t="str">
        <x:v>LSU Tigers</x:v>
      </x:c>
      <x:c r="G409" t="str">
        <x:v>LSU</x:v>
      </x:c>
      <x:c r="H409" s="69" t="n">
        <x:v>0</x:v>
      </x:c>
      <x:c r="I409" t="str">
        <x:v>2-1</x:v>
      </x:c>
      <x:c r="J409" t="str">
        <x:f>IF(E409&lt;&gt;TRUE,"",IF(H409&gt;M409,"W",IF(H409&lt;M409,"L","T")))</x:f>
      </x:c>
      <x:c r="K409" t="str">
        <x:v>Kentucky Wildcats</x:v>
      </x:c>
      <x:c r="L409" t="str">
        <x:v>UK</x:v>
      </x:c>
      <x:c r="M409" s="69" t="n">
        <x:v>0</x:v>
      </x:c>
      <x:c r="N409" t="str">
        <x:v>2-1</x:v>
      </x:c>
      <x:c r="O409" t="str">
        <x:f>IF(E409&lt;&gt;TRUE,"",IF(M409&gt;H409,"W",IF(M409&lt;H409,"L","T")))</x:f>
      </x:c>
      <x:c r="P409" s="66" t="b">
        <x:v>0</x:v>
      </x:c>
      <x:c r="Q409" s="66" t="b">
        <x:v>1</x:v>
      </x:c>
      <x:c r="R409" t="str">
        <x:v>Kroger Field</x:v>
      </x:c>
      <x:c r="S409" t="str"/>
      <x:c r="T409"/>
      <x:c r="U409" s="70"/>
      <x:c r="V409" s="70"/>
      <x:c r="W409"/>
      <x:c r="X409" t="str">
        <x:v>https://www.espn.com/college-football/game/_/gameId/401856715</x:v>
      </x:c>
    </x:row>
    <x:row r="410">
      <x:c r="A410" t="str">
        <x:v>CFB</x:v>
      </x:c>
      <x:c r="B410" t="n">
        <x:v>6</x:v>
      </x:c>
      <x:c r="C410" s="68" t="n">
        <x:v>46305</x:v>
      </x:c>
      <x:c r="D410" s="71" t="str">
        <x:v>pre</x:v>
      </x:c>
      <x:c r="E410" s="72" t="b">
        <x:v>0</x:v>
      </x:c>
      <x:c r="F410" t="str">
        <x:v>Texas A&amp;M Aggies</x:v>
      </x:c>
      <x:c r="G410" t="str">
        <x:v>TA&amp;M</x:v>
      </x:c>
      <x:c r="H410" s="69" t="n">
        <x:v>0</x:v>
      </x:c>
      <x:c r="I410" t="str">
        <x:v>2-1</x:v>
      </x:c>
      <x:c r="J410" t="str">
        <x:f>IF(E410&lt;&gt;TRUE,"",IF(H410&gt;M410,"W",IF(H410&lt;M410,"L","T")))</x:f>
      </x:c>
      <x:c r="K410" t="str">
        <x:v>Missouri Tigers</x:v>
      </x:c>
      <x:c r="L410" t="str">
        <x:v>MIZ</x:v>
      </x:c>
      <x:c r="M410" s="69" t="n">
        <x:v>0</x:v>
      </x:c>
      <x:c r="N410" t="str">
        <x:v>3-0</x:v>
      </x:c>
      <x:c r="O410" t="str">
        <x:f>IF(E410&lt;&gt;TRUE,"",IF(M410&gt;H410,"W",IF(M410&lt;H410,"L","T")))</x:f>
      </x:c>
      <x:c r="P410" s="66" t="b">
        <x:v>0</x:v>
      </x:c>
      <x:c r="Q410" s="66" t="b">
        <x:v>1</x:v>
      </x:c>
      <x:c r="R410" t="str">
        <x:v>Memorial Stadium</x:v>
      </x:c>
      <x:c r="S410" t="str"/>
      <x:c r="T410"/>
      <x:c r="U410" s="70"/>
      <x:c r="V410" s="70"/>
      <x:c r="W410"/>
      <x:c r="X410" t="str">
        <x:v>https://www.espn.com/college-football/game/_/gameId/401856716</x:v>
      </x:c>
    </x:row>
    <x:row r="411">
      <x:c r="A411" t="str">
        <x:v>CFB</x:v>
      </x:c>
      <x:c r="B411" t="n">
        <x:v>6</x:v>
      </x:c>
      <x:c r="C411" s="68" t="n">
        <x:v>46305</x:v>
      </x:c>
      <x:c r="D411" s="71" t="str">
        <x:v>pre</x:v>
      </x:c>
      <x:c r="E411" s="72" t="b">
        <x:v>0</x:v>
      </x:c>
      <x:c r="F411" t="str">
        <x:v>Ole Miss Rebels</x:v>
      </x:c>
      <x:c r="G411" t="str">
        <x:v>MISS</x:v>
      </x:c>
      <x:c r="H411" s="69" t="n">
        <x:v>0</x:v>
      </x:c>
      <x:c r="I411" t="str">
        <x:v>3-0</x:v>
      </x:c>
      <x:c r="J411" t="str">
        <x:f>IF(E411&lt;&gt;TRUE,"",IF(H411&gt;M411,"W",IF(H411&lt;M411,"L","T")))</x:f>
      </x:c>
      <x:c r="K411" t="str">
        <x:v>Vanderbilt Commodores</x:v>
      </x:c>
      <x:c r="L411" t="str">
        <x:v>VAN</x:v>
      </x:c>
      <x:c r="M411" s="69" t="n">
        <x:v>0</x:v>
      </x:c>
      <x:c r="N411" t="str">
        <x:v>3-0</x:v>
      </x:c>
      <x:c r="O411" t="str">
        <x:f>IF(E411&lt;&gt;TRUE,"",IF(M411&gt;H411,"W",IF(M411&lt;H411,"L","T")))</x:f>
      </x:c>
      <x:c r="P411" s="66" t="b">
        <x:v>0</x:v>
      </x:c>
      <x:c r="Q411" s="66" t="b">
        <x:v>1</x:v>
      </x:c>
      <x:c r="R411" t="str">
        <x:v>FirstBank Stadium</x:v>
      </x:c>
      <x:c r="S411" t="str"/>
      <x:c r="T411"/>
      <x:c r="U411" s="70"/>
      <x:c r="V411" s="70"/>
      <x:c r="W411"/>
      <x:c r="X411" t="str">
        <x:v>https://www.espn.com/college-football/game/_/gameId/401856718</x:v>
      </x:c>
    </x:row>
    <x:row r="412">
      <x:c r="A412" t="str">
        <x:v>CFB</x:v>
      </x:c>
      <x:c r="B412" t="n">
        <x:v>6</x:v>
      </x:c>
      <x:c r="C412" s="68" t="n">
        <x:v>46305</x:v>
      </x:c>
      <x:c r="D412" s="71" t="str">
        <x:v>pre</x:v>
      </x:c>
      <x:c r="E412" s="72" t="b">
        <x:v>0</x:v>
      </x:c>
      <x:c r="F412" t="str">
        <x:v>Hawai'i Rainbow Warriors</x:v>
      </x:c>
      <x:c r="G412" t="str">
        <x:v>HAW</x:v>
      </x:c>
      <x:c r="H412" s="69" t="n">
        <x:v>0</x:v>
      </x:c>
      <x:c r="I412" t="str">
        <x:v>1-2</x:v>
      </x:c>
      <x:c r="J412" t="str">
        <x:f>IF(E412&lt;&gt;TRUE,"",IF(H412&gt;M412,"W",IF(H412&lt;M412,"L","T")))</x:f>
      </x:c>
      <x:c r="K412" t="str">
        <x:v>Arizona State Sun Devils</x:v>
      </x:c>
      <x:c r="L412" t="str">
        <x:v>ASU</x:v>
      </x:c>
      <x:c r="M412" s="69" t="n">
        <x:v>0</x:v>
      </x:c>
      <x:c r="N412" t="str">
        <x:v>2-1</x:v>
      </x:c>
      <x:c r="O412" t="str">
        <x:f>IF(E412&lt;&gt;TRUE,"",IF(M412&gt;H412,"W",IF(M412&lt;H412,"L","T")))</x:f>
      </x:c>
      <x:c r="P412" s="66" t="b">
        <x:v>0</x:v>
      </x:c>
      <x:c r="Q412" s="66" t="b">
        <x:v>0</x:v>
      </x:c>
      <x:c r="R412" t="str">
        <x:v>Mountain America Stadium</x:v>
      </x:c>
      <x:c r="S412" t="str"/>
      <x:c r="T412"/>
      <x:c r="U412" s="70"/>
      <x:c r="V412" s="70"/>
      <x:c r="W412"/>
      <x:c r="X412" t="str">
        <x:v>https://www.espn.com/college-football/game/_/gameId/401856808</x:v>
      </x:c>
    </x:row>
    <x:row r="413">
      <x:c r="A413" t="str">
        <x:v>CFB</x:v>
      </x:c>
      <x:c r="B413" t="n">
        <x:v>6</x:v>
      </x:c>
      <x:c r="C413" s="68" t="n">
        <x:v>46305</x:v>
      </x:c>
      <x:c r="D413" s="71" t="str">
        <x:v>pre</x:v>
      </x:c>
      <x:c r="E413" s="72" t="b">
        <x:v>0</x:v>
      </x:c>
      <x:c r="F413" t="str">
        <x:v>Arizona Wildcats</x:v>
      </x:c>
      <x:c r="G413" t="str">
        <x:v>ARIZ</x:v>
      </x:c>
      <x:c r="H413" s="69" t="n">
        <x:v>0</x:v>
      </x:c>
      <x:c r="I413" t="str">
        <x:v>2-1</x:v>
      </x:c>
      <x:c r="J413" t="str">
        <x:f>IF(E413&lt;&gt;TRUE,"",IF(H413&gt;M413,"W",IF(H413&lt;M413,"L","T")))</x:f>
      </x:c>
      <x:c r="K413" t="str">
        <x:v>West Virginia Mountaineers</x:v>
      </x:c>
      <x:c r="L413" t="str">
        <x:v>WVU</x:v>
      </x:c>
      <x:c r="M413" s="69" t="n">
        <x:v>0</x:v>
      </x:c>
      <x:c r="N413" t="str">
        <x:v>3-0</x:v>
      </x:c>
      <x:c r="O413" t="str">
        <x:f>IF(E413&lt;&gt;TRUE,"",IF(M413&gt;H413,"W",IF(M413&lt;H413,"L","T")))</x:f>
      </x:c>
      <x:c r="P413" s="66" t="b">
        <x:v>0</x:v>
      </x:c>
      <x:c r="Q413" s="66" t="b">
        <x:v>1</x:v>
      </x:c>
      <x:c r="R413" t="str">
        <x:v>Milan Puskar Stadium</x:v>
      </x:c>
      <x:c r="S413" t="str"/>
      <x:c r="T413"/>
      <x:c r="U413" s="70"/>
      <x:c r="V413" s="70"/>
      <x:c r="W413"/>
      <x:c r="X413" t="str">
        <x:v>https://www.espn.com/college-football/game/_/gameId/401856823</x:v>
      </x:c>
    </x:row>
    <x:row r="414">
      <x:c r="A414" t="str">
        <x:v>CFB</x:v>
      </x:c>
      <x:c r="B414" t="n">
        <x:v>6</x:v>
      </x:c>
      <x:c r="C414" s="68" t="n">
        <x:v>46305</x:v>
      </x:c>
      <x:c r="D414" s="71" t="str">
        <x:v>pre</x:v>
      </x:c>
      <x:c r="E414" s="72" t="b">
        <x:v>0</x:v>
      </x:c>
      <x:c r="F414" t="str">
        <x:v>UCF Knights</x:v>
      </x:c>
      <x:c r="G414" t="str">
        <x:v>UCF</x:v>
      </x:c>
      <x:c r="H414" s="69" t="n">
        <x:v>0</x:v>
      </x:c>
      <x:c r="I414" t="str">
        <x:v>2-1</x:v>
      </x:c>
      <x:c r="J414" t="str">
        <x:f>IF(E414&lt;&gt;TRUE,"",IF(H414&gt;M414,"W",IF(H414&lt;M414,"L","T")))</x:f>
      </x:c>
      <x:c r="K414" t="str">
        <x:v>Oklahoma State Cowboys</x:v>
      </x:c>
      <x:c r="L414" t="str">
        <x:v>OKST</x:v>
      </x:c>
      <x:c r="M414" s="69" t="n">
        <x:v>0</x:v>
      </x:c>
      <x:c r="N414" t="str">
        <x:v>2-1</x:v>
      </x:c>
      <x:c r="O414" t="str">
        <x:f>IF(E414&lt;&gt;TRUE,"",IF(M414&gt;H414,"W",IF(M414&lt;H414,"L","T")))</x:f>
      </x:c>
      <x:c r="P414" s="66" t="b">
        <x:v>0</x:v>
      </x:c>
      <x:c r="Q414" s="66" t="b">
        <x:v>1</x:v>
      </x:c>
      <x:c r="R414" t="str">
        <x:v>Boone Pickens Stadium</x:v>
      </x:c>
      <x:c r="S414" t="str"/>
      <x:c r="T414"/>
      <x:c r="U414" s="70"/>
      <x:c r="V414" s="70"/>
      <x:c r="W414"/>
      <x:c r="X414" t="str">
        <x:v>https://www.espn.com/college-football/game/_/gameId/401856824</x:v>
      </x:c>
    </x:row>
    <x:row r="415">
      <x:c r="A415" t="str">
        <x:v>CFB</x:v>
      </x:c>
      <x:c r="B415" t="n">
        <x:v>6</x:v>
      </x:c>
      <x:c r="C415" s="68" t="n">
        <x:v>46305</x:v>
      </x:c>
      <x:c r="D415" s="71" t="str">
        <x:v>pre</x:v>
      </x:c>
      <x:c r="E415" s="72" t="b">
        <x:v>0</x:v>
      </x:c>
      <x:c r="F415" t="str">
        <x:v>Houston Cougars</x:v>
      </x:c>
      <x:c r="G415" t="str">
        <x:v>HOU</x:v>
      </x:c>
      <x:c r="H415" s="69" t="n">
        <x:v>0</x:v>
      </x:c>
      <x:c r="I415" t="str">
        <x:v>2-1</x:v>
      </x:c>
      <x:c r="J415" t="str">
        <x:f>IF(E415&lt;&gt;TRUE,"",IF(H415&gt;M415,"W",IF(H415&lt;M415,"L","T")))</x:f>
      </x:c>
      <x:c r="K415" t="str">
        <x:v>Kansas State Wildcats</x:v>
      </x:c>
      <x:c r="L415" t="str">
        <x:v>KSU</x:v>
      </x:c>
      <x:c r="M415" s="69" t="n">
        <x:v>0</x:v>
      </x:c>
      <x:c r="N415" t="str">
        <x:v>3-0</x:v>
      </x:c>
      <x:c r="O415" t="str">
        <x:f>IF(E415&lt;&gt;TRUE,"",IF(M415&gt;H415,"W",IF(M415&lt;H415,"L","T")))</x:f>
      </x:c>
      <x:c r="P415" s="66" t="b">
        <x:v>0</x:v>
      </x:c>
      <x:c r="Q415" s="66" t="b">
        <x:v>1</x:v>
      </x:c>
      <x:c r="R415" t="str">
        <x:v>Bill Snyder Family Stadium</x:v>
      </x:c>
      <x:c r="S415" t="str"/>
      <x:c r="T415"/>
      <x:c r="U415" s="70"/>
      <x:c r="V415" s="70"/>
      <x:c r="W415"/>
      <x:c r="X415" t="str">
        <x:v>https://www.espn.com/college-football/game/_/gameId/401856825</x:v>
      </x:c>
    </x:row>
    <x:row r="416">
      <x:c r="A416" t="str">
        <x:v>CFB</x:v>
      </x:c>
      <x:c r="B416" t="n">
        <x:v>6</x:v>
      </x:c>
      <x:c r="C416" s="68" t="n">
        <x:v>46305</x:v>
      </x:c>
      <x:c r="D416" s="71" t="str">
        <x:v>pre</x:v>
      </x:c>
      <x:c r="E416" s="72" t="b">
        <x:v>0</x:v>
      </x:c>
      <x:c r="F416" t="str">
        <x:v>Kansas Jayhawks</x:v>
      </x:c>
      <x:c r="G416" t="str">
        <x:v>KU</x:v>
      </x:c>
      <x:c r="H416" s="69" t="n">
        <x:v>0</x:v>
      </x:c>
      <x:c r="I416" t="str">
        <x:v>1-2</x:v>
      </x:c>
      <x:c r="J416" t="str">
        <x:f>IF(E416&lt;&gt;TRUE,"",IF(H416&gt;M416,"W",IF(H416&lt;M416,"L","T")))</x:f>
      </x:c>
      <x:c r="K416" t="str">
        <x:v>Utah Utes</x:v>
      </x:c>
      <x:c r="L416" t="str">
        <x:v>UTAH</x:v>
      </x:c>
      <x:c r="M416" s="69" t="n">
        <x:v>0</x:v>
      </x:c>
      <x:c r="N416" t="str">
        <x:v>3-0</x:v>
      </x:c>
      <x:c r="O416" t="str">
        <x:f>IF(E416&lt;&gt;TRUE,"",IF(M416&gt;H416,"W",IF(M416&lt;H416,"L","T")))</x:f>
      </x:c>
      <x:c r="P416" s="66" t="b">
        <x:v>0</x:v>
      </x:c>
      <x:c r="Q416" s="66" t="b">
        <x:v>1</x:v>
      </x:c>
      <x:c r="R416" t="str">
        <x:v>Rice-Eccles Stadium</x:v>
      </x:c>
      <x:c r="S416" t="str"/>
      <x:c r="T416"/>
      <x:c r="U416" s="70"/>
      <x:c r="V416" s="70"/>
      <x:c r="W416"/>
      <x:c r="X416" t="str">
        <x:v>https://www.espn.com/college-football/game/_/gameId/401856827</x:v>
      </x:c>
    </x:row>
    <x:row r="417">
      <x:c r="A417" t="str">
        <x:v>CFB</x:v>
      </x:c>
      <x:c r="B417" t="n">
        <x:v>6</x:v>
      </x:c>
      <x:c r="C417" s="68" t="n">
        <x:v>46305</x:v>
      </x:c>
      <x:c r="D417" s="71" t="str">
        <x:v>pre</x:v>
      </x:c>
      <x:c r="E417" s="72" t="b">
        <x:v>0</x:v>
      </x:c>
      <x:c r="F417" t="str">
        <x:v>Duke Blue Devils</x:v>
      </x:c>
      <x:c r="G417" t="str">
        <x:v>DUKE</x:v>
      </x:c>
      <x:c r="H417" s="69" t="n">
        <x:v>0</x:v>
      </x:c>
      <x:c r="I417" t="str">
        <x:v>3-0</x:v>
      </x:c>
      <x:c r="J417" t="str">
        <x:f>IF(E417&lt;&gt;TRUE,"",IF(H417&gt;M417,"W",IF(H417&lt;M417,"L","T")))</x:f>
      </x:c>
      <x:c r="K417" t="str">
        <x:v>Georgia Tech Yellow Jackets</x:v>
      </x:c>
      <x:c r="L417" t="str">
        <x:v>GT</x:v>
      </x:c>
      <x:c r="M417" s="69" t="n">
        <x:v>0</x:v>
      </x:c>
      <x:c r="N417" t="str">
        <x:v>1-2</x:v>
      </x:c>
      <x:c r="O417" t="str">
        <x:f>IF(E417&lt;&gt;TRUE,"",IF(M417&gt;H417,"W",IF(M417&lt;H417,"L","T")))</x:f>
      </x:c>
      <x:c r="P417" s="66" t="b">
        <x:v>0</x:v>
      </x:c>
      <x:c r="Q417" s="66" t="b">
        <x:v>1</x:v>
      </x:c>
      <x:c r="R417" t="str">
        <x:v>Bobby Dodd Stadium</x:v>
      </x:c>
      <x:c r="S417" t="str"/>
      <x:c r="T417"/>
      <x:c r="U417" s="70"/>
      <x:c r="V417" s="70"/>
      <x:c r="W417"/>
      <x:c r="X417" t="str">
        <x:v>https://www.espn.com/college-football/game/_/gameId/401858255</x:v>
      </x:c>
    </x:row>
    <x:row r="418">
      <x:c r="A418" t="str">
        <x:v>CFB</x:v>
      </x:c>
      <x:c r="B418" t="n">
        <x:v>6</x:v>
      </x:c>
      <x:c r="C418" s="68" t="n">
        <x:v>46305</x:v>
      </x:c>
      <x:c r="D418" s="71" t="str">
        <x:v>pre</x:v>
      </x:c>
      <x:c r="E418" s="72" t="b">
        <x:v>0</x:v>
      </x:c>
      <x:c r="F418" t="str">
        <x:v>North Carolina Tar Heels</x:v>
      </x:c>
      <x:c r="G418" t="str">
        <x:v>UNC</x:v>
      </x:c>
      <x:c r="H418" s="69" t="n">
        <x:v>0</x:v>
      </x:c>
      <x:c r="I418" t="str">
        <x:v>2-1</x:v>
      </x:c>
      <x:c r="J418" t="str">
        <x:f>IF(E418&lt;&gt;TRUE,"",IF(H418&gt;M418,"W",IF(H418&lt;M418,"L","T")))</x:f>
      </x:c>
      <x:c r="K418" t="str">
        <x:v>Pittsburgh Panthers</x:v>
      </x:c>
      <x:c r="L418" t="str">
        <x:v>PITT</x:v>
      </x:c>
      <x:c r="M418" s="69" t="n">
        <x:v>0</x:v>
      </x:c>
      <x:c r="N418" t="str">
        <x:v>3-0</x:v>
      </x:c>
      <x:c r="O418" t="str">
        <x:f>IF(E418&lt;&gt;TRUE,"",IF(M418&gt;H418,"W",IF(M418&lt;H418,"L","T")))</x:f>
      </x:c>
      <x:c r="P418" s="66" t="b">
        <x:v>0</x:v>
      </x:c>
      <x:c r="Q418" s="66" t="b">
        <x:v>1</x:v>
      </x:c>
      <x:c r="R418" t="str">
        <x:v>Acrisure Stadium</x:v>
      </x:c>
      <x:c r="S418" t="str"/>
      <x:c r="T418"/>
      <x:c r="U418" s="70"/>
      <x:c r="V418" s="70"/>
      <x:c r="W418"/>
      <x:c r="X418" t="str">
        <x:v>https://www.espn.com/college-football/game/_/gameId/401858256</x:v>
      </x:c>
    </x:row>
    <x:row r="419">
      <x:c r="A419" t="str">
        <x:v>CFB</x:v>
      </x:c>
      <x:c r="B419" t="n">
        <x:v>6</x:v>
      </x:c>
      <x:c r="C419" s="68" t="n">
        <x:v>46305</x:v>
      </x:c>
      <x:c r="D419" s="71" t="str">
        <x:v>pre</x:v>
      </x:c>
      <x:c r="E419" s="72" t="b">
        <x:v>0</x:v>
      </x:c>
      <x:c r="F419" t="str">
        <x:v>Syracuse Orange</x:v>
      </x:c>
      <x:c r="G419" t="str">
        <x:v>SYR</x:v>
      </x:c>
      <x:c r="H419" s="69" t="n">
        <x:v>0</x:v>
      </x:c>
      <x:c r="I419" t="str">
        <x:v>1-2</x:v>
      </x:c>
      <x:c r="J419" t="str">
        <x:f>IF(E419&lt;&gt;TRUE,"",IF(H419&gt;M419,"W",IF(H419&lt;M419,"L","T")))</x:f>
      </x:c>
      <x:c r="K419" t="str">
        <x:v>Virginia Cavaliers</x:v>
      </x:c>
      <x:c r="L419" t="str">
        <x:v>UVA</x:v>
      </x:c>
      <x:c r="M419" s="69" t="n">
        <x:v>0</x:v>
      </x:c>
      <x:c r="N419" t="str">
        <x:v>2-1</x:v>
      </x:c>
      <x:c r="O419" t="str">
        <x:f>IF(E419&lt;&gt;TRUE,"",IF(M419&gt;H419,"W",IF(M419&lt;H419,"L","T")))</x:f>
      </x:c>
      <x:c r="P419" s="66" t="b">
        <x:v>0</x:v>
      </x:c>
      <x:c r="Q419" s="66" t="b">
        <x:v>1</x:v>
      </x:c>
      <x:c r="R419" t="str">
        <x:v>Scott Stadium</x:v>
      </x:c>
      <x:c r="S419" t="str"/>
      <x:c r="T419"/>
      <x:c r="U419" s="70"/>
      <x:c r="V419" s="70"/>
      <x:c r="W419"/>
      <x:c r="X419" t="str">
        <x:v>https://www.espn.com/college-football/game/_/gameId/401858258</x:v>
      </x:c>
    </x:row>
    <x:row r="420">
      <x:c r="A420" t="str">
        <x:v>CFB</x:v>
      </x:c>
      <x:c r="B420" t="n">
        <x:v>6</x:v>
      </x:c>
      <x:c r="C420" s="68" t="n">
        <x:v>46305</x:v>
      </x:c>
      <x:c r="D420" s="71" t="str">
        <x:v>pre</x:v>
      </x:c>
      <x:c r="E420" s="72" t="b">
        <x:v>0</x:v>
      </x:c>
      <x:c r="F420" t="str">
        <x:v>Virginia Tech Hokies</x:v>
      </x:c>
      <x:c r="G420" t="str">
        <x:v>VT</x:v>
      </x:c>
      <x:c r="H420" s="69" t="n">
        <x:v>0</x:v>
      </x:c>
      <x:c r="I420" t="str">
        <x:v>3-0</x:v>
      </x:c>
      <x:c r="J420" t="str">
        <x:f>IF(E420&lt;&gt;TRUE,"",IF(H420&gt;M420,"W",IF(H420&lt;M420,"L","T")))</x:f>
      </x:c>
      <x:c r="K420" t="str">
        <x:v>California Golden Bears</x:v>
      </x:c>
      <x:c r="L420" t="str">
        <x:v>CAL</x:v>
      </x:c>
      <x:c r="M420" s="69" t="n">
        <x:v>0</x:v>
      </x:c>
      <x:c r="N420" t="str">
        <x:v>2-1</x:v>
      </x:c>
      <x:c r="O420" t="str">
        <x:f>IF(E420&lt;&gt;TRUE,"",IF(M420&gt;H420,"W",IF(M420&lt;H420,"L","T")))</x:f>
      </x:c>
      <x:c r="P420" s="66" t="b">
        <x:v>0</x:v>
      </x:c>
      <x:c r="Q420" s="66" t="b">
        <x:v>1</x:v>
      </x:c>
      <x:c r="R420" t="str">
        <x:v>California Memorial Stadium</x:v>
      </x:c>
      <x:c r="S420" t="str"/>
      <x:c r="T420"/>
      <x:c r="U420" s="70"/>
      <x:c r="V420" s="70"/>
      <x:c r="W420"/>
      <x:c r="X420" t="str">
        <x:v>https://www.espn.com/college-football/game/_/gameId/401858259</x:v>
      </x:c>
    </x:row>
    <x:row r="421">
      <x:c r="A421" t="str">
        <x:v>CFB</x:v>
      </x:c>
      <x:c r="B421" t="n">
        <x:v>6</x:v>
      </x:c>
      <x:c r="C421" s="68" t="n">
        <x:v>46305</x:v>
      </x:c>
      <x:c r="D421" s="71" t="str">
        <x:v>pre</x:v>
      </x:c>
      <x:c r="E421" s="72" t="b">
        <x:v>0</x:v>
      </x:c>
      <x:c r="F421" t="str">
        <x:v>Wake Forest Demon Deacons</x:v>
      </x:c>
      <x:c r="G421" t="str">
        <x:v>WAKE</x:v>
      </x:c>
      <x:c r="H421" s="69" t="n">
        <x:v>0</x:v>
      </x:c>
      <x:c r="I421" t="str">
        <x:v>2-1</x:v>
      </x:c>
      <x:c r="J421" t="str">
        <x:f>IF(E421&lt;&gt;TRUE,"",IF(H421&gt;M421,"W",IF(H421&lt;M421,"L","T")))</x:f>
      </x:c>
      <x:c r="K421" t="str">
        <x:v>NC State Wolfpack</x:v>
      </x:c>
      <x:c r="L421" t="str">
        <x:v>NCSU</x:v>
      </x:c>
      <x:c r="M421" s="69" t="n">
        <x:v>0</x:v>
      </x:c>
      <x:c r="N421" t="str">
        <x:v>1-2</x:v>
      </x:c>
      <x:c r="O421" t="str">
        <x:f>IF(E421&lt;&gt;TRUE,"",IF(M421&gt;H421,"W",IF(M421&lt;H421,"L","T")))</x:f>
      </x:c>
      <x:c r="P421" s="66" t="b">
        <x:v>0</x:v>
      </x:c>
      <x:c r="Q421" s="66" t="b">
        <x:v>1</x:v>
      </x:c>
      <x:c r="R421" t="str">
        <x:v>Carter-Finley Stadium</x:v>
      </x:c>
      <x:c r="S421" t="str"/>
      <x:c r="T421"/>
      <x:c r="U421" s="70"/>
      <x:c r="V421" s="70"/>
      <x:c r="W421"/>
      <x:c r="X421" t="str">
        <x:v>https://www.espn.com/college-football/game/_/gameId/401858260</x:v>
      </x:c>
    </x:row>
    <x:row r="422">
      <x:c r="A422" t="str">
        <x:v>CFB</x:v>
      </x:c>
      <x:c r="B422" t="n">
        <x:v>6</x:v>
      </x:c>
      <x:c r="C422" s="68" t="n">
        <x:v>46305</x:v>
      </x:c>
      <x:c r="D422" s="71" t="str">
        <x:v>pre</x:v>
      </x:c>
      <x:c r="E422" s="72" t="b">
        <x:v>0</x:v>
      </x:c>
      <x:c r="F422" t="str">
        <x:v>Illinois Fighting Illini</x:v>
      </x:c>
      <x:c r="G422" t="str">
        <x:v>ILL</x:v>
      </x:c>
      <x:c r="H422" s="69" t="n">
        <x:v>0</x:v>
      </x:c>
      <x:c r="I422" t="str">
        <x:v>2-1</x:v>
      </x:c>
      <x:c r="J422" t="str">
        <x:f>IF(E422&lt;&gt;TRUE,"",IF(H422&gt;M422,"W",IF(H422&lt;M422,"L","T")))</x:f>
      </x:c>
      <x:c r="K422" t="str">
        <x:v>Michigan State Spartans</x:v>
      </x:c>
      <x:c r="L422" t="str">
        <x:v>MSU</x:v>
      </x:c>
      <x:c r="M422" s="69" t="n">
        <x:v>0</x:v>
      </x:c>
      <x:c r="N422" t="str">
        <x:v>2-1</x:v>
      </x:c>
      <x:c r="O422" t="str">
        <x:f>IF(E422&lt;&gt;TRUE,"",IF(M422&gt;H422,"W",IF(M422&lt;H422,"L","T")))</x:f>
      </x:c>
      <x:c r="P422" s="66" t="b">
        <x:v>0</x:v>
      </x:c>
      <x:c r="Q422" s="66" t="b">
        <x:v>1</x:v>
      </x:c>
      <x:c r="R422" t="str">
        <x:v>Spartan Stadium</x:v>
      </x:c>
      <x:c r="S422" t="str"/>
      <x:c r="T422"/>
      <x:c r="U422" s="70"/>
      <x:c r="V422" s="70"/>
      <x:c r="W422"/>
      <x:c r="X422" t="str">
        <x:v>https://www.espn.com/college-football/game/_/gameId/401858480</x:v>
      </x:c>
    </x:row>
    <x:row r="423">
      <x:c r="A423" t="str">
        <x:v>CFB</x:v>
      </x:c>
      <x:c r="B423" t="n">
        <x:v>6</x:v>
      </x:c>
      <x:c r="C423" s="68" t="n">
        <x:v>46305</x:v>
      </x:c>
      <x:c r="D423" s="71" t="str">
        <x:v>pre</x:v>
      </x:c>
      <x:c r="E423" s="72" t="b">
        <x:v>0</x:v>
      </x:c>
      <x:c r="F423" t="str">
        <x:v>Indiana Hoosiers</x:v>
      </x:c>
      <x:c r="G423" t="str">
        <x:v>IU</x:v>
      </x:c>
      <x:c r="H423" s="69" t="n">
        <x:v>0</x:v>
      </x:c>
      <x:c r="I423" t="str">
        <x:v>3-0</x:v>
      </x:c>
      <x:c r="J423" t="str">
        <x:f>IF(E423&lt;&gt;TRUE,"",IF(H423&gt;M423,"W",IF(H423&lt;M423,"L","T")))</x:f>
      </x:c>
      <x:c r="K423" t="str">
        <x:v>Nebraska Cornhuskers</x:v>
      </x:c>
      <x:c r="L423" t="str">
        <x:v>NEB</x:v>
      </x:c>
      <x:c r="M423" s="69" t="n">
        <x:v>0</x:v>
      </x:c>
      <x:c r="N423" t="str">
        <x:v>3-0</x:v>
      </x:c>
      <x:c r="O423" t="str">
        <x:f>IF(E423&lt;&gt;TRUE,"",IF(M423&gt;H423,"W",IF(M423&lt;H423,"L","T")))</x:f>
      </x:c>
      <x:c r="P423" s="66" t="b">
        <x:v>0</x:v>
      </x:c>
      <x:c r="Q423" s="66" t="b">
        <x:v>1</x:v>
      </x:c>
      <x:c r="R423" t="str">
        <x:v>Memorial Stadium (Lincoln, NE)</x:v>
      </x:c>
      <x:c r="S423" t="str"/>
      <x:c r="T423"/>
      <x:c r="U423" s="70"/>
      <x:c r="V423" s="70"/>
      <x:c r="W423"/>
      <x:c r="X423" t="str">
        <x:v>https://www.espn.com/college-football/game/_/gameId/401858481</x:v>
      </x:c>
    </x:row>
    <x:row r="424">
      <x:c r="A424" t="str">
        <x:v>CFB</x:v>
      </x:c>
      <x:c r="B424" t="n">
        <x:v>6</x:v>
      </x:c>
      <x:c r="C424" s="68" t="n">
        <x:v>46305</x:v>
      </x:c>
      <x:c r="D424" s="71" t="str">
        <x:v>pre</x:v>
      </x:c>
      <x:c r="E424" s="72" t="b">
        <x:v>0</x:v>
      </x:c>
      <x:c r="F424" t="str">
        <x:v>Ball State Cardinals</x:v>
      </x:c>
      <x:c r="G424" t="str">
        <x:v>BALL</x:v>
      </x:c>
      <x:c r="H424" s="69" t="n">
        <x:v>0</x:v>
      </x:c>
      <x:c r="I424" t="str">
        <x:v>1-2</x:v>
      </x:c>
      <x:c r="J424" t="str">
        <x:f>IF(E424&lt;&gt;TRUE,"",IF(H424&gt;M424,"W",IF(H424&lt;M424,"L","T")))</x:f>
      </x:c>
      <x:c r="K424" t="str">
        <x:v>Northwestern Wildcats</x:v>
      </x:c>
      <x:c r="L424" t="str">
        <x:v>NU</x:v>
      </x:c>
      <x:c r="M424" s="69" t="n">
        <x:v>0</x:v>
      </x:c>
      <x:c r="N424" t="str">
        <x:v>2-0</x:v>
      </x:c>
      <x:c r="O424" t="str">
        <x:f>IF(E424&lt;&gt;TRUE,"",IF(M424&gt;H424,"W",IF(M424&lt;H424,"L","T")))</x:f>
      </x:c>
      <x:c r="P424" s="66" t="b">
        <x:v>0</x:v>
      </x:c>
      <x:c r="Q424" s="66" t="b">
        <x:v>0</x:v>
      </x:c>
      <x:c r="R424" t="str">
        <x:v>Ryan Field</x:v>
      </x:c>
      <x:c r="S424" t="str"/>
      <x:c r="T424"/>
      <x:c r="U424" s="70"/>
      <x:c r="V424" s="70"/>
      <x:c r="W424"/>
      <x:c r="X424" t="str">
        <x:v>https://www.espn.com/college-football/game/_/gameId/401858482</x:v>
      </x:c>
    </x:row>
    <x:row r="425">
      <x:c r="A425" t="str">
        <x:v>CFB</x:v>
      </x:c>
      <x:c r="B425" t="n">
        <x:v>6</x:v>
      </x:c>
      <x:c r="C425" s="68" t="n">
        <x:v>46305</x:v>
      </x:c>
      <x:c r="D425" s="71" t="str">
        <x:v>pre</x:v>
      </x:c>
      <x:c r="E425" s="72" t="b">
        <x:v>0</x:v>
      </x:c>
      <x:c r="F425" t="str">
        <x:v>Maryland Terrapins</x:v>
      </x:c>
      <x:c r="G425" t="str">
        <x:v>MD</x:v>
      </x:c>
      <x:c r="H425" s="69" t="n">
        <x:v>0</x:v>
      </x:c>
      <x:c r="I425" t="str">
        <x:v>2-1</x:v>
      </x:c>
      <x:c r="J425" t="str">
        <x:f>IF(E425&lt;&gt;TRUE,"",IF(H425&gt;M425,"W",IF(H425&lt;M425,"L","T")))</x:f>
      </x:c>
      <x:c r="K425" t="str">
        <x:v>Ohio State Buckeyes</x:v>
      </x:c>
      <x:c r="L425" t="str">
        <x:v>OSU</x:v>
      </x:c>
      <x:c r="M425" s="69" t="n">
        <x:v>0</x:v>
      </x:c>
      <x:c r="N425" t="str">
        <x:v>2-1</x:v>
      </x:c>
      <x:c r="O425" t="str">
        <x:f>IF(E425&lt;&gt;TRUE,"",IF(M425&gt;H425,"W",IF(M425&lt;H425,"L","T")))</x:f>
      </x:c>
      <x:c r="P425" s="66" t="b">
        <x:v>0</x:v>
      </x:c>
      <x:c r="Q425" s="66" t="b">
        <x:v>1</x:v>
      </x:c>
      <x:c r="R425" t="str">
        <x:v>Ohio Stadium</x:v>
      </x:c>
      <x:c r="S425" t="str"/>
      <x:c r="T425"/>
      <x:c r="U425" s="70"/>
      <x:c r="V425" s="70"/>
      <x:c r="W425"/>
      <x:c r="X425" t="str">
        <x:v>https://www.espn.com/college-football/game/_/gameId/401858483</x:v>
      </x:c>
    </x:row>
    <x:row r="426">
      <x:c r="A426" t="str">
        <x:v>CFB</x:v>
      </x:c>
      <x:c r="B426" t="n">
        <x:v>6</x:v>
      </x:c>
      <x:c r="C426" s="68" t="n">
        <x:v>46305</x:v>
      </x:c>
      <x:c r="D426" s="71" t="str">
        <x:v>pre</x:v>
      </x:c>
      <x:c r="E426" s="72" t="b">
        <x:v>0</x:v>
      </x:c>
      <x:c r="F426" t="str">
        <x:v>UCLA Bruins</x:v>
      </x:c>
      <x:c r="G426" t="str">
        <x:v>UCLA</x:v>
      </x:c>
      <x:c r="H426" s="69" t="n">
        <x:v>0</x:v>
      </x:c>
      <x:c r="I426" t="str">
        <x:v>3-0</x:v>
      </x:c>
      <x:c r="J426" t="str">
        <x:f>IF(E426&lt;&gt;TRUE,"",IF(H426&gt;M426,"W",IF(H426&lt;M426,"L","T")))</x:f>
      </x:c>
      <x:c r="K426" t="str">
        <x:v>Oregon Ducks</x:v>
      </x:c>
      <x:c r="L426" t="str">
        <x:v>ORE</x:v>
      </x:c>
      <x:c r="M426" s="69" t="n">
        <x:v>0</x:v>
      </x:c>
      <x:c r="N426" t="str">
        <x:v>2-1</x:v>
      </x:c>
      <x:c r="O426" t="str">
        <x:f>IF(E426&lt;&gt;TRUE,"",IF(M426&gt;H426,"W",IF(M426&lt;H426,"L","T")))</x:f>
      </x:c>
      <x:c r="P426" s="66" t="b">
        <x:v>0</x:v>
      </x:c>
      <x:c r="Q426" s="66" t="b">
        <x:v>1</x:v>
      </x:c>
      <x:c r="R426" t="str">
        <x:v>Autzen Stadium</x:v>
      </x:c>
      <x:c r="S426" t="str"/>
      <x:c r="T426"/>
      <x:c r="U426" s="70"/>
      <x:c r="V426" s="70"/>
      <x:c r="W426"/>
      <x:c r="X426" t="str">
        <x:v>https://www.espn.com/college-football/game/_/gameId/401858484</x:v>
      </x:c>
    </x:row>
    <x:row r="427">
      <x:c r="A427" t="str">
        <x:v>CFB</x:v>
      </x:c>
      <x:c r="B427" t="n">
        <x:v>6</x:v>
      </x:c>
      <x:c r="C427" s="68" t="n">
        <x:v>46305</x:v>
      </x:c>
      <x:c r="D427" s="71" t="str">
        <x:v>pre</x:v>
      </x:c>
      <x:c r="E427" s="72" t="b">
        <x:v>0</x:v>
      </x:c>
      <x:c r="F427" t="str">
        <x:v>USC Trojans</x:v>
      </x:c>
      <x:c r="G427" t="str">
        <x:v>USC</x:v>
      </x:c>
      <x:c r="H427" s="69" t="n">
        <x:v>0</x:v>
      </x:c>
      <x:c r="I427" t="str">
        <x:v>4-0</x:v>
      </x:c>
      <x:c r="J427" t="str">
        <x:f>IF(E427&lt;&gt;TRUE,"",IF(H427&gt;M427,"W",IF(H427&lt;M427,"L","T")))</x:f>
      </x:c>
      <x:c r="K427" t="str">
        <x:v>Penn State Nittany Lions</x:v>
      </x:c>
      <x:c r="L427" t="str">
        <x:v>PSU</x:v>
      </x:c>
      <x:c r="M427" s="69" t="n">
        <x:v>0</x:v>
      </x:c>
      <x:c r="N427" t="str">
        <x:v>3-0</x:v>
      </x:c>
      <x:c r="O427" t="str">
        <x:f>IF(E427&lt;&gt;TRUE,"",IF(M427&gt;H427,"W",IF(M427&lt;H427,"L","T")))</x:f>
      </x:c>
      <x:c r="P427" s="66" t="b">
        <x:v>0</x:v>
      </x:c>
      <x:c r="Q427" s="66" t="b">
        <x:v>1</x:v>
      </x:c>
      <x:c r="R427" t="str">
        <x:v>Beaver Stadium</x:v>
      </x:c>
      <x:c r="S427" t="str"/>
      <x:c r="T427" t="str">
        <x:v>PSU -1.5</x:v>
      </x:c>
      <x:c r="U427" s="70" t="n">
        <x:v>-1.5</x:v>
      </x:c>
      <x:c r="V427" s="70" t="n">
        <x:v>56.5</x:v>
      </x:c>
      <x:c r="W427" t="str">
        <x:v>DraftKings</x:v>
      </x:c>
      <x:c r="X427" t="str">
        <x:v>https://www.espn.com/college-football/game/_/gameId/401858485</x:v>
      </x:c>
    </x:row>
    <x:row r="428">
      <x:c r="A428" t="str">
        <x:v>CFB</x:v>
      </x:c>
      <x:c r="B428" t="n">
        <x:v>6</x:v>
      </x:c>
      <x:c r="C428" s="68" t="n">
        <x:v>46305</x:v>
      </x:c>
      <x:c r="D428" s="71" t="str">
        <x:v>pre</x:v>
      </x:c>
      <x:c r="E428" s="72" t="b">
        <x:v>0</x:v>
      </x:c>
      <x:c r="F428" t="str">
        <x:v>Minnesota Golden Gophers</x:v>
      </x:c>
      <x:c r="G428" t="str">
        <x:v>MINN</x:v>
      </x:c>
      <x:c r="H428" s="69" t="n">
        <x:v>0</x:v>
      </x:c>
      <x:c r="I428" t="str">
        <x:v>2-1</x:v>
      </x:c>
      <x:c r="J428" t="str">
        <x:f>IF(E428&lt;&gt;TRUE,"",IF(H428&gt;M428,"W",IF(H428&lt;M428,"L","T")))</x:f>
      </x:c>
      <x:c r="K428" t="str">
        <x:v>Purdue Boilermakers</x:v>
      </x:c>
      <x:c r="L428" t="str">
        <x:v>PUR</x:v>
      </x:c>
      <x:c r="M428" s="69" t="n">
        <x:v>0</x:v>
      </x:c>
      <x:c r="N428" t="str">
        <x:v>1-2</x:v>
      </x:c>
      <x:c r="O428" t="str">
        <x:f>IF(E428&lt;&gt;TRUE,"",IF(M428&gt;H428,"W",IF(M428&lt;H428,"L","T")))</x:f>
      </x:c>
      <x:c r="P428" s="66" t="b">
        <x:v>0</x:v>
      </x:c>
      <x:c r="Q428" s="66" t="b">
        <x:v>1</x:v>
      </x:c>
      <x:c r="R428" t="str">
        <x:v>Ross-Ade Stadium</x:v>
      </x:c>
      <x:c r="S428" t="str"/>
      <x:c r="T428"/>
      <x:c r="U428" s="70"/>
      <x:c r="V428" s="70"/>
      <x:c r="W428"/>
      <x:c r="X428" t="str">
        <x:v>https://www.espn.com/college-football/game/_/gameId/401858486</x:v>
      </x:c>
    </x:row>
    <x:row r="429">
      <x:c r="A429" t="str">
        <x:v>CFB</x:v>
      </x:c>
      <x:c r="B429" t="n">
        <x:v>6</x:v>
      </x:c>
      <x:c r="C429" s="68" t="n">
        <x:v>46305</x:v>
      </x:c>
      <x:c r="D429" s="71" t="str">
        <x:v>pre</x:v>
      </x:c>
      <x:c r="E429" s="72" t="b">
        <x:v>0</x:v>
      </x:c>
      <x:c r="F429" t="str">
        <x:v>UConn Huskies</x:v>
      </x:c>
      <x:c r="G429" t="str">
        <x:v>CONN</x:v>
      </x:c>
      <x:c r="H429" s="69" t="n">
        <x:v>0</x:v>
      </x:c>
      <x:c r="I429" t="str">
        <x:v>2-1</x:v>
      </x:c>
      <x:c r="J429" t="str">
        <x:f>IF(E429&lt;&gt;TRUE,"",IF(H429&gt;M429,"W",IF(H429&lt;M429,"L","T")))</x:f>
      </x:c>
      <x:c r="K429" t="str">
        <x:v>Temple Owls</x:v>
      </x:c>
      <x:c r="L429" t="str">
        <x:v>TEM</x:v>
      </x:c>
      <x:c r="M429" s="69" t="n">
        <x:v>0</x:v>
      </x:c>
      <x:c r="N429" t="str">
        <x:v>1-2</x:v>
      </x:c>
      <x:c r="O429" t="str">
        <x:f>IF(E429&lt;&gt;TRUE,"",IF(M429&gt;H429,"W",IF(M429&lt;H429,"L","T")))</x:f>
      </x:c>
      <x:c r="P429" s="66" t="b">
        <x:v>0</x:v>
      </x:c>
      <x:c r="Q429" s="66" t="b">
        <x:v>0</x:v>
      </x:c>
      <x:c r="R429" t="str">
        <x:v>Lincoln Financial Field</x:v>
      </x:c>
      <x:c r="S429" t="str"/>
      <x:c r="T429"/>
      <x:c r="U429" s="70"/>
      <x:c r="V429" s="70"/>
      <x:c r="W429"/>
      <x:c r="X429" t="str">
        <x:v>https://www.espn.com/college-football/game/_/gameId/401861964</x:v>
      </x:c>
    </x:row>
    <x:row r="430">
      <x:c r="A430" t="str">
        <x:v>CFB</x:v>
      </x:c>
      <x:c r="B430" t="n">
        <x:v>6</x:v>
      </x:c>
      <x:c r="C430" s="68" t="n">
        <x:v>46305</x:v>
      </x:c>
      <x:c r="D430" s="71" t="str">
        <x:v>pre</x:v>
      </x:c>
      <x:c r="E430" s="72" t="b">
        <x:v>0</x:v>
      </x:c>
      <x:c r="F430" t="str">
        <x:v>Charlotte 49ers</x:v>
      </x:c>
      <x:c r="G430" t="str">
        <x:v>CLT</x:v>
      </x:c>
      <x:c r="H430" s="69" t="n">
        <x:v>0</x:v>
      </x:c>
      <x:c r="I430" t="str">
        <x:v>0-3</x:v>
      </x:c>
      <x:c r="J430" t="str">
        <x:f>IF(E430&lt;&gt;TRUE,"",IF(H430&gt;M430,"W",IF(H430&lt;M430,"L","T")))</x:f>
      </x:c>
      <x:c r="K430" t="str">
        <x:v>North Texas Mean Green</x:v>
      </x:c>
      <x:c r="L430" t="str">
        <x:v>UNT</x:v>
      </x:c>
      <x:c r="M430" s="69" t="n">
        <x:v>0</x:v>
      </x:c>
      <x:c r="N430" t="str">
        <x:v>1-2</x:v>
      </x:c>
      <x:c r="O430" t="str">
        <x:f>IF(E430&lt;&gt;TRUE,"",IF(M430&gt;H430,"W",IF(M430&lt;H430,"L","T")))</x:f>
      </x:c>
      <x:c r="P430" s="66" t="b">
        <x:v>0</x:v>
      </x:c>
      <x:c r="Q430" s="66" t="b">
        <x:v>1</x:v>
      </x:c>
      <x:c r="R430" t="str">
        <x:v>DATCU Stadium</x:v>
      </x:c>
      <x:c r="S430" t="str"/>
      <x:c r="T430"/>
      <x:c r="U430" s="70"/>
      <x:c r="V430" s="70"/>
      <x:c r="W430"/>
      <x:c r="X430" t="str">
        <x:v>https://www.espn.com/college-football/game/_/gameId/401862796</x:v>
      </x:c>
    </x:row>
    <x:row r="431">
      <x:c r="A431" t="str">
        <x:v>CFB</x:v>
      </x:c>
      <x:c r="B431" t="n">
        <x:v>6</x:v>
      </x:c>
      <x:c r="C431" s="68" t="n">
        <x:v>46305</x:v>
      </x:c>
      <x:c r="D431" s="71" t="str">
        <x:v>pre</x:v>
      </x:c>
      <x:c r="E431" s="72" t="b">
        <x:v>0</x:v>
      </x:c>
      <x:c r="F431" t="str">
        <x:v>Rice Owls</x:v>
      </x:c>
      <x:c r="G431" t="str">
        <x:v>RICE</x:v>
      </x:c>
      <x:c r="H431" s="69" t="n">
        <x:v>0</x:v>
      </x:c>
      <x:c r="I431" t="str">
        <x:v>1-2</x:v>
      </x:c>
      <x:c r="J431" t="str">
        <x:f>IF(E431&lt;&gt;TRUE,"",IF(H431&gt;M431,"W",IF(H431&lt;M431,"L","T")))</x:f>
      </x:c>
      <x:c r="K431" t="str">
        <x:v>East Carolina Pirates</x:v>
      </x:c>
      <x:c r="L431" t="str">
        <x:v>ECU</x:v>
      </x:c>
      <x:c r="M431" s="69" t="n">
        <x:v>0</x:v>
      </x:c>
      <x:c r="N431" t="str">
        <x:v>1-2</x:v>
      </x:c>
      <x:c r="O431" t="str">
        <x:f>IF(E431&lt;&gt;TRUE,"",IF(M431&gt;H431,"W",IF(M431&lt;H431,"L","T")))</x:f>
      </x:c>
      <x:c r="P431" s="66" t="b">
        <x:v>0</x:v>
      </x:c>
      <x:c r="Q431" s="66" t="b">
        <x:v>1</x:v>
      </x:c>
      <x:c r="R431" t="str">
        <x:v>Dowdy-Ficklen Stadium</x:v>
      </x:c>
      <x:c r="S431" t="str"/>
      <x:c r="T431"/>
      <x:c r="U431" s="70"/>
      <x:c r="V431" s="70"/>
      <x:c r="W431"/>
      <x:c r="X431" t="str">
        <x:v>https://www.espn.com/college-football/game/_/gameId/401862797</x:v>
      </x:c>
    </x:row>
    <x:row r="432">
      <x:c r="A432" t="str">
        <x:v>CFB</x:v>
      </x:c>
      <x:c r="B432" t="n">
        <x:v>6</x:v>
      </x:c>
      <x:c r="C432" s="68" t="n">
        <x:v>46305</x:v>
      </x:c>
      <x:c r="D432" s="71" t="str">
        <x:v>pre</x:v>
      </x:c>
      <x:c r="E432" s="72" t="b">
        <x:v>0</x:v>
      </x:c>
      <x:c r="F432" t="str">
        <x:v>UAB Blazers</x:v>
      </x:c>
      <x:c r="G432" t="str">
        <x:v>UAB</x:v>
      </x:c>
      <x:c r="H432" s="69" t="n">
        <x:v>0</x:v>
      </x:c>
      <x:c r="I432" t="str">
        <x:v>1-2</x:v>
      </x:c>
      <x:c r="J432" t="str">
        <x:f>IF(E432&lt;&gt;TRUE,"",IF(H432&gt;M432,"W",IF(H432&lt;M432,"L","T")))</x:f>
      </x:c>
      <x:c r="K432" t="str">
        <x:v>Memphis Tigers</x:v>
      </x:c>
      <x:c r="L432" t="str">
        <x:v>MEM</x:v>
      </x:c>
      <x:c r="M432" s="69" t="n">
        <x:v>0</x:v>
      </x:c>
      <x:c r="N432" t="str">
        <x:v>3-1</x:v>
      </x:c>
      <x:c r="O432" t="str">
        <x:f>IF(E432&lt;&gt;TRUE,"",IF(M432&gt;H432,"W",IF(M432&lt;H432,"L","T")))</x:f>
      </x:c>
      <x:c r="P432" s="66" t="b">
        <x:v>0</x:v>
      </x:c>
      <x:c r="Q432" s="66" t="b">
        <x:v>1</x:v>
      </x:c>
      <x:c r="R432" t="str">
        <x:v>Simmons Bank Liberty Stadium</x:v>
      </x:c>
      <x:c r="S432" t="str"/>
      <x:c r="T432"/>
      <x:c r="U432" s="70"/>
      <x:c r="V432" s="70"/>
      <x:c r="W432"/>
      <x:c r="X432" t="str">
        <x:v>https://www.espn.com/college-football/game/_/gameId/401862798</x:v>
      </x:c>
    </x:row>
    <x:row r="433">
      <x:c r="A433" t="str">
        <x:v>CFB</x:v>
      </x:c>
      <x:c r="B433" t="n">
        <x:v>6</x:v>
      </x:c>
      <x:c r="C433" s="68" t="n">
        <x:v>46305</x:v>
      </x:c>
      <x:c r="D433" s="71" t="str">
        <x:v>pre</x:v>
      </x:c>
      <x:c r="E433" s="72" t="b">
        <x:v>0</x:v>
      </x:c>
      <x:c r="F433" t="str">
        <x:v>Nevada Wolf Pack</x:v>
      </x:c>
      <x:c r="G433" t="str">
        <x:v>NEV</x:v>
      </x:c>
      <x:c r="H433" s="69" t="n">
        <x:v>0</x:v>
      </x:c>
      <x:c r="I433" t="str">
        <x:v>1-2</x:v>
      </x:c>
      <x:c r="J433" t="str">
        <x:f>IF(E433&lt;&gt;TRUE,"",IF(H433&gt;M433,"W",IF(H433&lt;M433,"L","T")))</x:f>
      </x:c>
      <x:c r="K433" t="str">
        <x:v>UTEP Miners</x:v>
      </x:c>
      <x:c r="L433" t="str">
        <x:v>UTEP</x:v>
      </x:c>
      <x:c r="M433" s="69" t="n">
        <x:v>0</x:v>
      </x:c>
      <x:c r="N433" t="str">
        <x:v>1-2</x:v>
      </x:c>
      <x:c r="O433" t="str">
        <x:f>IF(E433&lt;&gt;TRUE,"",IF(M433&gt;H433,"W",IF(M433&lt;H433,"L","T")))</x:f>
      </x:c>
      <x:c r="P433" s="66" t="b">
        <x:v>0</x:v>
      </x:c>
      <x:c r="Q433" s="66" t="b">
        <x:v>1</x:v>
      </x:c>
      <x:c r="R433" t="str">
        <x:v>Sun Bowl</x:v>
      </x:c>
      <x:c r="S433" t="str"/>
      <x:c r="T433"/>
      <x:c r="U433" s="70"/>
      <x:c r="V433" s="70"/>
      <x:c r="W433"/>
      <x:c r="X433" t="str">
        <x:v>https://www.espn.com/college-football/game/_/gameId/401864517</x:v>
      </x:c>
    </x:row>
    <x:row r="434">
      <x:c r="A434" t="str">
        <x:v>CFB</x:v>
      </x:c>
      <x:c r="B434" t="n">
        <x:v>6</x:v>
      </x:c>
      <x:c r="C434" s="68" t="n">
        <x:v>46305</x:v>
      </x:c>
      <x:c r="D434" s="71" t="str">
        <x:v>pre</x:v>
      </x:c>
      <x:c r="E434" s="72" t="b">
        <x:v>0</x:v>
      </x:c>
      <x:c r="F434" t="str">
        <x:v>Sacramento State Hornets</x:v>
      </x:c>
      <x:c r="G434" t="str">
        <x:v>SAC</x:v>
      </x:c>
      <x:c r="H434" s="69" t="n">
        <x:v>0</x:v>
      </x:c>
      <x:c r="I434" t="str">
        <x:v>1-3</x:v>
      </x:c>
      <x:c r="J434" t="str">
        <x:f>IF(E434&lt;&gt;TRUE,"",IF(H434&gt;M434,"W",IF(H434&lt;M434,"L","T")))</x:f>
      </x:c>
      <x:c r="K434" t="str">
        <x:v>Bowling Green Falcons</x:v>
      </x:c>
      <x:c r="L434" t="str">
        <x:v>BGSU</x:v>
      </x:c>
      <x:c r="M434" s="69" t="n">
        <x:v>0</x:v>
      </x:c>
      <x:c r="N434" t="str">
        <x:v>0-3</x:v>
      </x:c>
      <x:c r="O434" t="str">
        <x:f>IF(E434&lt;&gt;TRUE,"",IF(M434&gt;H434,"W",IF(M434&lt;H434,"L","T")))</x:f>
      </x:c>
      <x:c r="P434" s="66" t="b">
        <x:v>0</x:v>
      </x:c>
      <x:c r="Q434" s="66" t="b">
        <x:v>1</x:v>
      </x:c>
      <x:c r="R434" t="str">
        <x:v>Doyt L. Perry Stadium</x:v>
      </x:c>
      <x:c r="S434" t="str"/>
      <x:c r="T434"/>
      <x:c r="U434" s="70"/>
      <x:c r="V434" s="70"/>
      <x:c r="W434"/>
      <x:c r="X434" t="str">
        <x:v>https://www.espn.com/college-football/game/_/gameId/401866436</x:v>
      </x:c>
    </x:row>
    <x:row r="435">
      <x:c r="A435" t="str">
        <x:v>CFB</x:v>
      </x:c>
      <x:c r="B435" t="n">
        <x:v>6</x:v>
      </x:c>
      <x:c r="C435" s="68" t="n">
        <x:v>46305</x:v>
      </x:c>
      <x:c r="D435" s="71" t="str">
        <x:v>pre</x:v>
      </x:c>
      <x:c r="E435" s="72" t="b">
        <x:v>0</x:v>
      </x:c>
      <x:c r="F435" t="str">
        <x:v>Buffalo Bulls</x:v>
      </x:c>
      <x:c r="G435" t="str">
        <x:v>BUFF</x:v>
      </x:c>
      <x:c r="H435" s="69" t="n">
        <x:v>0</x:v>
      </x:c>
      <x:c r="I435" t="str">
        <x:v>1-2</x:v>
      </x:c>
      <x:c r="J435" t="str">
        <x:f>IF(E435&lt;&gt;TRUE,"",IF(H435&gt;M435,"W",IF(H435&lt;M435,"L","T")))</x:f>
      </x:c>
      <x:c r="K435" t="str">
        <x:v>Toledo Rockets</x:v>
      </x:c>
      <x:c r="L435" t="str">
        <x:v>TOL</x:v>
      </x:c>
      <x:c r="M435" s="69" t="n">
        <x:v>0</x:v>
      </x:c>
      <x:c r="N435" t="str">
        <x:v>2-1</x:v>
      </x:c>
      <x:c r="O435" t="str">
        <x:f>IF(E435&lt;&gt;TRUE,"",IF(M435&gt;H435,"W",IF(M435&lt;H435,"L","T")))</x:f>
      </x:c>
      <x:c r="P435" s="66" t="b">
        <x:v>0</x:v>
      </x:c>
      <x:c r="Q435" s="66" t="b">
        <x:v>1</x:v>
      </x:c>
      <x:c r="R435" t="str">
        <x:v>Glass Bowl</x:v>
      </x:c>
      <x:c r="S435" t="str"/>
      <x:c r="T435"/>
      <x:c r="U435" s="70"/>
      <x:c r="V435" s="70"/>
      <x:c r="W435"/>
      <x:c r="X435" t="str">
        <x:v>https://www.espn.com/college-football/game/_/gameId/401866437</x:v>
      </x:c>
    </x:row>
    <x:row r="436">
      <x:c r="A436" t="str">
        <x:v>CFB</x:v>
      </x:c>
      <x:c r="B436" t="n">
        <x:v>6</x:v>
      </x:c>
      <x:c r="C436" s="68" t="n">
        <x:v>46305</x:v>
      </x:c>
      <x:c r="D436" s="71" t="str">
        <x:v>pre</x:v>
      </x:c>
      <x:c r="E436" s="72" t="b">
        <x:v>0</x:v>
      </x:c>
      <x:c r="F436" t="str">
        <x:v>Central Michigan Chippewas</x:v>
      </x:c>
      <x:c r="G436" t="str">
        <x:v>CMU</x:v>
      </x:c>
      <x:c r="H436" s="69" t="n">
        <x:v>0</x:v>
      </x:c>
      <x:c r="I436" t="str">
        <x:v>2-1</x:v>
      </x:c>
      <x:c r="J436" t="str">
        <x:f>IF(E436&lt;&gt;TRUE,"",IF(H436&gt;M436,"W",IF(H436&lt;M436,"L","T")))</x:f>
      </x:c>
      <x:c r="K436" t="str">
        <x:v>Ohio Bobcats</x:v>
      </x:c>
      <x:c r="L436" t="str">
        <x:v>OHIO</x:v>
      </x:c>
      <x:c r="M436" s="69" t="n">
        <x:v>0</x:v>
      </x:c>
      <x:c r="N436" t="str">
        <x:v>1-2</x:v>
      </x:c>
      <x:c r="O436" t="str">
        <x:f>IF(E436&lt;&gt;TRUE,"",IF(M436&gt;H436,"W",IF(M436&lt;H436,"L","T")))</x:f>
      </x:c>
      <x:c r="P436" s="66" t="b">
        <x:v>0</x:v>
      </x:c>
      <x:c r="Q436" s="66" t="b">
        <x:v>1</x:v>
      </x:c>
      <x:c r="R436" t="str">
        <x:v>Peden Stadium</x:v>
      </x:c>
      <x:c r="S436" t="str"/>
      <x:c r="T436"/>
      <x:c r="U436" s="70"/>
      <x:c r="V436" s="70"/>
      <x:c r="W436"/>
      <x:c r="X436" t="str">
        <x:v>https://www.espn.com/college-football/game/_/gameId/401866438</x:v>
      </x:c>
    </x:row>
    <x:row r="437">
      <x:c r="A437" t="str">
        <x:v>CFB</x:v>
      </x:c>
      <x:c r="B437" t="n">
        <x:v>6</x:v>
      </x:c>
      <x:c r="C437" s="68" t="n">
        <x:v>46305</x:v>
      </x:c>
      <x:c r="D437" s="71" t="str">
        <x:v>pre</x:v>
      </x:c>
      <x:c r="E437" s="72" t="b">
        <x:v>0</x:v>
      </x:c>
      <x:c r="F437" t="str">
        <x:v>Kent State Golden Flashes</x:v>
      </x:c>
      <x:c r="G437" t="str">
        <x:v>KENT</x:v>
      </x:c>
      <x:c r="H437" s="69" t="n">
        <x:v>0</x:v>
      </x:c>
      <x:c r="I437" t="str">
        <x:v>1-2</x:v>
      </x:c>
      <x:c r="J437" t="str">
        <x:f>IF(E437&lt;&gt;TRUE,"",IF(H437&gt;M437,"W",IF(H437&lt;M437,"L","T")))</x:f>
      </x:c>
      <x:c r="K437" t="str">
        <x:v>Western Michigan Broncos</x:v>
      </x:c>
      <x:c r="L437" t="str">
        <x:v>WMU</x:v>
      </x:c>
      <x:c r="M437" s="69" t="n">
        <x:v>0</x:v>
      </x:c>
      <x:c r="N437" t="str">
        <x:v>2-1</x:v>
      </x:c>
      <x:c r="O437" t="str">
        <x:f>IF(E437&lt;&gt;TRUE,"",IF(M437&gt;H437,"W",IF(M437&lt;H437,"L","T")))</x:f>
      </x:c>
      <x:c r="P437" s="66" t="b">
        <x:v>0</x:v>
      </x:c>
      <x:c r="Q437" s="66" t="b">
        <x:v>1</x:v>
      </x:c>
      <x:c r="R437" t="str">
        <x:v>Waldo Stadium</x:v>
      </x:c>
      <x:c r="S437" t="str"/>
      <x:c r="T437"/>
      <x:c r="U437" s="70"/>
      <x:c r="V437" s="70"/>
      <x:c r="W437"/>
      <x:c r="X437" t="str">
        <x:v>https://www.espn.com/college-football/game/_/gameId/401866439</x:v>
      </x:c>
    </x:row>
    <x:row r="438">
      <x:c r="A438" t="str">
        <x:v>CFB</x:v>
      </x:c>
      <x:c r="B438" t="n">
        <x:v>6</x:v>
      </x:c>
      <x:c r="C438" s="68" t="n">
        <x:v>46305</x:v>
      </x:c>
      <x:c r="D438" s="71" t="str">
        <x:v>pre</x:v>
      </x:c>
      <x:c r="E438" s="72" t="b">
        <x:v>0</x:v>
      </x:c>
      <x:c r="F438" t="str">
        <x:v>Miami (OH) RedHawks</x:v>
      </x:c>
      <x:c r="G438" t="str">
        <x:v>M-OH</x:v>
      </x:c>
      <x:c r="H438" s="69" t="n">
        <x:v>0</x:v>
      </x:c>
      <x:c r="I438" t="str">
        <x:v>1-2</x:v>
      </x:c>
      <x:c r="J438" t="str">
        <x:f>IF(E438&lt;&gt;TRUE,"",IF(H438&gt;M438,"W",IF(H438&lt;M438,"L","T")))</x:f>
      </x:c>
      <x:c r="K438" t="str">
        <x:v>Massachusetts Minutemen</x:v>
      </x:c>
      <x:c r="L438" t="str">
        <x:v>MASS</x:v>
      </x:c>
      <x:c r="M438" s="69" t="n">
        <x:v>0</x:v>
      </x:c>
      <x:c r="N438" t="str">
        <x:v>3-0</x:v>
      </x:c>
      <x:c r="O438" t="str">
        <x:f>IF(E438&lt;&gt;TRUE,"",IF(M438&gt;H438,"W",IF(M438&lt;H438,"L","T")))</x:f>
      </x:c>
      <x:c r="P438" s="66" t="b">
        <x:v>0</x:v>
      </x:c>
      <x:c r="Q438" s="66" t="b">
        <x:v>1</x:v>
      </x:c>
      <x:c r="R438" t="str">
        <x:v>Warren McGuirk Alumni Stadium</x:v>
      </x:c>
      <x:c r="S438" t="str"/>
      <x:c r="T438"/>
      <x:c r="U438" s="70"/>
      <x:c r="V438" s="70"/>
      <x:c r="W438"/>
      <x:c r="X438" t="str">
        <x:v>https://www.espn.com/college-football/game/_/gameId/401866440</x:v>
      </x:c>
    </x:row>
    <x:row r="439">
      <x:c r="A439" t="str">
        <x:v>CFB</x:v>
      </x:c>
      <x:c r="B439" t="n">
        <x:v>6</x:v>
      </x:c>
      <x:c r="C439" s="68" t="n">
        <x:v>46305</x:v>
      </x:c>
      <x:c r="D439" s="71" t="str">
        <x:v>pre</x:v>
      </x:c>
      <x:c r="E439" s="72" t="b">
        <x:v>0</x:v>
      </x:c>
      <x:c r="F439" t="str">
        <x:v>Old Dominion Monarchs</x:v>
      </x:c>
      <x:c r="G439" t="str">
        <x:v>ODU</x:v>
      </x:c>
      <x:c r="H439" s="69" t="n">
        <x:v>0</x:v>
      </x:c>
      <x:c r="I439" t="str">
        <x:v>1-2</x:v>
      </x:c>
      <x:c r="J439" t="str">
        <x:f>IF(E439&lt;&gt;TRUE,"",IF(H439&gt;M439,"W",IF(H439&lt;M439,"L","T")))</x:f>
      </x:c>
      <x:c r="K439" t="str">
        <x:v>App State Mountaineers</x:v>
      </x:c>
      <x:c r="L439" t="str">
        <x:v>APP</x:v>
      </x:c>
      <x:c r="M439" s="69" t="n">
        <x:v>0</x:v>
      </x:c>
      <x:c r="N439" t="str">
        <x:v>3-0</x:v>
      </x:c>
      <x:c r="O439" t="str">
        <x:f>IF(E439&lt;&gt;TRUE,"",IF(M439&gt;H439,"W",IF(M439&lt;H439,"L","T")))</x:f>
      </x:c>
      <x:c r="P439" s="66" t="b">
        <x:v>0</x:v>
      </x:c>
      <x:c r="Q439" s="66" t="b">
        <x:v>1</x:v>
      </x:c>
      <x:c r="R439" t="str">
        <x:v>Kidd Brewer Stadium</x:v>
      </x:c>
      <x:c r="S439" t="str"/>
      <x:c r="T439"/>
      <x:c r="U439" s="70"/>
      <x:c r="V439" s="70"/>
      <x:c r="W439"/>
      <x:c r="X439" t="str">
        <x:v>https://www.espn.com/college-football/game/_/gameId/401869843</x:v>
      </x:c>
    </x:row>
    <x:row r="440">
      <x:c r="A440" t="str">
        <x:v>CFB</x:v>
      </x:c>
      <x:c r="B440" t="n">
        <x:v>6</x:v>
      </x:c>
      <x:c r="C440" s="68" t="n">
        <x:v>46305</x:v>
      </x:c>
      <x:c r="D440" s="71" t="str">
        <x:v>pre</x:v>
      </x:c>
      <x:c r="E440" s="72" t="b">
        <x:v>0</x:v>
      </x:c>
      <x:c r="F440" t="str">
        <x:v>Coastal Carolina Chanticleers</x:v>
      </x:c>
      <x:c r="G440" t="str">
        <x:v>CCU</x:v>
      </x:c>
      <x:c r="H440" s="69" t="n">
        <x:v>0</x:v>
      </x:c>
      <x:c r="I440" t="str">
        <x:v>1-2</x:v>
      </x:c>
      <x:c r="J440" t="str">
        <x:f>IF(E440&lt;&gt;TRUE,"",IF(H440&gt;M440,"W",IF(H440&lt;M440,"L","T")))</x:f>
      </x:c>
      <x:c r="K440" t="str">
        <x:v>Marshall Thundering Herd</x:v>
      </x:c>
      <x:c r="L440" t="str">
        <x:v>MRSH</x:v>
      </x:c>
      <x:c r="M440" s="69" t="n">
        <x:v>0</x:v>
      </x:c>
      <x:c r="N440" t="str">
        <x:v>2-1</x:v>
      </x:c>
      <x:c r="O440" t="str">
        <x:f>IF(E440&lt;&gt;TRUE,"",IF(M440&gt;H440,"W",IF(M440&lt;H440,"L","T")))</x:f>
      </x:c>
      <x:c r="P440" s="66" t="b">
        <x:v>0</x:v>
      </x:c>
      <x:c r="Q440" s="66" t="b">
        <x:v>1</x:v>
      </x:c>
      <x:c r="R440" t="str">
        <x:v>Joan C. Edwards Stadium</x:v>
      </x:c>
      <x:c r="S440" t="str"/>
      <x:c r="T440"/>
      <x:c r="U440" s="70"/>
      <x:c r="V440" s="70"/>
      <x:c r="W440"/>
      <x:c r="X440" t="str">
        <x:v>https://www.espn.com/college-football/game/_/gameId/401869943</x:v>
      </x:c>
    </x:row>
    <x:row r="441">
      <x:c r="A441" t="str">
        <x:v>CFB</x:v>
      </x:c>
      <x:c r="B441" t="n">
        <x:v>6</x:v>
      </x:c>
      <x:c r="C441" s="68" t="n">
        <x:v>46305</x:v>
      </x:c>
      <x:c r="D441" s="71" t="str">
        <x:v>pre</x:v>
      </x:c>
      <x:c r="E441" s="72" t="b">
        <x:v>0</x:v>
      </x:c>
      <x:c r="F441" t="str">
        <x:v>James Madison Dukes</x:v>
      </x:c>
      <x:c r="G441" t="str">
        <x:v>JMU</x:v>
      </x:c>
      <x:c r="H441" s="69" t="n">
        <x:v>0</x:v>
      </x:c>
      <x:c r="I441" t="str">
        <x:v>3-0</x:v>
      </x:c>
      <x:c r="J441" t="str">
        <x:f>IF(E441&lt;&gt;TRUE,"",IF(H441&gt;M441,"W",IF(H441&lt;M441,"L","T")))</x:f>
      </x:c>
      <x:c r="K441" t="str">
        <x:v>Georgia Southern Eagles</x:v>
      </x:c>
      <x:c r="L441" t="str">
        <x:v>GASO</x:v>
      </x:c>
      <x:c r="M441" s="69" t="n">
        <x:v>0</x:v>
      </x:c>
      <x:c r="N441" t="str">
        <x:v>1-2</x:v>
      </x:c>
      <x:c r="O441" t="str">
        <x:f>IF(E441&lt;&gt;TRUE,"",IF(M441&gt;H441,"W",IF(M441&lt;H441,"L","T")))</x:f>
      </x:c>
      <x:c r="P441" s="66" t="b">
        <x:v>0</x:v>
      </x:c>
      <x:c r="Q441" s="66" t="b">
        <x:v>1</x:v>
      </x:c>
      <x:c r="R441" t="str">
        <x:v>Allen E. Paulson Stadium</x:v>
      </x:c>
      <x:c r="S441" t="str"/>
      <x:c r="T441"/>
      <x:c r="U441" s="70"/>
      <x:c r="V441" s="70"/>
      <x:c r="W441"/>
      <x:c r="X441" t="str">
        <x:v>https://www.espn.com/college-football/game/_/gameId/401869949</x:v>
      </x:c>
    </x:row>
    <x:row r="442">
      <x:c r="A442" t="str">
        <x:v>CFB</x:v>
      </x:c>
      <x:c r="B442" t="n">
        <x:v>6</x:v>
      </x:c>
      <x:c r="C442" s="68" t="n">
        <x:v>46305</x:v>
      </x:c>
      <x:c r="D442" s="71" t="str">
        <x:v>pre</x:v>
      </x:c>
      <x:c r="E442" s="72" t="b">
        <x:v>0</x:v>
      </x:c>
      <x:c r="F442" t="str">
        <x:v>Louisiana Ragin' Cajuns</x:v>
      </x:c>
      <x:c r="G442" t="str">
        <x:v>UL</x:v>
      </x:c>
      <x:c r="H442" s="69" t="n">
        <x:v>0</x:v>
      </x:c>
      <x:c r="I442" t="str">
        <x:v>2-1</x:v>
      </x:c>
      <x:c r="J442" t="str">
        <x:f>IF(E442&lt;&gt;TRUE,"",IF(H442&gt;M442,"W",IF(H442&lt;M442,"L","T")))</x:f>
      </x:c>
      <x:c r="K442" t="str">
        <x:v>Louisiana Tech Bulldogs</x:v>
      </x:c>
      <x:c r="L442" t="str">
        <x:v>LT</x:v>
      </x:c>
      <x:c r="M442" s="69" t="n">
        <x:v>0</x:v>
      </x:c>
      <x:c r="N442" t="str">
        <x:v>1-2</x:v>
      </x:c>
      <x:c r="O442" t="str">
        <x:f>IF(E442&lt;&gt;TRUE,"",IF(M442&gt;H442,"W",IF(M442&lt;H442,"L","T")))</x:f>
      </x:c>
      <x:c r="P442" s="66" t="b">
        <x:v>0</x:v>
      </x:c>
      <x:c r="Q442" s="66" t="b">
        <x:v>1</x:v>
      </x:c>
      <x:c r="R442" t="str">
        <x:v>Joe Aillet Stadium</x:v>
      </x:c>
      <x:c r="S442" t="str"/>
      <x:c r="T442"/>
      <x:c r="U442" s="70"/>
      <x:c r="V442" s="70"/>
      <x:c r="W442"/>
      <x:c r="X442" t="str">
        <x:v>https://www.espn.com/college-football/game/_/gameId/401869965</x:v>
      </x:c>
    </x:row>
    <x:row r="443">
      <x:c r="A443" t="str">
        <x:v>CFB</x:v>
      </x:c>
      <x:c r="B443" t="n">
        <x:v>6</x:v>
      </x:c>
      <x:c r="C443" s="68" t="n">
        <x:v>46305.666666666664</x:v>
      </x:c>
      <x:c r="D443" s="71" t="str">
        <x:v>pre</x:v>
      </x:c>
      <x:c r="E443" s="72" t="b">
        <x:v>0</x:v>
      </x:c>
      <x:c r="F443" t="str">
        <x:v>Tulane Green Wave</x:v>
      </x:c>
      <x:c r="G443" t="str">
        <x:v>TULN</x:v>
      </x:c>
      <x:c r="H443" s="69" t="n">
        <x:v>0</x:v>
      </x:c>
      <x:c r="I443" t="str">
        <x:v>1-2</x:v>
      </x:c>
      <x:c r="J443" t="str">
        <x:f>IF(E443&lt;&gt;TRUE,"",IF(H443&gt;M443,"W",IF(H443&lt;M443,"L","T")))</x:f>
      </x:c>
      <x:c r="K443" t="str">
        <x:v>Army Black Knights</x:v>
      </x:c>
      <x:c r="L443" t="str">
        <x:v>ARMY</x:v>
      </x:c>
      <x:c r="M443" s="69" t="n">
        <x:v>0</x:v>
      </x:c>
      <x:c r="N443" t="str">
        <x:v>1-1</x:v>
      </x:c>
      <x:c r="O443" t="str">
        <x:f>IF(E443&lt;&gt;TRUE,"",IF(M443&gt;H443,"W",IF(M443&lt;H443,"L","T")))</x:f>
      </x:c>
      <x:c r="P443" s="66" t="b">
        <x:v>0</x:v>
      </x:c>
      <x:c r="Q443" s="66" t="b">
        <x:v>1</x:v>
      </x:c>
      <x:c r="R443" t="str">
        <x:v>Michie Stadium</x:v>
      </x:c>
      <x:c r="S443" t="str">
        <x:v>CBSSN</x:v>
      </x:c>
      <x:c r="T443"/>
      <x:c r="U443" s="70"/>
      <x:c r="V443" s="70"/>
      <x:c r="W443"/>
      <x:c r="X443" t="str">
        <x:v>https://www.espn.com/college-football/game/_/gameId/401862795</x:v>
      </x:c>
    </x:row>
    <x:row r="444">
      <x:c r="A444" t="str">
        <x:v>CFB</x:v>
      </x:c>
      <x:c r="B444" t="n">
        <x:v>6</x:v>
      </x:c>
      <x:c r="C444" s="68" t="n">
        <x:v>46305.8125</x:v>
      </x:c>
      <x:c r="D444" s="71" t="str">
        <x:v>pre</x:v>
      </x:c>
      <x:c r="E444" s="72" t="b">
        <x:v>0</x:v>
      </x:c>
      <x:c r="F444" t="str">
        <x:v>Texas Longhorns</x:v>
      </x:c>
      <x:c r="G444" t="str">
        <x:v>TEX</x:v>
      </x:c>
      <x:c r="H444" s="69" t="n">
        <x:v>0</x:v>
      </x:c>
      <x:c r="I444" t="str">
        <x:v>3-0</x:v>
      </x:c>
      <x:c r="J444" t="str">
        <x:f>IF(E444&lt;&gt;TRUE,"",IF(H444&gt;M444,"W",IF(H444&lt;M444,"L","T")))</x:f>
      </x:c>
      <x:c r="K444" t="str">
        <x:v>Oklahoma Sooners</x:v>
      </x:c>
      <x:c r="L444" t="str">
        <x:v>OU</x:v>
      </x:c>
      <x:c r="M444" s="69" t="n">
        <x:v>0</x:v>
      </x:c>
      <x:c r="N444" t="str">
        <x:v>2-1</x:v>
      </x:c>
      <x:c r="O444" t="str">
        <x:f>IF(E444&lt;&gt;TRUE,"",IF(M444&gt;H444,"W",IF(M444&lt;H444,"L","T")))</x:f>
      </x:c>
      <x:c r="P444" s="66" t="b">
        <x:v>1</x:v>
      </x:c>
      <x:c r="Q444" s="66" t="b">
        <x:v>1</x:v>
      </x:c>
      <x:c r="R444" t="str">
        <x:v>Cotton Bowl</x:v>
      </x:c>
      <x:c r="S444" t="str"/>
      <x:c r="T444" t="str">
        <x:v>TEX -6</x:v>
      </x:c>
      <x:c r="U444" s="70" t="n">
        <x:v>6</x:v>
      </x:c>
      <x:c r="V444" s="70" t="n">
        <x:v>48.5</x:v>
      </x:c>
      <x:c r="W444" t="str">
        <x:v>DraftKings</x:v>
      </x:c>
      <x:c r="X444" t="str">
        <x:v>https://www.espn.com/college-football/game/_/gameId/401856717</x:v>
      </x:c>
    </x:row>
    <x:row r="445">
      <x:c r="A445" t="str">
        <x:v>CFB</x:v>
      </x:c>
      <x:c r="B445" t="n">
        <x:v>6</x:v>
      </x:c>
      <x:c r="C445" s="68" t="n">
        <x:v>46305.8125</x:v>
      </x:c>
      <x:c r="D445" s="71" t="str">
        <x:v>pre</x:v>
      </x:c>
      <x:c r="E445" s="72" t="b">
        <x:v>0</x:v>
      </x:c>
      <x:c r="F445" t="str">
        <x:v>Stanford Cardinal</x:v>
      </x:c>
      <x:c r="G445" t="str">
        <x:v>STAN</x:v>
      </x:c>
      <x:c r="H445" s="69" t="n">
        <x:v>0</x:v>
      </x:c>
      <x:c r="I445" t="str">
        <x:v>1-2</x:v>
      </x:c>
      <x:c r="J445" t="str">
        <x:f>IF(E445&lt;&gt;TRUE,"",IF(H445&gt;M445,"W",IF(H445&lt;M445,"L","T")))</x:f>
      </x:c>
      <x:c r="K445" t="str">
        <x:v>Notre Dame Fighting Irish</x:v>
      </x:c>
      <x:c r="L445" t="str">
        <x:v>ND</x:v>
      </x:c>
      <x:c r="M445" s="69" t="n">
        <x:v>0</x:v>
      </x:c>
      <x:c r="N445" t="str">
        <x:v>3-0</x:v>
      </x:c>
      <x:c r="O445" t="str">
        <x:f>IF(E445&lt;&gt;TRUE,"",IF(M445&gt;H445,"W",IF(M445&lt;H445,"L","T")))</x:f>
      </x:c>
      <x:c r="P445" s="66" t="b">
        <x:v>0</x:v>
      </x:c>
      <x:c r="Q445" s="66" t="b">
        <x:v>0</x:v>
      </x:c>
      <x:c r="R445" t="str">
        <x:v>Notre Dame Stadium</x:v>
      </x:c>
      <x:c r="S445" t="str">
        <x:v>NBC</x:v>
      </x:c>
      <x:c r="T445"/>
      <x:c r="U445" s="70"/>
      <x:c r="V445" s="70"/>
      <x:c r="W445"/>
      <x:c r="X445" t="str">
        <x:v>https://www.espn.com/college-football/game/_/gameId/401858257</x:v>
      </x:c>
    </x:row>
    <x:row r="446">
      <x:c r="A446" t="str">
        <x:v>CFB</x:v>
      </x:c>
      <x:c r="B446" t="n">
        <x:v>6</x:v>
      </x:c>
      <x:c r="C446" s="68" t="n">
        <x:v>46305.8125</x:v>
      </x:c>
      <x:c r="D446" s="71" t="str">
        <x:v>pre</x:v>
      </x:c>
      <x:c r="E446" s="72" t="b">
        <x:v>0</x:v>
      </x:c>
      <x:c r="F446" t="str">
        <x:v>Tulsa Golden Hurricane</x:v>
      </x:c>
      <x:c r="G446" t="str">
        <x:v>TLSA</x:v>
      </x:c>
      <x:c r="H446" s="69" t="n">
        <x:v>0</x:v>
      </x:c>
      <x:c r="I446" t="str">
        <x:v>3-0</x:v>
      </x:c>
      <x:c r="J446" t="str">
        <x:f>IF(E446&lt;&gt;TRUE,"",IF(H446&gt;M446,"W",IF(H446&lt;M446,"L","T")))</x:f>
      </x:c>
      <x:c r="K446" t="str">
        <x:v>Navy Midshipmen</x:v>
      </x:c>
      <x:c r="L446" t="str">
        <x:v>NAVY</x:v>
      </x:c>
      <x:c r="M446" s="69" t="n">
        <x:v>0</x:v>
      </x:c>
      <x:c r="N446" t="str">
        <x:v>1-1</x:v>
      </x:c>
      <x:c r="O446" t="str">
        <x:f>IF(E446&lt;&gt;TRUE,"",IF(M446&gt;H446,"W",IF(M446&lt;H446,"L","T")))</x:f>
      </x:c>
      <x:c r="P446" s="66" t="b">
        <x:v>0</x:v>
      </x:c>
      <x:c r="Q446" s="66" t="b">
        <x:v>1</x:v>
      </x:c>
      <x:c r="R446" t="str">
        <x:v>Navy-Marine Corps Memorial Stadium</x:v>
      </x:c>
      <x:c r="S446" t="str">
        <x:v>CBSSN</x:v>
      </x:c>
      <x:c r="T446"/>
      <x:c r="U446" s="70"/>
      <x:c r="V446" s="70"/>
      <x:c r="W446"/>
      <x:c r="X446" t="str">
        <x:v>https://www.espn.com/college-football/game/_/gameId/401862799</x:v>
      </x:c>
    </x:row>
    <x:row r="447">
      <x:c r="A447" t="str">
        <x:v>CFB</x:v>
      </x:c>
      <x:c r="B447" t="n">
        <x:v>6</x:v>
      </x:c>
      <x:c r="C447" s="68" t="n">
        <x:v>46305.8125</x:v>
      </x:c>
      <x:c r="D447" s="71" t="str">
        <x:v>pre</x:v>
      </x:c>
      <x:c r="E447" s="72" t="b">
        <x:v>0</x:v>
      </x:c>
      <x:c r="F447" t="str">
        <x:v>Eastern Michigan Eagles</x:v>
      </x:c>
      <x:c r="G447" t="str">
        <x:v>EMU</x:v>
      </x:c>
      <x:c r="H447" s="69" t="n">
        <x:v>0</x:v>
      </x:c>
      <x:c r="I447" t="str">
        <x:v>1-3</x:v>
      </x:c>
      <x:c r="J447" t="str">
        <x:f>IF(E447&lt;&gt;TRUE,"",IF(H447&gt;M447,"W",IF(H447&lt;M447,"L","T")))</x:f>
      </x:c>
      <x:c r="K447" t="str">
        <x:v>Akron Zips</x:v>
      </x:c>
      <x:c r="L447" t="str">
        <x:v>AKR</x:v>
      </x:c>
      <x:c r="M447" s="69" t="n">
        <x:v>0</x:v>
      </x:c>
      <x:c r="N447" t="str">
        <x:v>1-2</x:v>
      </x:c>
      <x:c r="O447" t="str">
        <x:f>IF(E447&lt;&gt;TRUE,"",IF(M447&gt;H447,"W",IF(M447&lt;H447,"L","T")))</x:f>
      </x:c>
      <x:c r="P447" s="66" t="b">
        <x:v>0</x:v>
      </x:c>
      <x:c r="Q447" s="66" t="b">
        <x:v>1</x:v>
      </x:c>
      <x:c r="R447" t="str">
        <x:v>InfoCision Stadium</x:v>
      </x:c>
      <x:c r="S447" t="str"/>
      <x:c r="T447"/>
      <x:c r="U447" s="70"/>
      <x:c r="V447" s="70"/>
      <x:c r="W447"/>
      <x:c r="X447" t="str">
        <x:v>https://www.espn.com/college-football/game/_/gameId/401866435</x:v>
      </x:c>
    </x:row>
    <x:row r="448">
      <x:c r="A448" t="str">
        <x:v>CFB</x:v>
      </x:c>
      <x:c r="B448" t="n">
        <x:v>6</x:v>
      </x:c>
      <x:c r="C448" s="68" t="n">
        <x:v>46305.916666666664</x:v>
      </x:c>
      <x:c r="D448" s="71" t="str">
        <x:v>pre</x:v>
      </x:c>
      <x:c r="E448" s="72" t="b">
        <x:v>0</x:v>
      </x:c>
      <x:c r="F448" t="str">
        <x:v>San Diego State Aztecs</x:v>
      </x:c>
      <x:c r="G448" t="str">
        <x:v>SDSU</x:v>
      </x:c>
      <x:c r="H448" s="69" t="n">
        <x:v>0</x:v>
      </x:c>
      <x:c r="I448" t="str">
        <x:v>1-2</x:v>
      </x:c>
      <x:c r="J448" t="str">
        <x:f>IF(E448&lt;&gt;TRUE,"",IF(H448&gt;M448,"W",IF(H448&lt;M448,"L","T")))</x:f>
      </x:c>
      <x:c r="K448" t="str">
        <x:v>Oregon State Beavers</x:v>
      </x:c>
      <x:c r="L448" t="str">
        <x:v>ORST</x:v>
      </x:c>
      <x:c r="M448" s="69" t="n">
        <x:v>0</x:v>
      </x:c>
      <x:c r="N448" t="str">
        <x:v>1-2</x:v>
      </x:c>
      <x:c r="O448" t="str">
        <x:f>IF(E448&lt;&gt;TRUE,"",IF(M448&gt;H448,"W",IF(M448&lt;H448,"L","T")))</x:f>
      </x:c>
      <x:c r="P448" s="66" t="b">
        <x:v>0</x:v>
      </x:c>
      <x:c r="Q448" s="66" t="b">
        <x:v>1</x:v>
      </x:c>
      <x:c r="R448" t="str">
        <x:v>Reser Stadium</x:v>
      </x:c>
      <x:c r="S448" t="str">
        <x:v>USA Net</x:v>
      </x:c>
      <x:c r="T448"/>
      <x:c r="U448" s="70"/>
      <x:c r="V448" s="70"/>
      <x:c r="W448"/>
      <x:c r="X448" t="str">
        <x:v>https://www.espn.com/college-football/game/_/gameId/401860902</x:v>
      </x:c>
    </x:row>
    <x:row r="449">
      <x:c r="A449" t="str">
        <x:v>CFB</x:v>
      </x:c>
      <x:c r="B449" t="n">
        <x:v>6</x:v>
      </x:c>
      <x:c r="C449" s="68" t="n">
        <x:v>46305.958333333336</x:v>
      </x:c>
      <x:c r="D449" s="71" t="str">
        <x:v>pre</x:v>
      </x:c>
      <x:c r="E449" s="72" t="b">
        <x:v>0</x:v>
      </x:c>
      <x:c r="F449" t="str">
        <x:v>North Dakota State Bison</x:v>
      </x:c>
      <x:c r="G449" t="str">
        <x:v>NDSU</x:v>
      </x:c>
      <x:c r="H449" s="69" t="n">
        <x:v>0</x:v>
      </x:c>
      <x:c r="I449" t="str">
        <x:v>4-0</x:v>
      </x:c>
      <x:c r="J449" t="str">
        <x:f>IF(E449&lt;&gt;TRUE,"",IF(H449&gt;M449,"W",IF(H449&lt;M449,"L","T")))</x:f>
      </x:c>
      <x:c r="K449" t="str">
        <x:v>UNLV Rebels</x:v>
      </x:c>
      <x:c r="L449" t="str">
        <x:v>UNLV</x:v>
      </x:c>
      <x:c r="M449" s="69" t="n">
        <x:v>0</x:v>
      </x:c>
      <x:c r="N449" t="str">
        <x:v>1-2</x:v>
      </x:c>
      <x:c r="O449" t="str">
        <x:f>IF(E449&lt;&gt;TRUE,"",IF(M449&gt;H449,"W",IF(M449&lt;H449,"L","T")))</x:f>
      </x:c>
      <x:c r="P449" s="66" t="b">
        <x:v>0</x:v>
      </x:c>
      <x:c r="Q449" s="66" t="b">
        <x:v>1</x:v>
      </x:c>
      <x:c r="R449" t="str">
        <x:v>Allegiant Stadium</x:v>
      </x:c>
      <x:c r="S449" t="str">
        <x:v>CW</x:v>
      </x:c>
      <x:c r="T449"/>
      <x:c r="U449" s="70"/>
      <x:c r="V449" s="70"/>
      <x:c r="W449"/>
      <x:c r="X449" t="str">
        <x:v>https://www.espn.com/college-football/game/_/gameId/401864518</x:v>
      </x:c>
    </x:row>
    <x:row r="450">
      <x:c r="A450" t="str">
        <x:v>CFB</x:v>
      </x:c>
      <x:c r="B450" t="n">
        <x:v>6</x:v>
      </x:c>
      <x:c r="C450" s="68" t="n">
        <x:v>46305.979166666664</x:v>
      </x:c>
      <x:c r="D450" s="71" t="str">
        <x:v>pre</x:v>
      </x:c>
      <x:c r="E450" s="72" t="b">
        <x:v>0</x:v>
      </x:c>
      <x:c r="F450" t="str">
        <x:v>Air Force Falcons</x:v>
      </x:c>
      <x:c r="G450" t="str">
        <x:v>AFA</x:v>
      </x:c>
      <x:c r="H450" s="69" t="n">
        <x:v>0</x:v>
      </x:c>
      <x:c r="I450" t="str">
        <x:v>1-1</x:v>
      </x:c>
      <x:c r="J450" t="str">
        <x:f>IF(E450&lt;&gt;TRUE,"",IF(H450&gt;M450,"W",IF(H450&lt;M450,"L","T")))</x:f>
      </x:c>
      <x:c r="K450" t="str">
        <x:v>Northern Illinois Huskies</x:v>
      </x:c>
      <x:c r="L450" t="str">
        <x:v>NIU</x:v>
      </x:c>
      <x:c r="M450" s="69" t="n">
        <x:v>0</x:v>
      </x:c>
      <x:c r="N450" t="str">
        <x:v>0-3</x:v>
      </x:c>
      <x:c r="O450" t="str">
        <x:f>IF(E450&lt;&gt;TRUE,"",IF(M450&gt;H450,"W",IF(M450&lt;H450,"L","T")))</x:f>
      </x:c>
      <x:c r="P450" s="66" t="b">
        <x:v>0</x:v>
      </x:c>
      <x:c r="Q450" s="66" t="b">
        <x:v>1</x:v>
      </x:c>
      <x:c r="R450" t="str">
        <x:v>Huskie Stadium</x:v>
      </x:c>
      <x:c r="S450" t="str">
        <x:v>CBSSN</x:v>
      </x:c>
      <x:c r="T450"/>
      <x:c r="U450" s="70"/>
      <x:c r="V450" s="70"/>
      <x:c r="W450"/>
      <x:c r="X450" t="str">
        <x:v>https://www.espn.com/college-football/game/_/gameId/401864516</x:v>
      </x:c>
    </x:row>
    <x:row r="451">
      <x:c r="A451" t="str">
        <x:v>CFB</x:v>
      </x:c>
      <x:c r="B451" t="n">
        <x:v>6</x:v>
      </x:c>
      <x:c r="C451" s="68" t="n">
        <x:v>46306.104166666664</x:v>
      </x:c>
      <x:c r="D451" s="71" t="str">
        <x:v>pre</x:v>
      </x:c>
      <x:c r="E451" s="72" t="b">
        <x:v>0</x:v>
      </x:c>
      <x:c r="F451" t="str">
        <x:v>Boise State Broncos</x:v>
      </x:c>
      <x:c r="G451" t="str">
        <x:v>BOIS</x:v>
      </x:c>
      <x:c r="H451" s="69" t="n">
        <x:v>0</x:v>
      </x:c>
      <x:c r="I451" t="str">
        <x:v>2-1</x:v>
      </x:c>
      <x:c r="J451" t="str">
        <x:f>IF(E451&lt;&gt;TRUE,"",IF(H451&gt;M451,"W",IF(H451&lt;M451,"L","T")))</x:f>
      </x:c>
      <x:c r="K451" t="str">
        <x:v>Fresno State Bulldogs</x:v>
      </x:c>
      <x:c r="L451" t="str">
        <x:v>FRES</x:v>
      </x:c>
      <x:c r="M451" s="69" t="n">
        <x:v>0</x:v>
      </x:c>
      <x:c r="N451" t="str">
        <x:v>2-1</x:v>
      </x:c>
      <x:c r="O451" t="str">
        <x:f>IF(E451&lt;&gt;TRUE,"",IF(M451&gt;H451,"W",IF(M451&lt;H451,"L","T")))</x:f>
      </x:c>
      <x:c r="P451" s="66" t="b">
        <x:v>0</x:v>
      </x:c>
      <x:c r="Q451" s="66" t="b">
        <x:v>1</x:v>
      </x:c>
      <x:c r="R451" t="str">
        <x:v>Valley Children's Stadium</x:v>
      </x:c>
      <x:c r="S451" t="str">
        <x:v>CW</x:v>
      </x:c>
      <x:c r="T451"/>
      <x:c r="U451" s="70"/>
      <x:c r="V451" s="70"/>
      <x:c r="W451"/>
      <x:c r="X451" t="str">
        <x:v>https://www.espn.com/college-football/game/_/gameId/401860901</x:v>
      </x:c>
    </x:row>
    <x:row r="452">
      <x:c r="A452" t="str">
        <x:v>CFB</x:v>
      </x:c>
      <x:c r="B452" t="n">
        <x:v>7</x:v>
      </x:c>
      <x:c r="C452" s="68" t="n">
        <x:v>46308.958333333336</x:v>
      </x:c>
      <x:c r="D452" s="71" t="str">
        <x:v>pre</x:v>
      </x:c>
      <x:c r="E452" s="72" t="b">
        <x:v>0</x:v>
      </x:c>
      <x:c r="F452" t="str">
        <x:v>Delaware Blue Hens</x:v>
      </x:c>
      <x:c r="G452" t="str">
        <x:v>DEL</x:v>
      </x:c>
      <x:c r="H452" s="69" t="n">
        <x:v>0</x:v>
      </x:c>
      <x:c r="I452" t="str">
        <x:v>2-1</x:v>
      </x:c>
      <x:c r="J452" t="str">
        <x:f>IF(E452&lt;&gt;TRUE,"",IF(H452&gt;M452,"W",IF(H452&lt;M452,"L","T")))</x:f>
      </x:c>
      <x:c r="K452" t="str">
        <x:v>Middle Tennessee Blue Raiders</x:v>
      </x:c>
      <x:c r="L452" t="str">
        <x:v>MTSU</x:v>
      </x:c>
      <x:c r="M452" s="69" t="n">
        <x:v>0</x:v>
      </x:c>
      <x:c r="N452" t="str">
        <x:v>2-1</x:v>
      </x:c>
      <x:c r="O452" t="str">
        <x:f>IF(E452&lt;&gt;TRUE,"",IF(M452&gt;H452,"W",IF(M452&lt;H452,"L","T")))</x:f>
      </x:c>
      <x:c r="P452" s="66" t="b">
        <x:v>0</x:v>
      </x:c>
      <x:c r="Q452" s="66" t="b">
        <x:v>1</x:v>
      </x:c>
      <x:c r="R452" t="str">
        <x:v>Johnny "Red" Floyd Stadium</x:v>
      </x:c>
      <x:c r="S452" t="str">
        <x:v>CBSSN</x:v>
      </x:c>
      <x:c r="T452"/>
      <x:c r="U452" s="70"/>
      <x:c r="V452" s="70"/>
      <x:c r="W452"/>
      <x:c r="X452" t="str">
        <x:v>https://www.espn.com/college-football/game/_/gameId/401871067</x:v>
      </x:c>
    </x:row>
    <x:row r="453">
      <x:c r="A453" t="str">
        <x:v>CFB</x:v>
      </x:c>
      <x:c r="B453" t="n">
        <x:v>7</x:v>
      </x:c>
      <x:c r="C453" s="68" t="n">
        <x:v>46309</x:v>
      </x:c>
      <x:c r="D453" s="71" t="str">
        <x:v>pre</x:v>
      </x:c>
      <x:c r="E453" s="72" t="b">
        <x:v>0</x:v>
      </x:c>
      <x:c r="F453" t="str">
        <x:v>Florida International Panthers</x:v>
      </x:c>
      <x:c r="G453" t="str">
        <x:v>FIU</x:v>
      </x:c>
      <x:c r="H453" s="69" t="n">
        <x:v>0</x:v>
      </x:c>
      <x:c r="I453" t="str">
        <x:v>1-2</x:v>
      </x:c>
      <x:c r="J453" t="str">
        <x:f>IF(E453&lt;&gt;TRUE,"",IF(H453&gt;M453,"W",IF(H453&lt;M453,"L","T")))</x:f>
      </x:c>
      <x:c r="K453" t="str">
        <x:v>Jacksonville State Gamecocks</x:v>
      </x:c>
      <x:c r="L453" t="str">
        <x:v>JXST</x:v>
      </x:c>
      <x:c r="M453" s="69" t="n">
        <x:v>0</x:v>
      </x:c>
      <x:c r="N453" t="str">
        <x:v>2-2</x:v>
      </x:c>
      <x:c r="O453" t="str">
        <x:f>IF(E453&lt;&gt;TRUE,"",IF(M453&gt;H453,"W",IF(M453&lt;H453,"L","T")))</x:f>
      </x:c>
      <x:c r="P453" s="66" t="b">
        <x:v>0</x:v>
      </x:c>
      <x:c r="Q453" s="66" t="b">
        <x:v>1</x:v>
      </x:c>
      <x:c r="R453" t="str">
        <x:v>AmFirst Stadium</x:v>
      </x:c>
      <x:c r="S453" t="str">
        <x:v>ESPNU</x:v>
      </x:c>
      <x:c r="T453"/>
      <x:c r="U453" s="70"/>
      <x:c r="V453" s="70"/>
      <x:c r="W453"/>
      <x:c r="X453" t="str">
        <x:v>https://www.espn.com/college-football/game/_/gameId/401871053</x:v>
      </x:c>
    </x:row>
    <x:row r="454">
      <x:c r="A454" t="str">
        <x:v>CFB</x:v>
      </x:c>
      <x:c r="B454" t="n">
        <x:v>7</x:v>
      </x:c>
      <x:c r="C454" s="68" t="n">
        <x:v>46309.979166666664</x:v>
      </x:c>
      <x:c r="D454" s="71" t="str">
        <x:v>pre</x:v>
      </x:c>
      <x:c r="E454" s="72" t="b">
        <x:v>0</x:v>
      </x:c>
      <x:c r="F454" t="str">
        <x:v>Kennesaw State Owls</x:v>
      </x:c>
      <x:c r="G454" t="str">
        <x:v>KENN</x:v>
      </x:c>
      <x:c r="H454" s="69" t="n">
        <x:v>0</x:v>
      </x:c>
      <x:c r="I454" t="str">
        <x:v>1-2</x:v>
      </x:c>
      <x:c r="J454" t="str">
        <x:f>IF(E454&lt;&gt;TRUE,"",IF(H454&gt;M454,"W",IF(H454&lt;M454,"L","T")))</x:f>
      </x:c>
      <x:c r="K454" t="str">
        <x:v>Missouri State Bears</x:v>
      </x:c>
      <x:c r="L454" t="str">
        <x:v>MOST</x:v>
      </x:c>
      <x:c r="M454" s="69" t="n">
        <x:v>0</x:v>
      </x:c>
      <x:c r="N454" t="str">
        <x:v>1-2</x:v>
      </x:c>
      <x:c r="O454" t="str">
        <x:f>IF(E454&lt;&gt;TRUE,"",IF(M454&gt;H454,"W",IF(M454&lt;H454,"L","T")))</x:f>
      </x:c>
      <x:c r="P454" s="66" t="b">
        <x:v>0</x:v>
      </x:c>
      <x:c r="Q454" s="66" t="b">
        <x:v>1</x:v>
      </x:c>
      <x:c r="R454" t="str">
        <x:v>Robert W. Plaster Stadium</x:v>
      </x:c>
      <x:c r="S454" t="str">
        <x:v>CBSSN</x:v>
      </x:c>
      <x:c r="T454"/>
      <x:c r="U454" s="70"/>
      <x:c r="V454" s="70"/>
      <x:c r="W454"/>
      <x:c r="X454" t="str">
        <x:v>https://www.espn.com/college-football/game/_/gameId/401871054</x:v>
      </x:c>
    </x:row>
    <x:row r="455">
      <x:c r="A455" t="str">
        <x:v>CFB</x:v>
      </x:c>
      <x:c r="B455" t="n">
        <x:v>7</x:v>
      </x:c>
      <x:c r="C455" s="68" t="n">
        <x:v>46310</x:v>
      </x:c>
      <x:c r="D455" s="71" t="str">
        <x:v>pre</x:v>
      </x:c>
      <x:c r="E455" s="72" t="b">
        <x:v>0</x:v>
      </x:c>
      <x:c r="F455" t="str">
        <x:v>Western Kentucky Hilltoppers</x:v>
      </x:c>
      <x:c r="G455" t="str">
        <x:v>WKU</x:v>
      </x:c>
      <x:c r="H455" s="69" t="n">
        <x:v>0</x:v>
      </x:c>
      <x:c r="I455" t="str">
        <x:v>0-3</x:v>
      </x:c>
      <x:c r="J455" t="str">
        <x:f>IF(E455&lt;&gt;TRUE,"",IF(H455&gt;M455,"W",IF(H455&lt;M455,"L","T")))</x:f>
      </x:c>
      <x:c r="K455" t="str">
        <x:v>Sam Houston Bearkats</x:v>
      </x:c>
      <x:c r="L455" t="str">
        <x:v>SHSU</x:v>
      </x:c>
      <x:c r="M455" s="69" t="n">
        <x:v>0</x:v>
      </x:c>
      <x:c r="N455" t="str">
        <x:v>1-2</x:v>
      </x:c>
      <x:c r="O455" t="str">
        <x:f>IF(E455&lt;&gt;TRUE,"",IF(M455&gt;H455,"W",IF(M455&lt;H455,"L","T")))</x:f>
      </x:c>
      <x:c r="P455" s="66" t="b">
        <x:v>0</x:v>
      </x:c>
      <x:c r="Q455" s="66" t="b">
        <x:v>1</x:v>
      </x:c>
      <x:c r="R455" t="str">
        <x:v>Elliott T. Bowers Stadium</x:v>
      </x:c>
      <x:c r="S455" t="str">
        <x:v>ESPN2</x:v>
      </x:c>
      <x:c r="T455"/>
      <x:c r="U455" s="70"/>
      <x:c r="V455" s="70"/>
      <x:c r="W455"/>
      <x:c r="X455" t="str">
        <x:v>https://www.espn.com/college-football/game/_/gameId/401871068</x:v>
      </x:c>
    </x:row>
    <x:row r="456">
      <x:c r="A456" t="str">
        <x:v>CFB</x:v>
      </x:c>
      <x:c r="B456" t="n">
        <x:v>7</x:v>
      </x:c>
      <x:c r="C456" s="68" t="n">
        <x:v>46310.979166666664</x:v>
      </x:c>
      <x:c r="D456" s="71" t="str">
        <x:v>pre</x:v>
      </x:c>
      <x:c r="E456" s="72" t="b">
        <x:v>0</x:v>
      </x:c>
      <x:c r="F456" t="str">
        <x:v>East Carolina Pirates</x:v>
      </x:c>
      <x:c r="G456" t="str">
        <x:v>ECU</x:v>
      </x:c>
      <x:c r="H456" s="69" t="n">
        <x:v>0</x:v>
      </x:c>
      <x:c r="I456" t="str">
        <x:v>1-2</x:v>
      </x:c>
      <x:c r="J456" t="str">
        <x:f>IF(E456&lt;&gt;TRUE,"",IF(H456&gt;M456,"W",IF(H456&lt;M456,"L","T")))</x:f>
      </x:c>
      <x:c r="K456" t="str">
        <x:v>UAB Blazers</x:v>
      </x:c>
      <x:c r="L456" t="str">
        <x:v>UAB</x:v>
      </x:c>
      <x:c r="M456" s="69" t="n">
        <x:v>0</x:v>
      </x:c>
      <x:c r="N456" t="str">
        <x:v>1-2</x:v>
      </x:c>
      <x:c r="O456" t="str">
        <x:f>IF(E456&lt;&gt;TRUE,"",IF(M456&gt;H456,"W",IF(M456&lt;H456,"L","T")))</x:f>
      </x:c>
      <x:c r="P456" s="66" t="b">
        <x:v>0</x:v>
      </x:c>
      <x:c r="Q456" s="66" t="b">
        <x:v>1</x:v>
      </x:c>
      <x:c r="R456" t="str">
        <x:v>Protective Stadium</x:v>
      </x:c>
      <x:c r="S456" t="str"/>
      <x:c r="T456"/>
      <x:c r="U456" s="70"/>
      <x:c r="V456" s="70"/>
      <x:c r="W456"/>
      <x:c r="X456" t="str">
        <x:v>https://www.espn.com/college-football/game/_/gameId/401862800</x:v>
      </x:c>
    </x:row>
    <x:row r="457">
      <x:c r="A457" t="str">
        <x:v>CFB</x:v>
      </x:c>
      <x:c r="B457" t="n">
        <x:v>7</x:v>
      </x:c>
      <x:c r="C457" s="68" t="n">
        <x:v>46310.979166666664</x:v>
      </x:c>
      <x:c r="D457" s="71" t="str">
        <x:v>pre</x:v>
      </x:c>
      <x:c r="E457" s="72" t="b">
        <x:v>0</x:v>
      </x:c>
      <x:c r="F457" t="str">
        <x:v>Georgia Southern Eagles</x:v>
      </x:c>
      <x:c r="G457" t="str">
        <x:v>GASO</x:v>
      </x:c>
      <x:c r="H457" s="69" t="n">
        <x:v>0</x:v>
      </x:c>
      <x:c r="I457" t="str">
        <x:v>1-2</x:v>
      </x:c>
      <x:c r="J457" t="str">
        <x:f>IF(E457&lt;&gt;TRUE,"",IF(H457&gt;M457,"W",IF(H457&lt;M457,"L","T")))</x:f>
      </x:c>
      <x:c r="K457" t="str">
        <x:v>Old Dominion Monarchs</x:v>
      </x:c>
      <x:c r="L457" t="str">
        <x:v>ODU</x:v>
      </x:c>
      <x:c r="M457" s="69" t="n">
        <x:v>0</x:v>
      </x:c>
      <x:c r="N457" t="str">
        <x:v>1-2</x:v>
      </x:c>
      <x:c r="O457" t="str">
        <x:f>IF(E457&lt;&gt;TRUE,"",IF(M457&gt;H457,"W",IF(M457&lt;H457,"L","T")))</x:f>
      </x:c>
      <x:c r="P457" s="66" t="b">
        <x:v>0</x:v>
      </x:c>
      <x:c r="Q457" s="66" t="b">
        <x:v>1</x:v>
      </x:c>
      <x:c r="R457" t="str">
        <x:v>S.B. Ballard Stadium</x:v>
      </x:c>
      <x:c r="S457" t="str"/>
      <x:c r="T457"/>
      <x:c r="U457" s="70"/>
      <x:c r="V457" s="70"/>
      <x:c r="W457"/>
      <x:c r="X457" t="str">
        <x:v>https://www.espn.com/college-football/game/_/gameId/401869950</x:v>
      </x:c>
    </x:row>
    <x:row r="458">
      <x:c r="A458" t="str">
        <x:v>CFB</x:v>
      </x:c>
      <x:c r="B458" t="n">
        <x:v>7</x:v>
      </x:c>
      <x:c r="C458" s="68" t="n">
        <x:v>46311</x:v>
      </x:c>
      <x:c r="D458" s="71" t="str">
        <x:v>pre</x:v>
      </x:c>
      <x:c r="E458" s="72" t="b">
        <x:v>0</x:v>
      </x:c>
      <x:c r="F458" t="str">
        <x:v>Colorado State Rams</x:v>
      </x:c>
      <x:c r="G458" t="str">
        <x:v>CSU</x:v>
      </x:c>
      <x:c r="H458" s="69" t="n">
        <x:v>0</x:v>
      </x:c>
      <x:c r="I458" t="str">
        <x:v>2-1</x:v>
      </x:c>
      <x:c r="J458" t="str">
        <x:f>IF(E458&lt;&gt;TRUE,"",IF(H458&gt;M458,"W",IF(H458&lt;M458,"L","T")))</x:f>
      </x:c>
      <x:c r="K458" t="str">
        <x:v>Texas State Bobcats</x:v>
      </x:c>
      <x:c r="L458" t="str">
        <x:v>TXST</x:v>
      </x:c>
      <x:c r="M458" s="69" t="n">
        <x:v>0</x:v>
      </x:c>
      <x:c r="N458" t="str">
        <x:v>1-2</x:v>
      </x:c>
      <x:c r="O458" t="str">
        <x:f>IF(E458&lt;&gt;TRUE,"",IF(M458&gt;H458,"W",IF(M458&lt;H458,"L","T")))</x:f>
      </x:c>
      <x:c r="P458" s="66" t="b">
        <x:v>0</x:v>
      </x:c>
      <x:c r="Q458" s="66" t="b">
        <x:v>1</x:v>
      </x:c>
      <x:c r="R458" t="str">
        <x:v>UFCU Stadium</x:v>
      </x:c>
      <x:c r="S458" t="str">
        <x:v>CBSSN</x:v>
      </x:c>
      <x:c r="T458"/>
      <x:c r="U458" s="70"/>
      <x:c r="V458" s="70"/>
      <x:c r="W458"/>
      <x:c r="X458" t="str">
        <x:v>https://www.espn.com/college-football/game/_/gameId/401860923</x:v>
      </x:c>
    </x:row>
    <x:row r="459">
      <x:c r="A459" t="str">
        <x:v>CFB</x:v>
      </x:c>
      <x:c r="B459" t="n">
        <x:v>7</x:v>
      </x:c>
      <x:c r="C459" s="68" t="n">
        <x:v>46311.979166666664</x:v>
      </x:c>
      <x:c r="D459" s="71" t="str">
        <x:v>pre</x:v>
      </x:c>
      <x:c r="E459" s="72" t="b">
        <x:v>0</x:v>
      </x:c>
      <x:c r="F459" t="str">
        <x:v>Memphis Tigers</x:v>
      </x:c>
      <x:c r="G459" t="str">
        <x:v>MEM</x:v>
      </x:c>
      <x:c r="H459" s="69" t="n">
        <x:v>0</x:v>
      </x:c>
      <x:c r="I459" t="str">
        <x:v>3-1</x:v>
      </x:c>
      <x:c r="J459" t="str">
        <x:f>IF(E459&lt;&gt;TRUE,"",IF(H459&gt;M459,"W",IF(H459&lt;M459,"L","T")))</x:f>
      </x:c>
      <x:c r="K459" t="str">
        <x:v>Tulane Green Wave</x:v>
      </x:c>
      <x:c r="L459" t="str">
        <x:v>TULN</x:v>
      </x:c>
      <x:c r="M459" s="69" t="n">
        <x:v>0</x:v>
      </x:c>
      <x:c r="N459" t="str">
        <x:v>1-2</x:v>
      </x:c>
      <x:c r="O459" t="str">
        <x:f>IF(E459&lt;&gt;TRUE,"",IF(M459&gt;H459,"W",IF(M459&lt;H459,"L","T")))</x:f>
      </x:c>
      <x:c r="P459" s="66" t="b">
        <x:v>0</x:v>
      </x:c>
      <x:c r="Q459" s="66" t="b">
        <x:v>1</x:v>
      </x:c>
      <x:c r="R459" t="str">
        <x:v>Yulman Stadium</x:v>
      </x:c>
      <x:c r="S459" t="str">
        <x:v>ESPN</x:v>
      </x:c>
      <x:c r="T459"/>
      <x:c r="U459" s="70"/>
      <x:c r="V459" s="70"/>
      <x:c r="W459"/>
      <x:c r="X459" t="str">
        <x:v>https://www.espn.com/college-football/game/_/gameId/401862801</x:v>
      </x:c>
    </x:row>
    <x:row r="460">
      <x:c r="A460" t="str">
        <x:v>CFB</x:v>
      </x:c>
      <x:c r="B460" t="n">
        <x:v>7</x:v>
      </x:c>
      <x:c r="C460" s="68" t="n">
        <x:v>46312</x:v>
      </x:c>
      <x:c r="D460" s="71" t="str">
        <x:v>pre</x:v>
      </x:c>
      <x:c r="E460" s="72" t="b">
        <x:v>0</x:v>
      </x:c>
      <x:c r="F460" t="str">
        <x:v>Washington Huskies</x:v>
      </x:c>
      <x:c r="G460" t="str">
        <x:v>WASH</x:v>
      </x:c>
      <x:c r="H460" s="69" t="n">
        <x:v>0</x:v>
      </x:c>
      <x:c r="I460" t="str">
        <x:v>3-0</x:v>
      </x:c>
      <x:c r="J460" t="str">
        <x:f>IF(E460&lt;&gt;TRUE,"",IF(H460&gt;M460,"W",IF(H460&lt;M460,"L","T")))</x:f>
      </x:c>
      <x:c r="K460" t="str">
        <x:v>Purdue Boilermakers</x:v>
      </x:c>
      <x:c r="L460" t="str">
        <x:v>PUR</x:v>
      </x:c>
      <x:c r="M460" s="69" t="n">
        <x:v>0</x:v>
      </x:c>
      <x:c r="N460" t="str">
        <x:v>1-2</x:v>
      </x:c>
      <x:c r="O460" t="str">
        <x:f>IF(E460&lt;&gt;TRUE,"",IF(M460&gt;H460,"W",IF(M460&lt;H460,"L","T")))</x:f>
      </x:c>
      <x:c r="P460" s="66" t="b">
        <x:v>0</x:v>
      </x:c>
      <x:c r="Q460" s="66" t="b">
        <x:v>1</x:v>
      </x:c>
      <x:c r="R460" t="str">
        <x:v>Ross-Ade Stadium</x:v>
      </x:c>
      <x:c r="S460" t="str">
        <x:v>FOX</x:v>
      </x:c>
      <x:c r="T460"/>
      <x:c r="U460" s="70"/>
      <x:c r="V460" s="70"/>
      <x:c r="W460"/>
      <x:c r="X460" t="str">
        <x:v>https://www.espn.com/college-football/game/_/gameId/401858493</x:v>
      </x:c>
    </x:row>
    <x:row r="461">
      <x:c r="A461" t="str">
        <x:v>CFB</x:v>
      </x:c>
      <x:c r="B461" t="n">
        <x:v>7</x:v>
      </x:c>
      <x:c r="C461" s="68" t="n">
        <x:v>46312</x:v>
      </x:c>
      <x:c r="D461" s="71" t="str">
        <x:v>pre</x:v>
      </x:c>
      <x:c r="E461" s="72" t="b">
        <x:v>0</x:v>
      </x:c>
      <x:c r="F461" t="str">
        <x:v>App State Mountaineers</x:v>
      </x:c>
      <x:c r="G461" t="str">
        <x:v>APP</x:v>
      </x:c>
      <x:c r="H461" s="69" t="n">
        <x:v>0</x:v>
      </x:c>
      <x:c r="I461" t="str">
        <x:v>3-0</x:v>
      </x:c>
      <x:c r="J461" t="str">
        <x:f>IF(E461&lt;&gt;TRUE,"",IF(H461&gt;M461,"W",IF(H461&lt;M461,"L","T")))</x:f>
      </x:c>
      <x:c r="K461" t="str">
        <x:v>Coastal Carolina Chanticleers</x:v>
      </x:c>
      <x:c r="L461" t="str">
        <x:v>CCU</x:v>
      </x:c>
      <x:c r="M461" s="69" t="n">
        <x:v>0</x:v>
      </x:c>
      <x:c r="N461" t="str">
        <x:v>1-2</x:v>
      </x:c>
      <x:c r="O461" t="str">
        <x:f>IF(E461&lt;&gt;TRUE,"",IF(M461&gt;H461,"W",IF(M461&lt;H461,"L","T")))</x:f>
      </x:c>
      <x:c r="P461" s="66" t="b">
        <x:v>0</x:v>
      </x:c>
      <x:c r="Q461" s="66" t="b">
        <x:v>1</x:v>
      </x:c>
      <x:c r="R461" t="str">
        <x:v>Brooks Stadium (SC)</x:v>
      </x:c>
      <x:c r="S461" t="str">
        <x:v>ESPN2</x:v>
      </x:c>
      <x:c r="T461"/>
      <x:c r="U461" s="70"/>
      <x:c r="V461" s="70"/>
      <x:c r="W461"/>
      <x:c r="X461" t="str">
        <x:v>https://www.espn.com/college-football/game/_/gameId/401869844</x:v>
      </x:c>
    </x:row>
    <x:row r="462">
      <x:c r="A462" t="str">
        <x:v>CFB</x:v>
      </x:c>
      <x:c r="B462" t="n">
        <x:v>7</x:v>
      </x:c>
      <x:c r="C462" s="68" t="n">
        <x:v>46312</x:v>
      </x:c>
      <x:c r="D462" s="71" t="str">
        <x:v>pre</x:v>
      </x:c>
      <x:c r="E462" s="72" t="b">
        <x:v>0</x:v>
      </x:c>
      <x:c r="F462" t="str">
        <x:v>Auburn Tigers</x:v>
      </x:c>
      <x:c r="G462" t="str">
        <x:v>AUB</x:v>
      </x:c>
      <x:c r="H462" s="69" t="n">
        <x:v>0</x:v>
      </x:c>
      <x:c r="I462" t="str">
        <x:v>2-1</x:v>
      </x:c>
      <x:c r="J462" t="str">
        <x:f>IF(E462&lt;&gt;TRUE,"",IF(H462&gt;M462,"W",IF(H462&lt;M462,"L","T")))</x:f>
      </x:c>
      <x:c r="K462" t="str">
        <x:v>Georgia Bulldogs</x:v>
      </x:c>
      <x:c r="L462" t="str">
        <x:v>UGA</x:v>
      </x:c>
      <x:c r="M462" s="69" t="n">
        <x:v>0</x:v>
      </x:c>
      <x:c r="N462" t="str">
        <x:v>3-0</x:v>
      </x:c>
      <x:c r="O462" t="str">
        <x:f>IF(E462&lt;&gt;TRUE,"",IF(M462&gt;H462,"W",IF(M462&lt;H462,"L","T")))</x:f>
      </x:c>
      <x:c r="P462" s="66" t="b">
        <x:v>0</x:v>
      </x:c>
      <x:c r="Q462" s="66" t="b">
        <x:v>1</x:v>
      </x:c>
      <x:c r="R462" t="str">
        <x:v>Sanford Stadium</x:v>
      </x:c>
      <x:c r="S462" t="str"/>
      <x:c r="T462" t="str">
        <x:v>UGA -16.5</x:v>
      </x:c>
      <x:c r="U462" s="70" t="n">
        <x:v>-16.5</x:v>
      </x:c>
      <x:c r="V462" s="70" t="n">
        <x:v>54.5</x:v>
      </x:c>
      <x:c r="W462" t="str">
        <x:v>DraftKings</x:v>
      </x:c>
      <x:c r="X462" t="str">
        <x:v>https://www.espn.com/college-football/game/_/gameId/401856719</x:v>
      </x:c>
    </x:row>
    <x:row r="463">
      <x:c r="A463" t="str">
        <x:v>CFB</x:v>
      </x:c>
      <x:c r="B463" t="n">
        <x:v>7</x:v>
      </x:c>
      <x:c r="C463" s="68" t="n">
        <x:v>46312</x:v>
      </x:c>
      <x:c r="D463" s="71" t="str">
        <x:v>pre</x:v>
      </x:c>
      <x:c r="E463" s="72" t="b">
        <x:v>0</x:v>
      </x:c>
      <x:c r="F463" t="str">
        <x:v>Mississippi State Bulldogs</x:v>
      </x:c>
      <x:c r="G463" t="str">
        <x:v>MSST</x:v>
      </x:c>
      <x:c r="H463" s="69" t="n">
        <x:v>0</x:v>
      </x:c>
      <x:c r="I463" t="str">
        <x:v>3-0</x:v>
      </x:c>
      <x:c r="J463" t="str">
        <x:f>IF(E463&lt;&gt;TRUE,"",IF(H463&gt;M463,"W",IF(H463&lt;M463,"L","T")))</x:f>
      </x:c>
      <x:c r="K463" t="str">
        <x:v>LSU Tigers</x:v>
      </x:c>
      <x:c r="L463" t="str">
        <x:v>LSU</x:v>
      </x:c>
      <x:c r="M463" s="69" t="n">
        <x:v>0</x:v>
      </x:c>
      <x:c r="N463" t="str">
        <x:v>2-1</x:v>
      </x:c>
      <x:c r="O463" t="str">
        <x:f>IF(E463&lt;&gt;TRUE,"",IF(M463&gt;H463,"W",IF(M463&lt;H463,"L","T")))</x:f>
      </x:c>
      <x:c r="P463" s="66" t="b">
        <x:v>0</x:v>
      </x:c>
      <x:c r="Q463" s="66" t="b">
        <x:v>1</x:v>
      </x:c>
      <x:c r="R463" t="str">
        <x:v>Tiger Stadium (LA)</x:v>
      </x:c>
      <x:c r="S463" t="str"/>
      <x:c r="T463"/>
      <x:c r="U463" s="70"/>
      <x:c r="V463" s="70"/>
      <x:c r="W463"/>
      <x:c r="X463" t="str">
        <x:v>https://www.espn.com/college-football/game/_/gameId/401856720</x:v>
      </x:c>
    </x:row>
    <x:row r="464">
      <x:c r="A464" t="str">
        <x:v>CFB</x:v>
      </x:c>
      <x:c r="B464" t="n">
        <x:v>7</x:v>
      </x:c>
      <x:c r="C464" s="68" t="n">
        <x:v>46312</x:v>
      </x:c>
      <x:c r="D464" s="71" t="str">
        <x:v>pre</x:v>
      </x:c>
      <x:c r="E464" s="72" t="b">
        <x:v>0</x:v>
      </x:c>
      <x:c r="F464" t="str">
        <x:v>Missouri Tigers</x:v>
      </x:c>
      <x:c r="G464" t="str">
        <x:v>MIZ</x:v>
      </x:c>
      <x:c r="H464" s="69" t="n">
        <x:v>0</x:v>
      </x:c>
      <x:c r="I464" t="str">
        <x:v>3-0</x:v>
      </x:c>
      <x:c r="J464" t="str">
        <x:f>IF(E464&lt;&gt;TRUE,"",IF(H464&gt;M464,"W",IF(H464&lt;M464,"L","T")))</x:f>
      </x:c>
      <x:c r="K464" t="str">
        <x:v>Ole Miss Rebels</x:v>
      </x:c>
      <x:c r="L464" t="str">
        <x:v>MISS</x:v>
      </x:c>
      <x:c r="M464" s="69" t="n">
        <x:v>0</x:v>
      </x:c>
      <x:c r="N464" t="str">
        <x:v>3-0</x:v>
      </x:c>
      <x:c r="O464" t="str">
        <x:f>IF(E464&lt;&gt;TRUE,"",IF(M464&gt;H464,"W",IF(M464&lt;H464,"L","T")))</x:f>
      </x:c>
      <x:c r="P464" s="66" t="b">
        <x:v>0</x:v>
      </x:c>
      <x:c r="Q464" s="66" t="b">
        <x:v>1</x:v>
      </x:c>
      <x:c r="R464" t="str">
        <x:v>Vaught-Hemingway Stadium</x:v>
      </x:c>
      <x:c r="S464" t="str"/>
      <x:c r="T464"/>
      <x:c r="U464" s="70"/>
      <x:c r="V464" s="70"/>
      <x:c r="W464"/>
      <x:c r="X464" t="str">
        <x:v>https://www.espn.com/college-football/game/_/gameId/401856721</x:v>
      </x:c>
    </x:row>
    <x:row r="465">
      <x:c r="A465" t="str">
        <x:v>CFB</x:v>
      </x:c>
      <x:c r="B465" t="n">
        <x:v>7</x:v>
      </x:c>
      <x:c r="C465" s="68" t="n">
        <x:v>46312</x:v>
      </x:c>
      <x:c r="D465" s="71" t="str">
        <x:v>pre</x:v>
      </x:c>
      <x:c r="E465" s="72" t="b">
        <x:v>0</x:v>
      </x:c>
      <x:c r="F465" t="str">
        <x:v>Kentucky Wildcats</x:v>
      </x:c>
      <x:c r="G465" t="str">
        <x:v>UK</x:v>
      </x:c>
      <x:c r="H465" s="69" t="n">
        <x:v>0</x:v>
      </x:c>
      <x:c r="I465" t="str">
        <x:v>2-1</x:v>
      </x:c>
      <x:c r="J465" t="str">
        <x:f>IF(E465&lt;&gt;TRUE,"",IF(H465&gt;M465,"W",IF(H465&lt;M465,"L","T")))</x:f>
      </x:c>
      <x:c r="K465" t="str">
        <x:v>Oklahoma Sooners</x:v>
      </x:c>
      <x:c r="L465" t="str">
        <x:v>OU</x:v>
      </x:c>
      <x:c r="M465" s="69" t="n">
        <x:v>0</x:v>
      </x:c>
      <x:c r="N465" t="str">
        <x:v>2-1</x:v>
      </x:c>
      <x:c r="O465" t="str">
        <x:f>IF(E465&lt;&gt;TRUE,"",IF(M465&gt;H465,"W",IF(M465&lt;H465,"L","T")))</x:f>
      </x:c>
      <x:c r="P465" s="66" t="b">
        <x:v>0</x:v>
      </x:c>
      <x:c r="Q465" s="66" t="b">
        <x:v>1</x:v>
      </x:c>
      <x:c r="R465" t="str">
        <x:v>Memorial Stadium (Norman, OK)</x:v>
      </x:c>
      <x:c r="S465" t="str"/>
      <x:c r="T465"/>
      <x:c r="U465" s="70"/>
      <x:c r="V465" s="70"/>
      <x:c r="W465"/>
      <x:c r="X465" t="str">
        <x:v>https://www.espn.com/college-football/game/_/gameId/401856722</x:v>
      </x:c>
    </x:row>
    <x:row r="466">
      <x:c r="A466" t="str">
        <x:v>CFB</x:v>
      </x:c>
      <x:c r="B466" t="n">
        <x:v>7</x:v>
      </x:c>
      <x:c r="C466" s="68" t="n">
        <x:v>46312</x:v>
      </x:c>
      <x:c r="D466" s="71" t="str">
        <x:v>pre</x:v>
      </x:c>
      <x:c r="E466" s="72" t="b">
        <x:v>0</x:v>
      </x:c>
      <x:c r="F466" t="str">
        <x:v>Alabama Crimson Tide</x:v>
      </x:c>
      <x:c r="G466" t="str">
        <x:v>ALA</x:v>
      </x:c>
      <x:c r="H466" s="69" t="n">
        <x:v>0</x:v>
      </x:c>
      <x:c r="I466" t="str">
        <x:v>3-0</x:v>
      </x:c>
      <x:c r="J466" t="str">
        <x:f>IF(E466&lt;&gt;TRUE,"",IF(H466&gt;M466,"W",IF(H466&lt;M466,"L","T")))</x:f>
      </x:c>
      <x:c r="K466" t="str">
        <x:v>Tennessee Volunteers</x:v>
      </x:c>
      <x:c r="L466" t="str">
        <x:v>TENN</x:v>
      </x:c>
      <x:c r="M466" s="69" t="n">
        <x:v>0</x:v>
      </x:c>
      <x:c r="N466" t="str">
        <x:v>3-0</x:v>
      </x:c>
      <x:c r="O466" t="str">
        <x:f>IF(E466&lt;&gt;TRUE,"",IF(M466&gt;H466,"W",IF(M466&lt;H466,"L","T")))</x:f>
      </x:c>
      <x:c r="P466" s="66" t="b">
        <x:v>0</x:v>
      </x:c>
      <x:c r="Q466" s="66" t="b">
        <x:v>1</x:v>
      </x:c>
      <x:c r="R466" t="str">
        <x:v>Neyland Stadium</x:v>
      </x:c>
      <x:c r="S466" t="str"/>
      <x:c r="T466" t="str">
        <x:v>ALA -1.5</x:v>
      </x:c>
      <x:c r="U466" s="70" t="n">
        <x:v>1.5</x:v>
      </x:c>
      <x:c r="V466" s="70" t="n">
        <x:v>56.5</x:v>
      </x:c>
      <x:c r="W466" t="str">
        <x:v>DraftKings</x:v>
      </x:c>
      <x:c r="X466" t="str">
        <x:v>https://www.espn.com/college-football/game/_/gameId/401856723</x:v>
      </x:c>
    </x:row>
    <x:row r="467">
      <x:c r="A467" t="str">
        <x:v>CFB</x:v>
      </x:c>
      <x:c r="B467" t="n">
        <x:v>7</x:v>
      </x:c>
      <x:c r="C467" s="68" t="n">
        <x:v>46312</x:v>
      </x:c>
      <x:c r="D467" s="71" t="str">
        <x:v>pre</x:v>
      </x:c>
      <x:c r="E467" s="72" t="b">
        <x:v>0</x:v>
      </x:c>
      <x:c r="F467" t="str">
        <x:v>Florida Gators</x:v>
      </x:c>
      <x:c r="G467" t="str">
        <x:v>FLA</x:v>
      </x:c>
      <x:c r="H467" s="69" t="n">
        <x:v>0</x:v>
      </x:c>
      <x:c r="I467" t="str">
        <x:v>3-0</x:v>
      </x:c>
      <x:c r="J467" t="str">
        <x:f>IF(E467&lt;&gt;TRUE,"",IF(H467&gt;M467,"W",IF(H467&lt;M467,"L","T")))</x:f>
      </x:c>
      <x:c r="K467" t="str">
        <x:v>Texas Longhorns</x:v>
      </x:c>
      <x:c r="L467" t="str">
        <x:v>TEX</x:v>
      </x:c>
      <x:c r="M467" s="69" t="n">
        <x:v>0</x:v>
      </x:c>
      <x:c r="N467" t="str">
        <x:v>3-0</x:v>
      </x:c>
      <x:c r="O467" t="str">
        <x:f>IF(E467&lt;&gt;TRUE,"",IF(M467&gt;H467,"W",IF(M467&lt;H467,"L","T")))</x:f>
      </x:c>
      <x:c r="P467" s="66" t="b">
        <x:v>0</x:v>
      </x:c>
      <x:c r="Q467" s="66" t="b">
        <x:v>1</x:v>
      </x:c>
      <x:c r="R467" t="str">
        <x:v>DKR-Texas Memorial Stadium</x:v>
      </x:c>
      <x:c r="S467" t="str"/>
      <x:c r="T467"/>
      <x:c r="U467" s="70"/>
      <x:c r="V467" s="70"/>
      <x:c r="W467"/>
      <x:c r="X467" t="str">
        <x:v>https://www.espn.com/college-football/game/_/gameId/401856724</x:v>
      </x:c>
    </x:row>
    <x:row r="468">
      <x:c r="A468" t="str">
        <x:v>CFB</x:v>
      </x:c>
      <x:c r="B468" t="n">
        <x:v>7</x:v>
      </x:c>
      <x:c r="C468" s="68" t="n">
        <x:v>46312</x:v>
      </x:c>
      <x:c r="D468" s="71" t="str">
        <x:v>pre</x:v>
      </x:c>
      <x:c r="E468" s="72" t="b">
        <x:v>0</x:v>
      </x:c>
      <x:c r="F468" t="str">
        <x:v>Arkansas Razorbacks</x:v>
      </x:c>
      <x:c r="G468" t="str">
        <x:v>ARK</x:v>
      </x:c>
      <x:c r="H468" s="69" t="n">
        <x:v>0</x:v>
      </x:c>
      <x:c r="I468" t="str">
        <x:v>1-2</x:v>
      </x:c>
      <x:c r="J468" t="str">
        <x:f>IF(E468&lt;&gt;TRUE,"",IF(H468&gt;M468,"W",IF(H468&lt;M468,"L","T")))</x:f>
      </x:c>
      <x:c r="K468" t="str">
        <x:v>Vanderbilt Commodores</x:v>
      </x:c>
      <x:c r="L468" t="str">
        <x:v>VAN</x:v>
      </x:c>
      <x:c r="M468" s="69" t="n">
        <x:v>0</x:v>
      </x:c>
      <x:c r="N468" t="str">
        <x:v>3-0</x:v>
      </x:c>
      <x:c r="O468" t="str">
        <x:f>IF(E468&lt;&gt;TRUE,"",IF(M468&gt;H468,"W",IF(M468&lt;H468,"L","T")))</x:f>
      </x:c>
      <x:c r="P468" s="66" t="b">
        <x:v>0</x:v>
      </x:c>
      <x:c r="Q468" s="66" t="b">
        <x:v>1</x:v>
      </x:c>
      <x:c r="R468" t="str">
        <x:v>FirstBank Stadium</x:v>
      </x:c>
      <x:c r="S468" t="str"/>
      <x:c r="T468"/>
      <x:c r="U468" s="70"/>
      <x:c r="V468" s="70"/>
      <x:c r="W468"/>
      <x:c r="X468" t="str">
        <x:v>https://www.espn.com/college-football/game/_/gameId/401856726</x:v>
      </x:c>
    </x:row>
    <x:row r="469">
      <x:c r="A469" t="str">
        <x:v>CFB</x:v>
      </x:c>
      <x:c r="B469" t="n">
        <x:v>7</x:v>
      </x:c>
      <x:c r="C469" s="68" t="n">
        <x:v>46312</x:v>
      </x:c>
      <x:c r="D469" s="71" t="str">
        <x:v>pre</x:v>
      </x:c>
      <x:c r="E469" s="72" t="b">
        <x:v>0</x:v>
      </x:c>
      <x:c r="F469" t="str">
        <x:v>Notre Dame Fighting Irish</x:v>
      </x:c>
      <x:c r="G469" t="str">
        <x:v>ND</x:v>
      </x:c>
      <x:c r="H469" s="69" t="n">
        <x:v>0</x:v>
      </x:c>
      <x:c r="I469" t="str">
        <x:v>3-0</x:v>
      </x:c>
      <x:c r="J469" t="str">
        <x:f>IF(E469&lt;&gt;TRUE,"",IF(H469&gt;M469,"W",IF(H469&lt;M469,"L","T")))</x:f>
      </x:c>
      <x:c r="K469" t="str">
        <x:v>BYU Cougars</x:v>
      </x:c>
      <x:c r="L469" t="str">
        <x:v>BYU</x:v>
      </x:c>
      <x:c r="M469" s="69" t="n">
        <x:v>0</x:v>
      </x:c>
      <x:c r="N469" t="str">
        <x:v>3-0</x:v>
      </x:c>
      <x:c r="O469" t="str">
        <x:f>IF(E469&lt;&gt;TRUE,"",IF(M469&gt;H469,"W",IF(M469&lt;H469,"L","T")))</x:f>
      </x:c>
      <x:c r="P469" s="66" t="b">
        <x:v>0</x:v>
      </x:c>
      <x:c r="Q469" s="66" t="b">
        <x:v>0</x:v>
      </x:c>
      <x:c r="R469" t="str">
        <x:v>LaVell Edwards Stadium</x:v>
      </x:c>
      <x:c r="S469" t="str"/>
      <x:c r="T469" t="str">
        <x:v>ND -10</x:v>
      </x:c>
      <x:c r="U469" s="70" t="n">
        <x:v>10</x:v>
      </x:c>
      <x:c r="V469" s="70" t="n">
        <x:v>54.5</x:v>
      </x:c>
      <x:c r="W469" t="str">
        <x:v>DraftKings</x:v>
      </x:c>
      <x:c r="X469" t="str">
        <x:v>https://www.espn.com/college-football/game/_/gameId/401856809</x:v>
      </x:c>
    </x:row>
    <x:row r="470">
      <x:c r="A470" t="str">
        <x:v>CFB</x:v>
      </x:c>
      <x:c r="B470" t="n">
        <x:v>7</x:v>
      </x:c>
      <x:c r="C470" s="68" t="n">
        <x:v>46312</x:v>
      </x:c>
      <x:c r="D470" s="71" t="str">
        <x:v>pre</x:v>
      </x:c>
      <x:c r="E470" s="72" t="b">
        <x:v>0</x:v>
      </x:c>
      <x:c r="F470" t="str">
        <x:v>Arizona State Sun Devils</x:v>
      </x:c>
      <x:c r="G470" t="str">
        <x:v>ASU</x:v>
      </x:c>
      <x:c r="H470" s="69" t="n">
        <x:v>0</x:v>
      </x:c>
      <x:c r="I470" t="str">
        <x:v>2-1</x:v>
      </x:c>
      <x:c r="J470" t="str">
        <x:f>IF(E470&lt;&gt;TRUE,"",IF(H470&gt;M470,"W",IF(H470&lt;M470,"L","T")))</x:f>
      </x:c>
      <x:c r="K470" t="str">
        <x:v>Texas Tech Red Raiders</x:v>
      </x:c>
      <x:c r="L470" t="str">
        <x:v>TTU</x:v>
      </x:c>
      <x:c r="M470" s="69" t="n">
        <x:v>0</x:v>
      </x:c>
      <x:c r="N470" t="str">
        <x:v>3-0</x:v>
      </x:c>
      <x:c r="O470" t="str">
        <x:f>IF(E470&lt;&gt;TRUE,"",IF(M470&gt;H470,"W",IF(M470&lt;H470,"L","T")))</x:f>
      </x:c>
      <x:c r="P470" s="66" t="b">
        <x:v>0</x:v>
      </x:c>
      <x:c r="Q470" s="66" t="b">
        <x:v>1</x:v>
      </x:c>
      <x:c r="R470" t="str">
        <x:v>Galaxy Stadium</x:v>
      </x:c>
      <x:c r="S470" t="str"/>
      <x:c r="T470"/>
      <x:c r="U470" s="70"/>
      <x:c r="V470" s="70"/>
      <x:c r="W470"/>
      <x:c r="X470" t="str">
        <x:v>https://www.espn.com/college-football/game/_/gameId/401856828</x:v>
      </x:c>
    </x:row>
    <x:row r="471">
      <x:c r="A471" t="str">
        <x:v>CFB</x:v>
      </x:c>
      <x:c r="B471" t="n">
        <x:v>7</x:v>
      </x:c>
      <x:c r="C471" s="68" t="n">
        <x:v>46312</x:v>
      </x:c>
      <x:c r="D471" s="71" t="str">
        <x:v>pre</x:v>
      </x:c>
      <x:c r="E471" s="72" t="b">
        <x:v>0</x:v>
      </x:c>
      <x:c r="F471" t="str">
        <x:v>Cincinnati Bearcats</x:v>
      </x:c>
      <x:c r="G471" t="str">
        <x:v>CIN</x:v>
      </x:c>
      <x:c r="H471" s="69" t="n">
        <x:v>0</x:v>
      </x:c>
      <x:c r="I471" t="str">
        <x:v>3-0</x:v>
      </x:c>
      <x:c r="J471" t="str">
        <x:f>IF(E471&lt;&gt;TRUE,"",IF(H471&gt;M471,"W",IF(H471&lt;M471,"L","T")))</x:f>
      </x:c>
      <x:c r="K471" t="str">
        <x:v>West Virginia Mountaineers</x:v>
      </x:c>
      <x:c r="L471" t="str">
        <x:v>WVU</x:v>
      </x:c>
      <x:c r="M471" s="69" t="n">
        <x:v>0</x:v>
      </x:c>
      <x:c r="N471" t="str">
        <x:v>3-0</x:v>
      </x:c>
      <x:c r="O471" t="str">
        <x:f>IF(E471&lt;&gt;TRUE,"",IF(M471&gt;H471,"W",IF(M471&lt;H471,"L","T")))</x:f>
      </x:c>
      <x:c r="P471" s="66" t="b">
        <x:v>0</x:v>
      </x:c>
      <x:c r="Q471" s="66" t="b">
        <x:v>1</x:v>
      </x:c>
      <x:c r="R471" t="str">
        <x:v>Milan Puskar Stadium</x:v>
      </x:c>
      <x:c r="S471" t="str"/>
      <x:c r="T471"/>
      <x:c r="U471" s="70"/>
      <x:c r="V471" s="70"/>
      <x:c r="W471"/>
      <x:c r="X471" t="str">
        <x:v>https://www.espn.com/college-football/game/_/gameId/401856829</x:v>
      </x:c>
    </x:row>
    <x:row r="472">
      <x:c r="A472" t="str">
        <x:v>CFB</x:v>
      </x:c>
      <x:c r="B472" t="n">
        <x:v>7</x:v>
      </x:c>
      <x:c r="C472" s="68" t="n">
        <x:v>46312</x:v>
      </x:c>
      <x:c r="D472" s="71" t="str">
        <x:v>pre</x:v>
      </x:c>
      <x:c r="E472" s="72" t="b">
        <x:v>0</x:v>
      </x:c>
      <x:c r="F472" t="str">
        <x:v>Kansas Jayhawks</x:v>
      </x:c>
      <x:c r="G472" t="str">
        <x:v>KU</x:v>
      </x:c>
      <x:c r="H472" s="69" t="n">
        <x:v>0</x:v>
      </x:c>
      <x:c r="I472" t="str">
        <x:v>1-2</x:v>
      </x:c>
      <x:c r="J472" t="str">
        <x:f>IF(E472&lt;&gt;TRUE,"",IF(H472&gt;M472,"W",IF(H472&lt;M472,"L","T")))</x:f>
      </x:c>
      <x:c r="K472" t="str">
        <x:v>Kansas State Wildcats</x:v>
      </x:c>
      <x:c r="L472" t="str">
        <x:v>KSU</x:v>
      </x:c>
      <x:c r="M472" s="69" t="n">
        <x:v>0</x:v>
      </x:c>
      <x:c r="N472" t="str">
        <x:v>3-0</x:v>
      </x:c>
      <x:c r="O472" t="str">
        <x:f>IF(E472&lt;&gt;TRUE,"",IF(M472&gt;H472,"W",IF(M472&lt;H472,"L","T")))</x:f>
      </x:c>
      <x:c r="P472" s="66" t="b">
        <x:v>0</x:v>
      </x:c>
      <x:c r="Q472" s="66" t="b">
        <x:v>1</x:v>
      </x:c>
      <x:c r="R472" t="str">
        <x:v>Bill Snyder Family Stadium</x:v>
      </x:c>
      <x:c r="S472" t="str"/>
      <x:c r="T472" t="str">
        <x:v>KSU -7.5</x:v>
      </x:c>
      <x:c r="U472" s="70" t="n">
        <x:v>-7.5</x:v>
      </x:c>
      <x:c r="V472" s="70" t="n">
        <x:v>54.5</x:v>
      </x:c>
      <x:c r="W472" t="str">
        <x:v>DraftKings</x:v>
      </x:c>
      <x:c r="X472" t="str">
        <x:v>https://www.espn.com/college-football/game/_/gameId/401856830</x:v>
      </x:c>
    </x:row>
    <x:row r="473">
      <x:c r="A473" t="str">
        <x:v>CFB</x:v>
      </x:c>
      <x:c r="B473" t="n">
        <x:v>7</x:v>
      </x:c>
      <x:c r="C473" s="68" t="n">
        <x:v>46312</x:v>
      </x:c>
      <x:c r="D473" s="71" t="str">
        <x:v>pre</x:v>
      </x:c>
      <x:c r="E473" s="72" t="b">
        <x:v>0</x:v>
      </x:c>
      <x:c r="F473" t="str">
        <x:v>Oklahoma State Cowboys</x:v>
      </x:c>
      <x:c r="G473" t="str">
        <x:v>OKST</x:v>
      </x:c>
      <x:c r="H473" s="69" t="n">
        <x:v>0</x:v>
      </x:c>
      <x:c r="I473" t="str">
        <x:v>2-1</x:v>
      </x:c>
      <x:c r="J473" t="str">
        <x:f>IF(E473&lt;&gt;TRUE,"",IF(H473&gt;M473,"W",IF(H473&lt;M473,"L","T")))</x:f>
      </x:c>
      <x:c r="K473" t="str">
        <x:v>Houston Cougars</x:v>
      </x:c>
      <x:c r="L473" t="str">
        <x:v>HOU</x:v>
      </x:c>
      <x:c r="M473" s="69" t="n">
        <x:v>0</x:v>
      </x:c>
      <x:c r="N473" t="str">
        <x:v>2-1</x:v>
      </x:c>
      <x:c r="O473" t="str">
        <x:f>IF(E473&lt;&gt;TRUE,"",IF(M473&gt;H473,"W",IF(M473&lt;H473,"L","T")))</x:f>
      </x:c>
      <x:c r="P473" s="66" t="b">
        <x:v>0</x:v>
      </x:c>
      <x:c r="Q473" s="66" t="b">
        <x:v>1</x:v>
      </x:c>
      <x:c r="R473" t="str">
        <x:v>TDECU Stadium</x:v>
      </x:c>
      <x:c r="S473" t="str"/>
      <x:c r="T473"/>
      <x:c r="U473" s="70"/>
      <x:c r="V473" s="70"/>
      <x:c r="W473"/>
      <x:c r="X473" t="str">
        <x:v>https://www.espn.com/college-football/game/_/gameId/401856831</x:v>
      </x:c>
    </x:row>
    <x:row r="474">
      <x:c r="A474" t="str">
        <x:v>CFB</x:v>
      </x:c>
      <x:c r="B474" t="n">
        <x:v>7</x:v>
      </x:c>
      <x:c r="C474" s="68" t="n">
        <x:v>46312</x:v>
      </x:c>
      <x:c r="D474" s="71" t="str">
        <x:v>pre</x:v>
      </x:c>
      <x:c r="E474" s="72" t="b">
        <x:v>0</x:v>
      </x:c>
      <x:c r="F474" t="str">
        <x:v>TCU Horned Frogs</x:v>
      </x:c>
      <x:c r="G474" t="str">
        <x:v>TCU</x:v>
      </x:c>
      <x:c r="H474" s="69" t="n">
        <x:v>0</x:v>
      </x:c>
      <x:c r="I474" t="str">
        <x:v>2-1</x:v>
      </x:c>
      <x:c r="J474" t="str">
        <x:f>IF(E474&lt;&gt;TRUE,"",IF(H474&gt;M474,"W",IF(H474&lt;M474,"L","T")))</x:f>
      </x:c>
      <x:c r="K474" t="str">
        <x:v>Baylor Bears</x:v>
      </x:c>
      <x:c r="L474" t="str">
        <x:v>BAY</x:v>
      </x:c>
      <x:c r="M474" s="69" t="n">
        <x:v>0</x:v>
      </x:c>
      <x:c r="N474" t="str">
        <x:v>2-1</x:v>
      </x:c>
      <x:c r="O474" t="str">
        <x:f>IF(E474&lt;&gt;TRUE,"",IF(M474&gt;H474,"W",IF(M474&lt;H474,"L","T")))</x:f>
      </x:c>
      <x:c r="P474" s="66" t="b">
        <x:v>0</x:v>
      </x:c>
      <x:c r="Q474" s="66" t="b">
        <x:v>1</x:v>
      </x:c>
      <x:c r="R474" t="str">
        <x:v>McLane Stadium</x:v>
      </x:c>
      <x:c r="S474" t="str"/>
      <x:c r="T474"/>
      <x:c r="U474" s="70"/>
      <x:c r="V474" s="70"/>
      <x:c r="W474"/>
      <x:c r="X474" t="str">
        <x:v>https://www.espn.com/college-football/game/_/gameId/401856832</x:v>
      </x:c>
    </x:row>
    <x:row r="475">
      <x:c r="A475" t="str">
        <x:v>CFB</x:v>
      </x:c>
      <x:c r="B475" t="n">
        <x:v>7</x:v>
      </x:c>
      <x:c r="C475" s="68" t="n">
        <x:v>46312</x:v>
      </x:c>
      <x:c r="D475" s="71" t="str">
        <x:v>pre</x:v>
      </x:c>
      <x:c r="E475" s="72" t="b">
        <x:v>0</x:v>
      </x:c>
      <x:c r="F475" t="str">
        <x:v>Utah Utes</x:v>
      </x:c>
      <x:c r="G475" t="str">
        <x:v>UTAH</x:v>
      </x:c>
      <x:c r="H475" s="69" t="n">
        <x:v>0</x:v>
      </x:c>
      <x:c r="I475" t="str">
        <x:v>3-0</x:v>
      </x:c>
      <x:c r="J475" t="str">
        <x:f>IF(E475&lt;&gt;TRUE,"",IF(H475&gt;M475,"W",IF(H475&lt;M475,"L","T")))</x:f>
      </x:c>
      <x:c r="K475" t="str">
        <x:v>Colorado Buffaloes</x:v>
      </x:c>
      <x:c r="L475" t="str">
        <x:v>COLO</x:v>
      </x:c>
      <x:c r="M475" s="69" t="n">
        <x:v>0</x:v>
      </x:c>
      <x:c r="N475" t="str">
        <x:v>2-1</x:v>
      </x:c>
      <x:c r="O475" t="str">
        <x:f>IF(E475&lt;&gt;TRUE,"",IF(M475&gt;H475,"W",IF(M475&lt;H475,"L","T")))</x:f>
      </x:c>
      <x:c r="P475" s="66" t="b">
        <x:v>0</x:v>
      </x:c>
      <x:c r="Q475" s="66" t="b">
        <x:v>1</x:v>
      </x:c>
      <x:c r="R475" t="str">
        <x:v>Folsom Field</x:v>
      </x:c>
      <x:c r="S475" t="str"/>
      <x:c r="T475"/>
      <x:c r="U475" s="70"/>
      <x:c r="V475" s="70"/>
      <x:c r="W475"/>
      <x:c r="X475" t="str">
        <x:v>https://www.espn.com/college-football/game/_/gameId/401856833</x:v>
      </x:c>
    </x:row>
    <x:row r="476">
      <x:c r="A476" t="str">
        <x:v>CFB</x:v>
      </x:c>
      <x:c r="B476" t="n">
        <x:v>7</x:v>
      </x:c>
      <x:c r="C476" s="68" t="n">
        <x:v>46312</x:v>
      </x:c>
      <x:c r="D476" s="71" t="str">
        <x:v>pre</x:v>
      </x:c>
      <x:c r="E476" s="72" t="b">
        <x:v>0</x:v>
      </x:c>
      <x:c r="F476" t="str">
        <x:v>Charleston Southern Buccaneers</x:v>
      </x:c>
      <x:c r="G476" t="str">
        <x:v>CHSO</x:v>
      </x:c>
      <x:c r="H476" s="69" t="n">
        <x:v>0</x:v>
      </x:c>
      <x:c r="I476" t="str">
        <x:v>2-2</x:v>
      </x:c>
      <x:c r="J476" t="str">
        <x:f>IF(E476&lt;&gt;TRUE,"",IF(H476&gt;M476,"W",IF(H476&lt;M476,"L","T")))</x:f>
      </x:c>
      <x:c r="K476" t="str">
        <x:v>Clemson Tigers</x:v>
      </x:c>
      <x:c r="L476" t="str">
        <x:v>CLEM</x:v>
      </x:c>
      <x:c r="M476" s="69" t="n">
        <x:v>0</x:v>
      </x:c>
      <x:c r="N476" t="str">
        <x:v>2-1</x:v>
      </x:c>
      <x:c r="O476" t="str">
        <x:f>IF(E476&lt;&gt;TRUE,"",IF(M476&gt;H476,"W",IF(M476&lt;H476,"L","T")))</x:f>
      </x:c>
      <x:c r="P476" s="66" t="b">
        <x:v>0</x:v>
      </x:c>
      <x:c r="Q476" s="66" t="b">
        <x:v>0</x:v>
      </x:c>
      <x:c r="R476" t="str">
        <x:v>Memorial Stadium (Clemson, SC)</x:v>
      </x:c>
      <x:c r="S476" t="str"/>
      <x:c r="T476"/>
      <x:c r="U476" s="70"/>
      <x:c r="V476" s="70"/>
      <x:c r="W476"/>
      <x:c r="X476" t="str">
        <x:v>https://www.espn.com/college-football/game/_/gameId/401858261</x:v>
      </x:c>
    </x:row>
    <x:row r="477">
      <x:c r="A477" t="str">
        <x:v>CFB</x:v>
      </x:c>
      <x:c r="B477" t="n">
        <x:v>7</x:v>
      </x:c>
      <x:c r="C477" s="68" t="n">
        <x:v>46312</x:v>
      </x:c>
      <x:c r="D477" s="71" t="str">
        <x:v>pre</x:v>
      </x:c>
      <x:c r="E477" s="72" t="b">
        <x:v>0</x:v>
      </x:c>
      <x:c r="F477" t="str">
        <x:v>Florida State Seminoles</x:v>
      </x:c>
      <x:c r="G477" t="str">
        <x:v>FSU</x:v>
      </x:c>
      <x:c r="H477" s="69" t="n">
        <x:v>0</x:v>
      </x:c>
      <x:c r="I477" t="str">
        <x:v>1-2</x:v>
      </x:c>
      <x:c r="J477" t="str">
        <x:f>IF(E477&lt;&gt;TRUE,"",IF(H477&gt;M477,"W",IF(H477&lt;M477,"L","T")))</x:f>
      </x:c>
      <x:c r="K477" t="str">
        <x:v>Miami Hurricanes</x:v>
      </x:c>
      <x:c r="L477" t="str">
        <x:v>MIA</x:v>
      </x:c>
      <x:c r="M477" s="69" t="n">
        <x:v>0</x:v>
      </x:c>
      <x:c r="N477" t="str">
        <x:v>3-0</x:v>
      </x:c>
      <x:c r="O477" t="str">
        <x:f>IF(E477&lt;&gt;TRUE,"",IF(M477&gt;H477,"W",IF(M477&lt;H477,"L","T")))</x:f>
      </x:c>
      <x:c r="P477" s="66" t="b">
        <x:v>0</x:v>
      </x:c>
      <x:c r="Q477" s="66" t="b">
        <x:v>1</x:v>
      </x:c>
      <x:c r="R477" t="str">
        <x:v>Hard Rock Stadium</x:v>
      </x:c>
      <x:c r="S477" t="str"/>
      <x:c r="T477" t="str">
        <x:v>MIA -16.5</x:v>
      </x:c>
      <x:c r="U477" s="70" t="n">
        <x:v>-16.5</x:v>
      </x:c>
      <x:c r="V477" s="70" t="n">
        <x:v>53.5</x:v>
      </x:c>
      <x:c r="W477" t="str">
        <x:v>DraftKings</x:v>
      </x:c>
      <x:c r="X477" t="str">
        <x:v>https://www.espn.com/college-football/game/_/gameId/401858263</x:v>
      </x:c>
    </x:row>
    <x:row r="478">
      <x:c r="A478" t="str">
        <x:v>CFB</x:v>
      </x:c>
      <x:c r="B478" t="n">
        <x:v>7</x:v>
      </x:c>
      <x:c r="C478" s="68" t="n">
        <x:v>46312</x:v>
      </x:c>
      <x:c r="D478" s="71" t="str">
        <x:v>pre</x:v>
      </x:c>
      <x:c r="E478" s="72" t="b">
        <x:v>0</x:v>
      </x:c>
      <x:c r="F478" t="str">
        <x:v>Georgia Tech Yellow Jackets</x:v>
      </x:c>
      <x:c r="G478" t="str">
        <x:v>GT</x:v>
      </x:c>
      <x:c r="H478" s="69" t="n">
        <x:v>0</x:v>
      </x:c>
      <x:c r="I478" t="str">
        <x:v>1-2</x:v>
      </x:c>
      <x:c r="J478" t="str">
        <x:f>IF(E478&lt;&gt;TRUE,"",IF(H478&gt;M478,"W",IF(H478&lt;M478,"L","T")))</x:f>
      </x:c>
      <x:c r="K478" t="str">
        <x:v>Virginia Tech Hokies</x:v>
      </x:c>
      <x:c r="L478" t="str">
        <x:v>VT</x:v>
      </x:c>
      <x:c r="M478" s="69" t="n">
        <x:v>0</x:v>
      </x:c>
      <x:c r="N478" t="str">
        <x:v>3-0</x:v>
      </x:c>
      <x:c r="O478" t="str">
        <x:f>IF(E478&lt;&gt;TRUE,"",IF(M478&gt;H478,"W",IF(M478&lt;H478,"L","T")))</x:f>
      </x:c>
      <x:c r="P478" s="66" t="b">
        <x:v>0</x:v>
      </x:c>
      <x:c r="Q478" s="66" t="b">
        <x:v>1</x:v>
      </x:c>
      <x:c r="R478" t="str">
        <x:v>Lane Stadium</x:v>
      </x:c>
      <x:c r="S478" t="str"/>
      <x:c r="T478"/>
      <x:c r="U478" s="70"/>
      <x:c r="V478" s="70"/>
      <x:c r="W478"/>
      <x:c r="X478" t="str">
        <x:v>https://www.espn.com/college-football/game/_/gameId/401858264</x:v>
      </x:c>
    </x:row>
    <x:row r="479">
      <x:c r="A479" t="str">
        <x:v>CFB</x:v>
      </x:c>
      <x:c r="B479" t="n">
        <x:v>7</x:v>
      </x:c>
      <x:c r="C479" s="68" t="n">
        <x:v>46312</x:v>
      </x:c>
      <x:c r="D479" s="71" t="str">
        <x:v>pre</x:v>
      </x:c>
      <x:c r="E479" s="72" t="b">
        <x:v>0</x:v>
      </x:c>
      <x:c r="F479" t="str">
        <x:v>Louisville Cardinals</x:v>
      </x:c>
      <x:c r="G479" t="str">
        <x:v>LOU</x:v>
      </x:c>
      <x:c r="H479" s="69" t="n">
        <x:v>0</x:v>
      </x:c>
      <x:c r="I479" t="str">
        <x:v>2-1</x:v>
      </x:c>
      <x:c r="J479" t="str">
        <x:f>IF(E479&lt;&gt;TRUE,"",IF(H479&gt;M479,"W",IF(H479&lt;M479,"L","T")))</x:f>
      </x:c>
      <x:c r="K479" t="str">
        <x:v>Syracuse Orange</x:v>
      </x:c>
      <x:c r="L479" t="str">
        <x:v>SYR</x:v>
      </x:c>
      <x:c r="M479" s="69" t="n">
        <x:v>0</x:v>
      </x:c>
      <x:c r="N479" t="str">
        <x:v>1-2</x:v>
      </x:c>
      <x:c r="O479" t="str">
        <x:f>IF(E479&lt;&gt;TRUE,"",IF(M479&gt;H479,"W",IF(M479&lt;H479,"L","T")))</x:f>
      </x:c>
      <x:c r="P479" s="66" t="b">
        <x:v>0</x:v>
      </x:c>
      <x:c r="Q479" s="66" t="b">
        <x:v>1</x:v>
      </x:c>
      <x:c r="R479" t="str">
        <x:v>JMA Wireless Dome</x:v>
      </x:c>
      <x:c r="S479" t="str"/>
      <x:c r="T479"/>
      <x:c r="U479" s="70"/>
      <x:c r="V479" s="70"/>
      <x:c r="W479"/>
      <x:c r="X479" t="str">
        <x:v>https://www.espn.com/college-football/game/_/gameId/401858265</x:v>
      </x:c>
    </x:row>
    <x:row r="480">
      <x:c r="A480" t="str">
        <x:v>CFB</x:v>
      </x:c>
      <x:c r="B480" t="n">
        <x:v>7</x:v>
      </x:c>
      <x:c r="C480" s="68" t="n">
        <x:v>46312</x:v>
      </x:c>
      <x:c r="D480" s="71" t="str">
        <x:v>pre</x:v>
      </x:c>
      <x:c r="E480" s="72" t="b">
        <x:v>0</x:v>
      </x:c>
      <x:c r="F480" t="str">
        <x:v>North Carolina Tar Heels</x:v>
      </x:c>
      <x:c r="G480" t="str">
        <x:v>UNC</x:v>
      </x:c>
      <x:c r="H480" s="69" t="n">
        <x:v>0</x:v>
      </x:c>
      <x:c r="I480" t="str">
        <x:v>2-1</x:v>
      </x:c>
      <x:c r="J480" t="str">
        <x:f>IF(E480&lt;&gt;TRUE,"",IF(H480&gt;M480,"W",IF(H480&lt;M480,"L","T")))</x:f>
      </x:c>
      <x:c r="K480" t="str">
        <x:v>Duke Blue Devils</x:v>
      </x:c>
      <x:c r="L480" t="str">
        <x:v>DUKE</x:v>
      </x:c>
      <x:c r="M480" s="69" t="n">
        <x:v>0</x:v>
      </x:c>
      <x:c r="N480" t="str">
        <x:v>3-0</x:v>
      </x:c>
      <x:c r="O480" t="str">
        <x:f>IF(E480&lt;&gt;TRUE,"",IF(M480&gt;H480,"W",IF(M480&lt;H480,"L","T")))</x:f>
      </x:c>
      <x:c r="P480" s="66" t="b">
        <x:v>0</x:v>
      </x:c>
      <x:c r="Q480" s="66" t="b">
        <x:v>1</x:v>
      </x:c>
      <x:c r="R480" t="str">
        <x:v>Wallace Wade Stadium</x:v>
      </x:c>
      <x:c r="S480" t="str"/>
      <x:c r="T480" t="str">
        <x:v>DUKE -4.5</x:v>
      </x:c>
      <x:c r="U480" s="70" t="n">
        <x:v>-4.5</x:v>
      </x:c>
      <x:c r="V480" s="70" t="n">
        <x:v>54.5</x:v>
      </x:c>
      <x:c r="W480" t="str">
        <x:v>DraftKings</x:v>
      </x:c>
      <x:c r="X480" t="str">
        <x:v>https://www.espn.com/college-football/game/_/gameId/401858266</x:v>
      </x:c>
    </x:row>
    <x:row r="481">
      <x:c r="A481" t="str">
        <x:v>CFB</x:v>
      </x:c>
      <x:c r="B481" t="n">
        <x:v>7</x:v>
      </x:c>
      <x:c r="C481" s="68" t="n">
        <x:v>46312</x:v>
      </x:c>
      <x:c r="D481" s="71" t="str">
        <x:v>pre</x:v>
      </x:c>
      <x:c r="E481" s="72" t="b">
        <x:v>0</x:v>
      </x:c>
      <x:c r="F481" t="str">
        <x:v>Pittsburgh Panthers</x:v>
      </x:c>
      <x:c r="G481" t="str">
        <x:v>PITT</x:v>
      </x:c>
      <x:c r="H481" s="69" t="n">
        <x:v>0</x:v>
      </x:c>
      <x:c r="I481" t="str">
        <x:v>3-0</x:v>
      </x:c>
      <x:c r="J481" t="str">
        <x:f>IF(E481&lt;&gt;TRUE,"",IF(H481&gt;M481,"W",IF(H481&lt;M481,"L","T")))</x:f>
      </x:c>
      <x:c r="K481" t="str">
        <x:v>Boston College Eagles</x:v>
      </x:c>
      <x:c r="L481" t="str">
        <x:v>BC</x:v>
      </x:c>
      <x:c r="M481" s="69" t="n">
        <x:v>0</x:v>
      </x:c>
      <x:c r="N481" t="str">
        <x:v>2-1</x:v>
      </x:c>
      <x:c r="O481" t="str">
        <x:f>IF(E481&lt;&gt;TRUE,"",IF(M481&gt;H481,"W",IF(M481&lt;H481,"L","T")))</x:f>
      </x:c>
      <x:c r="P481" s="66" t="b">
        <x:v>0</x:v>
      </x:c>
      <x:c r="Q481" s="66" t="b">
        <x:v>1</x:v>
      </x:c>
      <x:c r="R481" t="str">
        <x:v>Alumni Stadium (Chestnut Hill, MA)</x:v>
      </x:c>
      <x:c r="S481" t="str"/>
      <x:c r="T481"/>
      <x:c r="U481" s="70"/>
      <x:c r="V481" s="70"/>
      <x:c r="W481"/>
      <x:c r="X481" t="str">
        <x:v>https://www.espn.com/college-football/game/_/gameId/401858267</x:v>
      </x:c>
    </x:row>
    <x:row r="482">
      <x:c r="A482" t="str">
        <x:v>CFB</x:v>
      </x:c>
      <x:c r="B482" t="n">
        <x:v>7</x:v>
      </x:c>
      <x:c r="C482" s="68" t="n">
        <x:v>46312</x:v>
      </x:c>
      <x:c r="D482" s="71" t="str">
        <x:v>pre</x:v>
      </x:c>
      <x:c r="E482" s="72" t="b">
        <x:v>0</x:v>
      </x:c>
      <x:c r="F482" t="str">
        <x:v>Virginia Cavaliers</x:v>
      </x:c>
      <x:c r="G482" t="str">
        <x:v>UVA</x:v>
      </x:c>
      <x:c r="H482" s="69" t="n">
        <x:v>0</x:v>
      </x:c>
      <x:c r="I482" t="str">
        <x:v>2-1</x:v>
      </x:c>
      <x:c r="J482" t="str">
        <x:f>IF(E482&lt;&gt;TRUE,"",IF(H482&gt;M482,"W",IF(H482&lt;M482,"L","T")))</x:f>
      </x:c>
      <x:c r="K482" t="str">
        <x:v>SMU Mustangs</x:v>
      </x:c>
      <x:c r="L482" t="str">
        <x:v>SMU</x:v>
      </x:c>
      <x:c r="M482" s="69" t="n">
        <x:v>0</x:v>
      </x:c>
      <x:c r="N482" t="str">
        <x:v>2-1</x:v>
      </x:c>
      <x:c r="O482" t="str">
        <x:f>IF(E482&lt;&gt;TRUE,"",IF(M482&gt;H482,"W",IF(M482&lt;H482,"L","T")))</x:f>
      </x:c>
      <x:c r="P482" s="66" t="b">
        <x:v>0</x:v>
      </x:c>
      <x:c r="Q482" s="66" t="b">
        <x:v>1</x:v>
      </x:c>
      <x:c r="R482" t="str">
        <x:v>Gerald J. Ford Stadium</x:v>
      </x:c>
      <x:c r="S482" t="str"/>
      <x:c r="T482"/>
      <x:c r="U482" s="70"/>
      <x:c r="V482" s="70"/>
      <x:c r="W482"/>
      <x:c r="X482" t="str">
        <x:v>https://www.espn.com/college-football/game/_/gameId/401858268</x:v>
      </x:c>
    </x:row>
    <x:row r="483">
      <x:c r="A483" t="str">
        <x:v>CFB</x:v>
      </x:c>
      <x:c r="B483" t="n">
        <x:v>7</x:v>
      </x:c>
      <x:c r="C483" s="68" t="n">
        <x:v>46312</x:v>
      </x:c>
      <x:c r="D483" s="71" t="str">
        <x:v>pre</x:v>
      </x:c>
      <x:c r="E483" s="72" t="b">
        <x:v>0</x:v>
      </x:c>
      <x:c r="F483" t="str">
        <x:v>Wake Forest Demon Deacons</x:v>
      </x:c>
      <x:c r="G483" t="str">
        <x:v>WAKE</x:v>
      </x:c>
      <x:c r="H483" s="69" t="n">
        <x:v>0</x:v>
      </x:c>
      <x:c r="I483" t="str">
        <x:v>2-1</x:v>
      </x:c>
      <x:c r="J483" t="str">
        <x:f>IF(E483&lt;&gt;TRUE,"",IF(H483&gt;M483,"W",IF(H483&lt;M483,"L","T")))</x:f>
      </x:c>
      <x:c r="K483" t="str">
        <x:v>California Golden Bears</x:v>
      </x:c>
      <x:c r="L483" t="str">
        <x:v>CAL</x:v>
      </x:c>
      <x:c r="M483" s="69" t="n">
        <x:v>0</x:v>
      </x:c>
      <x:c r="N483" t="str">
        <x:v>2-1</x:v>
      </x:c>
      <x:c r="O483" t="str">
        <x:f>IF(E483&lt;&gt;TRUE,"",IF(M483&gt;H483,"W",IF(M483&lt;H483,"L","T")))</x:f>
      </x:c>
      <x:c r="P483" s="66" t="b">
        <x:v>0</x:v>
      </x:c>
      <x:c r="Q483" s="66" t="b">
        <x:v>1</x:v>
      </x:c>
      <x:c r="R483" t="str">
        <x:v>California Memorial Stadium</x:v>
      </x:c>
      <x:c r="S483" t="str"/>
      <x:c r="T483"/>
      <x:c r="U483" s="70"/>
      <x:c r="V483" s="70"/>
      <x:c r="W483"/>
      <x:c r="X483" t="str">
        <x:v>https://www.espn.com/college-football/game/_/gameId/401858269</x:v>
      </x:c>
    </x:row>
    <x:row r="484">
      <x:c r="A484" t="str">
        <x:v>CFB</x:v>
      </x:c>
      <x:c r="B484" t="n">
        <x:v>7</x:v>
      </x:c>
      <x:c r="C484" s="68" t="n">
        <x:v>46312</x:v>
      </x:c>
      <x:c r="D484" s="71" t="str">
        <x:v>pre</x:v>
      </x:c>
      <x:c r="E484" s="72" t="b">
        <x:v>0</x:v>
      </x:c>
      <x:c r="F484" t="str">
        <x:v>Ohio State Buckeyes</x:v>
      </x:c>
      <x:c r="G484" t="str">
        <x:v>OSU</x:v>
      </x:c>
      <x:c r="H484" s="69" t="n">
        <x:v>0</x:v>
      </x:c>
      <x:c r="I484" t="str">
        <x:v>2-1</x:v>
      </x:c>
      <x:c r="J484" t="str">
        <x:f>IF(E484&lt;&gt;TRUE,"",IF(H484&gt;M484,"W",IF(H484&lt;M484,"L","T")))</x:f>
      </x:c>
      <x:c r="K484" t="str">
        <x:v>Indiana Hoosiers</x:v>
      </x:c>
      <x:c r="L484" t="str">
        <x:v>IU</x:v>
      </x:c>
      <x:c r="M484" s="69" t="n">
        <x:v>0</x:v>
      </x:c>
      <x:c r="N484" t="str">
        <x:v>3-0</x:v>
      </x:c>
      <x:c r="O484" t="str">
        <x:f>IF(E484&lt;&gt;TRUE,"",IF(M484&gt;H484,"W",IF(M484&lt;H484,"L","T")))</x:f>
      </x:c>
      <x:c r="P484" s="66" t="b">
        <x:v>0</x:v>
      </x:c>
      <x:c r="Q484" s="66" t="b">
        <x:v>1</x:v>
      </x:c>
      <x:c r="R484" t="str">
        <x:v>Memorial Stadium (Bloomington, IN)</x:v>
      </x:c>
      <x:c r="S484" t="str"/>
      <x:c r="T484" t="str">
        <x:v>IU -1.5</x:v>
      </x:c>
      <x:c r="U484" s="70" t="n">
        <x:v>-1.5</x:v>
      </x:c>
      <x:c r="V484" s="70" t="n">
        <x:v>48.5</x:v>
      </x:c>
      <x:c r="W484" t="str">
        <x:v>DraftKings</x:v>
      </x:c>
      <x:c r="X484" t="str">
        <x:v>https://www.espn.com/college-football/game/_/gameId/401858488</x:v>
      </x:c>
    </x:row>
    <x:row r="485">
      <x:c r="A485" t="str">
        <x:v>CFB</x:v>
      </x:c>
      <x:c r="B485" t="n">
        <x:v>7</x:v>
      </x:c>
      <x:c r="C485" s="68" t="n">
        <x:v>46312</x:v>
      </x:c>
      <x:c r="D485" s="71" t="str">
        <x:v>pre</x:v>
      </x:c>
      <x:c r="E485" s="72" t="b">
        <x:v>0</x:v>
      </x:c>
      <x:c r="F485" t="str">
        <x:v>Rutgers Scarlet Knights</x:v>
      </x:c>
      <x:c r="G485" t="str">
        <x:v>RUTG</x:v>
      </x:c>
      <x:c r="H485" s="69" t="n">
        <x:v>0</x:v>
      </x:c>
      <x:c r="I485" t="str">
        <x:v>0-3</x:v>
      </x:c>
      <x:c r="J485" t="str">
        <x:f>IF(E485&lt;&gt;TRUE,"",IF(H485&gt;M485,"W",IF(H485&lt;M485,"L","T")))</x:f>
      </x:c>
      <x:c r="K485" t="str">
        <x:v>Maryland Terrapins</x:v>
      </x:c>
      <x:c r="L485" t="str">
        <x:v>MD</x:v>
      </x:c>
      <x:c r="M485" s="69" t="n">
        <x:v>0</x:v>
      </x:c>
      <x:c r="N485" t="str">
        <x:v>2-1</x:v>
      </x:c>
      <x:c r="O485" t="str">
        <x:f>IF(E485&lt;&gt;TRUE,"",IF(M485&gt;H485,"W",IF(M485&lt;H485,"L","T")))</x:f>
      </x:c>
      <x:c r="P485" s="66" t="b">
        <x:v>0</x:v>
      </x:c>
      <x:c r="Q485" s="66" t="b">
        <x:v>1</x:v>
      </x:c>
      <x:c r="R485" t="str">
        <x:v>SECU Stadium</x:v>
      </x:c>
      <x:c r="S485" t="str"/>
      <x:c r="T485"/>
      <x:c r="U485" s="70"/>
      <x:c r="V485" s="70"/>
      <x:c r="W485"/>
      <x:c r="X485" t="str">
        <x:v>https://www.espn.com/college-football/game/_/gameId/401858489</x:v>
      </x:c>
    </x:row>
    <x:row r="486">
      <x:c r="A486" t="str">
        <x:v>CFB</x:v>
      </x:c>
      <x:c r="B486" t="n">
        <x:v>7</x:v>
      </x:c>
      <x:c r="C486" s="68" t="n">
        <x:v>46312</x:v>
      </x:c>
      <x:c r="D486" s="71" t="str">
        <x:v>pre</x:v>
      </x:c>
      <x:c r="E486" s="72" t="b">
        <x:v>0</x:v>
      </x:c>
      <x:c r="F486" t="str">
        <x:v>Penn State Nittany Lions</x:v>
      </x:c>
      <x:c r="G486" t="str">
        <x:v>PSU</x:v>
      </x:c>
      <x:c r="H486" s="69" t="n">
        <x:v>0</x:v>
      </x:c>
      <x:c r="I486" t="str">
        <x:v>3-0</x:v>
      </x:c>
      <x:c r="J486" t="str">
        <x:f>IF(E486&lt;&gt;TRUE,"",IF(H486&gt;M486,"W",IF(H486&lt;M486,"L","T")))</x:f>
      </x:c>
      <x:c r="K486" t="str">
        <x:v>Michigan Wolverines</x:v>
      </x:c>
      <x:c r="L486" t="str">
        <x:v>MICH</x:v>
      </x:c>
      <x:c r="M486" s="69" t="n">
        <x:v>0</x:v>
      </x:c>
      <x:c r="N486" t="str">
        <x:v>3-0</x:v>
      </x:c>
      <x:c r="O486" t="str">
        <x:f>IF(E486&lt;&gt;TRUE,"",IF(M486&gt;H486,"W",IF(M486&lt;H486,"L","T")))</x:f>
      </x:c>
      <x:c r="P486" s="66" t="b">
        <x:v>0</x:v>
      </x:c>
      <x:c r="Q486" s="66" t="b">
        <x:v>1</x:v>
      </x:c>
      <x:c r="R486" t="str">
        <x:v>Michigan Stadium</x:v>
      </x:c>
      <x:c r="S486" t="str"/>
      <x:c r="T486" t="str">
        <x:v>MICH -6.5</x:v>
      </x:c>
      <x:c r="U486" s="70" t="n">
        <x:v>-6.5</x:v>
      </x:c>
      <x:c r="V486" s="70" t="n">
        <x:v>51.5</x:v>
      </x:c>
      <x:c r="W486" t="str">
        <x:v>DraftKings</x:v>
      </x:c>
      <x:c r="X486" t="str">
        <x:v>https://www.espn.com/college-football/game/_/gameId/401858490</x:v>
      </x:c>
    </x:row>
    <x:row r="487">
      <x:c r="A487" t="str">
        <x:v>CFB</x:v>
      </x:c>
      <x:c r="B487" t="n">
        <x:v>7</x:v>
      </x:c>
      <x:c r="C487" s="68" t="n">
        <x:v>46312</x:v>
      </x:c>
      <x:c r="D487" s="71" t="str">
        <x:v>pre</x:v>
      </x:c>
      <x:c r="E487" s="72" t="b">
        <x:v>0</x:v>
      </x:c>
      <x:c r="F487" t="str">
        <x:v>Northwestern Wildcats</x:v>
      </x:c>
      <x:c r="G487" t="str">
        <x:v>NU</x:v>
      </x:c>
      <x:c r="H487" s="69" t="n">
        <x:v>0</x:v>
      </x:c>
      <x:c r="I487" t="str">
        <x:v>2-0</x:v>
      </x:c>
      <x:c r="J487" t="str">
        <x:f>IF(E487&lt;&gt;TRUE,"",IF(H487&gt;M487,"W",IF(H487&lt;M487,"L","T")))</x:f>
      </x:c>
      <x:c r="K487" t="str">
        <x:v>Michigan State Spartans</x:v>
      </x:c>
      <x:c r="L487" t="str">
        <x:v>MSU</x:v>
      </x:c>
      <x:c r="M487" s="69" t="n">
        <x:v>0</x:v>
      </x:c>
      <x:c r="N487" t="str">
        <x:v>2-1</x:v>
      </x:c>
      <x:c r="O487" t="str">
        <x:f>IF(E487&lt;&gt;TRUE,"",IF(M487&gt;H487,"W",IF(M487&lt;H487,"L","T")))</x:f>
      </x:c>
      <x:c r="P487" s="66" t="b">
        <x:v>0</x:v>
      </x:c>
      <x:c r="Q487" s="66" t="b">
        <x:v>1</x:v>
      </x:c>
      <x:c r="R487" t="str">
        <x:v>Spartan Stadium</x:v>
      </x:c>
      <x:c r="S487" t="str"/>
      <x:c r="T487"/>
      <x:c r="U487" s="70"/>
      <x:c r="V487" s="70"/>
      <x:c r="W487"/>
      <x:c r="X487" t="str">
        <x:v>https://www.espn.com/college-football/game/_/gameId/401858491</x:v>
      </x:c>
    </x:row>
    <x:row r="488">
      <x:c r="A488" t="str">
        <x:v>CFB</x:v>
      </x:c>
      <x:c r="B488" t="n">
        <x:v>7</x:v>
      </x:c>
      <x:c r="C488" s="68" t="n">
        <x:v>46312</x:v>
      </x:c>
      <x:c r="D488" s="71" t="str">
        <x:v>pre</x:v>
      </x:c>
      <x:c r="E488" s="72" t="b">
        <x:v>0</x:v>
      </x:c>
      <x:c r="F488" t="str">
        <x:v>Nebraska Cornhuskers</x:v>
      </x:c>
      <x:c r="G488" t="str">
        <x:v>NEB</x:v>
      </x:c>
      <x:c r="H488" s="69" t="n">
        <x:v>0</x:v>
      </x:c>
      <x:c r="I488" t="str">
        <x:v>3-0</x:v>
      </x:c>
      <x:c r="J488" t="str">
        <x:f>IF(E488&lt;&gt;TRUE,"",IF(H488&gt;M488,"W",IF(H488&lt;M488,"L","T")))</x:f>
      </x:c>
      <x:c r="K488" t="str">
        <x:v>Oregon Ducks</x:v>
      </x:c>
      <x:c r="L488" t="str">
        <x:v>ORE</x:v>
      </x:c>
      <x:c r="M488" s="69" t="n">
        <x:v>0</x:v>
      </x:c>
      <x:c r="N488" t="str">
        <x:v>2-1</x:v>
      </x:c>
      <x:c r="O488" t="str">
        <x:f>IF(E488&lt;&gt;TRUE,"",IF(M488&gt;H488,"W",IF(M488&lt;H488,"L","T")))</x:f>
      </x:c>
      <x:c r="P488" s="66" t="b">
        <x:v>0</x:v>
      </x:c>
      <x:c r="Q488" s="66" t="b">
        <x:v>1</x:v>
      </x:c>
      <x:c r="R488" t="str">
        <x:v>Autzen Stadium</x:v>
      </x:c>
      <x:c r="S488" t="str"/>
      <x:c r="T488" t="str">
        <x:v>ORE -21.5</x:v>
      </x:c>
      <x:c r="U488" s="70" t="n">
        <x:v>-21.5</x:v>
      </x:c>
      <x:c r="V488" s="70" t="n">
        <x:v>51.5</x:v>
      </x:c>
      <x:c r="W488" t="str">
        <x:v>DraftKings</x:v>
      </x:c>
      <x:c r="X488" t="str">
        <x:v>https://www.espn.com/college-football/game/_/gameId/401858492</x:v>
      </x:c>
    </x:row>
    <x:row r="489">
      <x:c r="A489" t="str">
        <x:v>CFB</x:v>
      </x:c>
      <x:c r="B489" t="n">
        <x:v>7</x:v>
      </x:c>
      <x:c r="C489" s="68" t="n">
        <x:v>46312</x:v>
      </x:c>
      <x:c r="D489" s="71" t="str">
        <x:v>pre</x:v>
      </x:c>
      <x:c r="E489" s="72" t="b">
        <x:v>0</x:v>
      </x:c>
      <x:c r="F489" t="str">
        <x:v>Wisconsin Badgers</x:v>
      </x:c>
      <x:c r="G489" t="str">
        <x:v>WIS</x:v>
      </x:c>
      <x:c r="H489" s="69" t="n">
        <x:v>0</x:v>
      </x:c>
      <x:c r="I489" t="str">
        <x:v>2-1</x:v>
      </x:c>
      <x:c r="J489" t="str">
        <x:f>IF(E489&lt;&gt;TRUE,"",IF(H489&gt;M489,"W",IF(H489&lt;M489,"L","T")))</x:f>
      </x:c>
      <x:c r="K489" t="str">
        <x:v>UCLA Bruins</x:v>
      </x:c>
      <x:c r="L489" t="str">
        <x:v>UCLA</x:v>
      </x:c>
      <x:c r="M489" s="69" t="n">
        <x:v>0</x:v>
      </x:c>
      <x:c r="N489" t="str">
        <x:v>3-0</x:v>
      </x:c>
      <x:c r="O489" t="str">
        <x:f>IF(E489&lt;&gt;TRUE,"",IF(M489&gt;H489,"W",IF(M489&lt;H489,"L","T")))</x:f>
      </x:c>
      <x:c r="P489" s="66" t="b">
        <x:v>0</x:v>
      </x:c>
      <x:c r="Q489" s="66" t="b">
        <x:v>1</x:v>
      </x:c>
      <x:c r="R489" t="str">
        <x:v>Rose Bowl</x:v>
      </x:c>
      <x:c r="S489" t="str"/>
      <x:c r="T489"/>
      <x:c r="U489" s="70"/>
      <x:c r="V489" s="70"/>
      <x:c r="W489"/>
      <x:c r="X489" t="str">
        <x:v>https://www.espn.com/college-football/game/_/gameId/401858494</x:v>
      </x:c>
    </x:row>
    <x:row r="490">
      <x:c r="A490" t="str">
        <x:v>CFB</x:v>
      </x:c>
      <x:c r="B490" t="n">
        <x:v>7</x:v>
      </x:c>
      <x:c r="C490" s="68" t="n">
        <x:v>46312</x:v>
      </x:c>
      <x:c r="D490" s="71" t="str">
        <x:v>pre</x:v>
      </x:c>
      <x:c r="E490" s="72" t="b">
        <x:v>0</x:v>
      </x:c>
      <x:c r="F490" t="str">
        <x:v>Charlotte 49ers</x:v>
      </x:c>
      <x:c r="G490" t="str">
        <x:v>CLT</x:v>
      </x:c>
      <x:c r="H490" s="69" t="n">
        <x:v>0</x:v>
      </x:c>
      <x:c r="I490" t="str">
        <x:v>0-3</x:v>
      </x:c>
      <x:c r="J490" t="str">
        <x:f>IF(E490&lt;&gt;TRUE,"",IF(H490&gt;M490,"W",IF(H490&lt;M490,"L","T")))</x:f>
      </x:c>
      <x:c r="K490" t="str">
        <x:v>Temple Owls</x:v>
      </x:c>
      <x:c r="L490" t="str">
        <x:v>TEM</x:v>
      </x:c>
      <x:c r="M490" s="69" t="n">
        <x:v>0</x:v>
      </x:c>
      <x:c r="N490" t="str">
        <x:v>1-2</x:v>
      </x:c>
      <x:c r="O490" t="str">
        <x:f>IF(E490&lt;&gt;TRUE,"",IF(M490&gt;H490,"W",IF(M490&lt;H490,"L","T")))</x:f>
      </x:c>
      <x:c r="P490" s="66" t="b">
        <x:v>0</x:v>
      </x:c>
      <x:c r="Q490" s="66" t="b">
        <x:v>1</x:v>
      </x:c>
      <x:c r="R490" t="str">
        <x:v>Lincoln Financial Field</x:v>
      </x:c>
      <x:c r="S490" t="str"/>
      <x:c r="T490"/>
      <x:c r="U490" s="70"/>
      <x:c r="V490" s="70"/>
      <x:c r="W490"/>
      <x:c r="X490" t="str">
        <x:v>https://www.espn.com/college-football/game/_/gameId/401862803</x:v>
      </x:c>
    </x:row>
    <x:row r="491">
      <x:c r="A491" t="str">
        <x:v>CFB</x:v>
      </x:c>
      <x:c r="B491" t="n">
        <x:v>7</x:v>
      </x:c>
      <x:c r="C491" s="68" t="n">
        <x:v>46312</x:v>
      </x:c>
      <x:c r="D491" s="71" t="str">
        <x:v>pre</x:v>
      </x:c>
      <x:c r="E491" s="72" t="b">
        <x:v>0</x:v>
      </x:c>
      <x:c r="F491" t="str">
        <x:v>Navy Midshipmen</x:v>
      </x:c>
      <x:c r="G491" t="str">
        <x:v>NAVY</x:v>
      </x:c>
      <x:c r="H491" s="69" t="n">
        <x:v>0</x:v>
      </x:c>
      <x:c r="I491" t="str">
        <x:v>1-1</x:v>
      </x:c>
      <x:c r="J491" t="str">
        <x:f>IF(E491&lt;&gt;TRUE,"",IF(H491&gt;M491,"W",IF(H491&lt;M491,"L","T")))</x:f>
      </x:c>
      <x:c r="K491" t="str">
        <x:v>UTSA Roadrunners</x:v>
      </x:c>
      <x:c r="L491" t="str">
        <x:v>UTSA</x:v>
      </x:c>
      <x:c r="M491" s="69" t="n">
        <x:v>0</x:v>
      </x:c>
      <x:c r="N491" t="str">
        <x:v>2-1</x:v>
      </x:c>
      <x:c r="O491" t="str">
        <x:f>IF(E491&lt;&gt;TRUE,"",IF(M491&gt;H491,"W",IF(M491&lt;H491,"L","T")))</x:f>
      </x:c>
      <x:c r="P491" s="66" t="b">
        <x:v>0</x:v>
      </x:c>
      <x:c r="Q491" s="66" t="b">
        <x:v>1</x:v>
      </x:c>
      <x:c r="R491" t="str">
        <x:v>Alamodome</x:v>
      </x:c>
      <x:c r="S491" t="str"/>
      <x:c r="T491"/>
      <x:c r="U491" s="70"/>
      <x:c r="V491" s="70"/>
      <x:c r="W491"/>
      <x:c r="X491" t="str">
        <x:v>https://www.espn.com/college-football/game/_/gameId/401862804</x:v>
      </x:c>
    </x:row>
    <x:row r="492">
      <x:c r="A492" t="str">
        <x:v>CFB</x:v>
      </x:c>
      <x:c r="B492" t="n">
        <x:v>7</x:v>
      </x:c>
      <x:c r="C492" s="68" t="n">
        <x:v>46312</x:v>
      </x:c>
      <x:c r="D492" s="71" t="str">
        <x:v>pre</x:v>
      </x:c>
      <x:c r="E492" s="72" t="b">
        <x:v>0</x:v>
      </x:c>
      <x:c r="F492" t="str">
        <x:v>Tulsa Golden Hurricane</x:v>
      </x:c>
      <x:c r="G492" t="str">
        <x:v>TLSA</x:v>
      </x:c>
      <x:c r="H492" s="69" t="n">
        <x:v>0</x:v>
      </x:c>
      <x:c r="I492" t="str">
        <x:v>3-0</x:v>
      </x:c>
      <x:c r="J492" t="str">
        <x:f>IF(E492&lt;&gt;TRUE,"",IF(H492&gt;M492,"W",IF(H492&lt;M492,"L","T")))</x:f>
      </x:c>
      <x:c r="K492" t="str">
        <x:v>Rice Owls</x:v>
      </x:c>
      <x:c r="L492" t="str">
        <x:v>RICE</x:v>
      </x:c>
      <x:c r="M492" s="69" t="n">
        <x:v>0</x:v>
      </x:c>
      <x:c r="N492" t="str">
        <x:v>1-2</x:v>
      </x:c>
      <x:c r="O492" t="str">
        <x:f>IF(E492&lt;&gt;TRUE,"",IF(M492&gt;H492,"W",IF(M492&lt;H492,"L","T")))</x:f>
      </x:c>
      <x:c r="P492" s="66" t="b">
        <x:v>0</x:v>
      </x:c>
      <x:c r="Q492" s="66" t="b">
        <x:v>1</x:v>
      </x:c>
      <x:c r="R492" t="str">
        <x:v>Rice Stadium</x:v>
      </x:c>
      <x:c r="S492" t="str"/>
      <x:c r="T492"/>
      <x:c r="U492" s="70"/>
      <x:c r="V492" s="70"/>
      <x:c r="W492"/>
      <x:c r="X492" t="str">
        <x:v>https://www.espn.com/college-football/game/_/gameId/401862805</x:v>
      </x:c>
    </x:row>
    <x:row r="493">
      <x:c r="A493" t="str">
        <x:v>CFB</x:v>
      </x:c>
      <x:c r="B493" t="n">
        <x:v>7</x:v>
      </x:c>
      <x:c r="C493" s="68" t="n">
        <x:v>46312</x:v>
      </x:c>
      <x:c r="D493" s="71" t="str">
        <x:v>pre</x:v>
      </x:c>
      <x:c r="E493" s="72" t="b">
        <x:v>0</x:v>
      </x:c>
      <x:c r="F493" t="str">
        <x:v>Kent State Golden Flashes</x:v>
      </x:c>
      <x:c r="G493" t="str">
        <x:v>KENT</x:v>
      </x:c>
      <x:c r="H493" s="69" t="n">
        <x:v>0</x:v>
      </x:c>
      <x:c r="I493" t="str">
        <x:v>1-2</x:v>
      </x:c>
      <x:c r="J493" t="str">
        <x:f>IF(E493&lt;&gt;TRUE,"",IF(H493&gt;M493,"W",IF(H493&lt;M493,"L","T")))</x:f>
      </x:c>
      <x:c r="K493" t="str">
        <x:v>South Florida Bulls</x:v>
      </x:c>
      <x:c r="L493" t="str">
        <x:v>USF</x:v>
      </x:c>
      <x:c r="M493" s="69" t="n">
        <x:v>0</x:v>
      </x:c>
      <x:c r="N493" t="str">
        <x:v>3-0</x:v>
      </x:c>
      <x:c r="O493" t="str">
        <x:f>IF(E493&lt;&gt;TRUE,"",IF(M493&gt;H493,"W",IF(M493&lt;H493,"L","T")))</x:f>
      </x:c>
      <x:c r="P493" s="66" t="b">
        <x:v>0</x:v>
      </x:c>
      <x:c r="Q493" s="66" t="b">
        <x:v>0</x:v>
      </x:c>
      <x:c r="R493" t="str">
        <x:v>Raymond James Stadium</x:v>
      </x:c>
      <x:c r="S493" t="str"/>
      <x:c r="T493"/>
      <x:c r="U493" s="70"/>
      <x:c r="V493" s="70"/>
      <x:c r="W493"/>
      <x:c r="X493" t="str">
        <x:v>https://www.espn.com/college-football/game/_/gameId/401862806</x:v>
      </x:c>
    </x:row>
    <x:row r="494">
      <x:c r="A494" t="str">
        <x:v>CFB</x:v>
      </x:c>
      <x:c r="B494" t="n">
        <x:v>7</x:v>
      </x:c>
      <x:c r="C494" s="68" t="n">
        <x:v>46312</x:v>
      </x:c>
      <x:c r="D494" s="71" t="str">
        <x:v>pre</x:v>
      </x:c>
      <x:c r="E494" s="72" t="b">
        <x:v>0</x:v>
      </x:c>
      <x:c r="F494" t="str">
        <x:v>New Mexico Lobos</x:v>
      </x:c>
      <x:c r="G494" t="str">
        <x:v>UNM</x:v>
      </x:c>
      <x:c r="H494" s="69" t="n">
        <x:v>0</x:v>
      </x:c>
      <x:c r="I494" t="str">
        <x:v>2-1</x:v>
      </x:c>
      <x:c r="J494" t="str">
        <x:f>IF(E494&lt;&gt;TRUE,"",IF(H494&gt;M494,"W",IF(H494&lt;M494,"L","T")))</x:f>
      </x:c>
      <x:c r="K494" t="str">
        <x:v>Hawai'i Rainbow Warriors</x:v>
      </x:c>
      <x:c r="L494" t="str">
        <x:v>HAW</x:v>
      </x:c>
      <x:c r="M494" s="69" t="n">
        <x:v>0</x:v>
      </x:c>
      <x:c r="N494" t="str">
        <x:v>1-2</x:v>
      </x:c>
      <x:c r="O494" t="str">
        <x:f>IF(E494&lt;&gt;TRUE,"",IF(M494&gt;H494,"W",IF(M494&lt;H494,"L","T")))</x:f>
      </x:c>
      <x:c r="P494" s="66" t="b">
        <x:v>0</x:v>
      </x:c>
      <x:c r="Q494" s="66" t="b">
        <x:v>1</x:v>
      </x:c>
      <x:c r="R494" t="str">
        <x:v>Clarence T.C. Ching Athletics Complex</x:v>
      </x:c>
      <x:c r="S494" t="str"/>
      <x:c r="T494"/>
      <x:c r="U494" s="70"/>
      <x:c r="V494" s="70"/>
      <x:c r="W494"/>
      <x:c r="X494" t="str">
        <x:v>https://www.espn.com/college-football/game/_/gameId/401864521</x:v>
      </x:c>
    </x:row>
    <x:row r="495">
      <x:c r="A495" t="str">
        <x:v>CFB</x:v>
      </x:c>
      <x:c r="B495" t="n">
        <x:v>7</x:v>
      </x:c>
      <x:c r="C495" s="68" t="n">
        <x:v>46312</x:v>
      </x:c>
      <x:c r="D495" s="71" t="str">
        <x:v>pre</x:v>
      </x:c>
      <x:c r="E495" s="72" t="b">
        <x:v>0</x:v>
      </x:c>
      <x:c r="F495" t="str">
        <x:v>Ball State Cardinals</x:v>
      </x:c>
      <x:c r="G495" t="str">
        <x:v>BALL</x:v>
      </x:c>
      <x:c r="H495" s="69" t="n">
        <x:v>0</x:v>
      </x:c>
      <x:c r="I495" t="str">
        <x:v>1-2</x:v>
      </x:c>
      <x:c r="J495" t="str">
        <x:f>IF(E495&lt;&gt;TRUE,"",IF(H495&gt;M495,"W",IF(H495&lt;M495,"L","T")))</x:f>
      </x:c>
      <x:c r="K495" t="str">
        <x:v>Bowling Green Falcons</x:v>
      </x:c>
      <x:c r="L495" t="str">
        <x:v>BGSU</x:v>
      </x:c>
      <x:c r="M495" s="69" t="n">
        <x:v>0</x:v>
      </x:c>
      <x:c r="N495" t="str">
        <x:v>0-3</x:v>
      </x:c>
      <x:c r="O495" t="str">
        <x:f>IF(E495&lt;&gt;TRUE,"",IF(M495&gt;H495,"W",IF(M495&lt;H495,"L","T")))</x:f>
      </x:c>
      <x:c r="P495" s="66" t="b">
        <x:v>0</x:v>
      </x:c>
      <x:c r="Q495" s="66" t="b">
        <x:v>1</x:v>
      </x:c>
      <x:c r="R495" t="str">
        <x:v>Doyt L. Perry Stadium</x:v>
      </x:c>
      <x:c r="S495" t="str"/>
      <x:c r="T495"/>
      <x:c r="U495" s="70"/>
      <x:c r="V495" s="70"/>
      <x:c r="W495"/>
      <x:c r="X495" t="str">
        <x:v>https://www.espn.com/college-football/game/_/gameId/401866441</x:v>
      </x:c>
    </x:row>
    <x:row r="496">
      <x:c r="A496" t="str">
        <x:v>CFB</x:v>
      </x:c>
      <x:c r="B496" t="n">
        <x:v>7</x:v>
      </x:c>
      <x:c r="C496" s="68" t="n">
        <x:v>46312</x:v>
      </x:c>
      <x:c r="D496" s="71" t="str">
        <x:v>pre</x:v>
      </x:c>
      <x:c r="E496" s="72" t="b">
        <x:v>0</x:v>
      </x:c>
      <x:c r="F496" t="str">
        <x:v>Massachusetts Minutemen</x:v>
      </x:c>
      <x:c r="G496" t="str">
        <x:v>MASS</x:v>
      </x:c>
      <x:c r="H496" s="69" t="n">
        <x:v>0</x:v>
      </x:c>
      <x:c r="I496" t="str">
        <x:v>3-0</x:v>
      </x:c>
      <x:c r="J496" t="str">
        <x:f>IF(E496&lt;&gt;TRUE,"",IF(H496&gt;M496,"W",IF(H496&lt;M496,"L","T")))</x:f>
      </x:c>
      <x:c r="K496" t="str">
        <x:v>Buffalo Bulls</x:v>
      </x:c>
      <x:c r="L496" t="str">
        <x:v>BUFF</x:v>
      </x:c>
      <x:c r="M496" s="69" t="n">
        <x:v>0</x:v>
      </x:c>
      <x:c r="N496" t="str">
        <x:v>1-2</x:v>
      </x:c>
      <x:c r="O496" t="str">
        <x:f>IF(E496&lt;&gt;TRUE,"",IF(M496&gt;H496,"W",IF(M496&lt;H496,"L","T")))</x:f>
      </x:c>
      <x:c r="P496" s="66" t="b">
        <x:v>0</x:v>
      </x:c>
      <x:c r="Q496" s="66" t="b">
        <x:v>1</x:v>
      </x:c>
      <x:c r="R496" t="str">
        <x:v>Broadview Stadium</x:v>
      </x:c>
      <x:c r="S496" t="str"/>
      <x:c r="T496"/>
      <x:c r="U496" s="70"/>
      <x:c r="V496" s="70"/>
      <x:c r="W496"/>
      <x:c r="X496" t="str">
        <x:v>https://www.espn.com/college-football/game/_/gameId/401866442</x:v>
      </x:c>
    </x:row>
    <x:row r="497">
      <x:c r="A497" t="str">
        <x:v>CFB</x:v>
      </x:c>
      <x:c r="B497" t="n">
        <x:v>7</x:v>
      </x:c>
      <x:c r="C497" s="68" t="n">
        <x:v>46312</x:v>
      </x:c>
      <x:c r="D497" s="71" t="str">
        <x:v>pre</x:v>
      </x:c>
      <x:c r="E497" s="72" t="b">
        <x:v>0</x:v>
      </x:c>
      <x:c r="F497" t="str">
        <x:v>Western Michigan Broncos</x:v>
      </x:c>
      <x:c r="G497" t="str">
        <x:v>WMU</x:v>
      </x:c>
      <x:c r="H497" s="69" t="n">
        <x:v>0</x:v>
      </x:c>
      <x:c r="I497" t="str">
        <x:v>2-1</x:v>
      </x:c>
      <x:c r="J497" t="str">
        <x:f>IF(E497&lt;&gt;TRUE,"",IF(H497&gt;M497,"W",IF(H497&lt;M497,"L","T")))</x:f>
      </x:c>
      <x:c r="K497" t="str">
        <x:v>Central Michigan Chippewas</x:v>
      </x:c>
      <x:c r="L497" t="str">
        <x:v>CMU</x:v>
      </x:c>
      <x:c r="M497" s="69" t="n">
        <x:v>0</x:v>
      </x:c>
      <x:c r="N497" t="str">
        <x:v>2-1</x:v>
      </x:c>
      <x:c r="O497" t="str">
        <x:f>IF(E497&lt;&gt;TRUE,"",IF(M497&gt;H497,"W",IF(M497&lt;H497,"L","T")))</x:f>
      </x:c>
      <x:c r="P497" s="66" t="b">
        <x:v>0</x:v>
      </x:c>
      <x:c r="Q497" s="66" t="b">
        <x:v>1</x:v>
      </x:c>
      <x:c r="R497" t="str">
        <x:v>Kelly/Shorts Stadium</x:v>
      </x:c>
      <x:c r="S497" t="str"/>
      <x:c r="T497"/>
      <x:c r="U497" s="70"/>
      <x:c r="V497" s="70"/>
      <x:c r="W497"/>
      <x:c r="X497" t="str">
        <x:v>https://www.espn.com/college-football/game/_/gameId/401866443</x:v>
      </x:c>
    </x:row>
    <x:row r="498">
      <x:c r="A498" t="str">
        <x:v>CFB</x:v>
      </x:c>
      <x:c r="B498" t="n">
        <x:v>7</x:v>
      </x:c>
      <x:c r="C498" s="68" t="n">
        <x:v>46312</x:v>
      </x:c>
      <x:c r="D498" s="71" t="str">
        <x:v>pre</x:v>
      </x:c>
      <x:c r="E498" s="72" t="b">
        <x:v>0</x:v>
      </x:c>
      <x:c r="F498" t="str">
        <x:v>Toledo Rockets</x:v>
      </x:c>
      <x:c r="G498" t="str">
        <x:v>TOL</x:v>
      </x:c>
      <x:c r="H498" s="69" t="n">
        <x:v>0</x:v>
      </x:c>
      <x:c r="I498" t="str">
        <x:v>2-1</x:v>
      </x:c>
      <x:c r="J498" t="str">
        <x:f>IF(E498&lt;&gt;TRUE,"",IF(H498&gt;M498,"W",IF(H498&lt;M498,"L","T")))</x:f>
      </x:c>
      <x:c r="K498" t="str">
        <x:v>Eastern Michigan Eagles</x:v>
      </x:c>
      <x:c r="L498" t="str">
        <x:v>EMU</x:v>
      </x:c>
      <x:c r="M498" s="69" t="n">
        <x:v>0</x:v>
      </x:c>
      <x:c r="N498" t="str">
        <x:v>1-3</x:v>
      </x:c>
      <x:c r="O498" t="str">
        <x:f>IF(E498&lt;&gt;TRUE,"",IF(M498&gt;H498,"W",IF(M498&lt;H498,"L","T")))</x:f>
      </x:c>
      <x:c r="P498" s="66" t="b">
        <x:v>0</x:v>
      </x:c>
      <x:c r="Q498" s="66" t="b">
        <x:v>1</x:v>
      </x:c>
      <x:c r="R498" t="str">
        <x:v>Rynearson Stadium</x:v>
      </x:c>
      <x:c r="S498" t="str"/>
      <x:c r="T498"/>
      <x:c r="U498" s="70"/>
      <x:c r="V498" s="70"/>
      <x:c r="W498"/>
      <x:c r="X498" t="str">
        <x:v>https://www.espn.com/college-football/game/_/gameId/401866444</x:v>
      </x:c>
    </x:row>
    <x:row r="499">
      <x:c r="A499" t="str">
        <x:v>CFB</x:v>
      </x:c>
      <x:c r="B499" t="n">
        <x:v>7</x:v>
      </x:c>
      <x:c r="C499" s="68" t="n">
        <x:v>46312</x:v>
      </x:c>
      <x:c r="D499" s="71" t="str">
        <x:v>pre</x:v>
      </x:c>
      <x:c r="E499" s="72" t="b">
        <x:v>0</x:v>
      </x:c>
      <x:c r="F499" t="str">
        <x:v>Ohio Bobcats</x:v>
      </x:c>
      <x:c r="G499" t="str">
        <x:v>OHIO</x:v>
      </x:c>
      <x:c r="H499" s="69" t="n">
        <x:v>0</x:v>
      </x:c>
      <x:c r="I499" t="str">
        <x:v>1-2</x:v>
      </x:c>
      <x:c r="J499" t="str">
        <x:f>IF(E499&lt;&gt;TRUE,"",IF(H499&gt;M499,"W",IF(H499&lt;M499,"L","T")))</x:f>
      </x:c>
      <x:c r="K499" t="str">
        <x:v>Sacramento State Hornets</x:v>
      </x:c>
      <x:c r="L499" t="str">
        <x:v>SAC</x:v>
      </x:c>
      <x:c r="M499" s="69" t="n">
        <x:v>0</x:v>
      </x:c>
      <x:c r="N499" t="str">
        <x:v>1-3</x:v>
      </x:c>
      <x:c r="O499" t="str">
        <x:f>IF(E499&lt;&gt;TRUE,"",IF(M499&gt;H499,"W",IF(M499&lt;H499,"L","T")))</x:f>
      </x:c>
      <x:c r="P499" s="66" t="b">
        <x:v>0</x:v>
      </x:c>
      <x:c r="Q499" s="66" t="b">
        <x:v>1</x:v>
      </x:c>
      <x:c r="R499" t="str">
        <x:v>Hornet Stadium</x:v>
      </x:c>
      <x:c r="S499" t="str"/>
      <x:c r="T499"/>
      <x:c r="U499" s="70"/>
      <x:c r="V499" s="70"/>
      <x:c r="W499"/>
      <x:c r="X499" t="str">
        <x:v>https://www.espn.com/college-football/game/_/gameId/401866445</x:v>
      </x:c>
    </x:row>
    <x:row r="500">
      <x:c r="A500" t="str">
        <x:v>CFB</x:v>
      </x:c>
      <x:c r="B500" t="n">
        <x:v>7</x:v>
      </x:c>
      <x:c r="C500" s="68" t="n">
        <x:v>46312</x:v>
      </x:c>
      <x:c r="D500" s="71" t="str">
        <x:v>pre</x:v>
      </x:c>
      <x:c r="E500" s="72" t="b">
        <x:v>0</x:v>
      </x:c>
      <x:c r="F500" t="str">
        <x:v>Akron Zips</x:v>
      </x:c>
      <x:c r="G500" t="str">
        <x:v>AKR</x:v>
      </x:c>
      <x:c r="H500" s="69" t="n">
        <x:v>0</x:v>
      </x:c>
      <x:c r="I500" t="str">
        <x:v>1-2</x:v>
      </x:c>
      <x:c r="J500" t="str">
        <x:f>IF(E500&lt;&gt;TRUE,"",IF(H500&gt;M500,"W",IF(H500&lt;M500,"L","T")))</x:f>
      </x:c>
      <x:c r="K500" t="str">
        <x:v>Miami (OH) RedHawks</x:v>
      </x:c>
      <x:c r="L500" t="str">
        <x:v>M-OH</x:v>
      </x:c>
      <x:c r="M500" s="69" t="n">
        <x:v>0</x:v>
      </x:c>
      <x:c r="N500" t="str">
        <x:v>1-2</x:v>
      </x:c>
      <x:c r="O500" t="str">
        <x:f>IF(E500&lt;&gt;TRUE,"",IF(M500&gt;H500,"W",IF(M500&lt;H500,"L","T")))</x:f>
      </x:c>
      <x:c r="P500" s="66" t="b">
        <x:v>0</x:v>
      </x:c>
      <x:c r="Q500" s="66" t="b">
        <x:v>1</x:v>
      </x:c>
      <x:c r="R500" t="str">
        <x:v>Yager Stadium</x:v>
      </x:c>
      <x:c r="S500" t="str"/>
      <x:c r="T500"/>
      <x:c r="U500" s="70"/>
      <x:c r="V500" s="70"/>
      <x:c r="W500"/>
      <x:c r="X500" t="str">
        <x:v>https://www.espn.com/college-football/game/_/gameId/401866478</x:v>
      </x:c>
    </x:row>
    <x:row r="501">
      <x:c r="A501" t="str">
        <x:v>CFB</x:v>
      </x:c>
      <x:c r="B501" t="n">
        <x:v>7</x:v>
      </x:c>
      <x:c r="C501" s="68" t="n">
        <x:v>46312</x:v>
      </x:c>
      <x:c r="D501" s="71" t="str">
        <x:v>pre</x:v>
      </x:c>
      <x:c r="E501" s="72" t="b">
        <x:v>0</x:v>
      </x:c>
      <x:c r="F501" t="str">
        <x:v>Arkansas State Red Wolves</x:v>
      </x:c>
      <x:c r="G501" t="str">
        <x:v>ARST</x:v>
      </x:c>
      <x:c r="H501" s="69" t="n">
        <x:v>0</x:v>
      </x:c>
      <x:c r="I501" t="str">
        <x:v>1-2</x:v>
      </x:c>
      <x:c r="J501" t="str">
        <x:f>IF(E501&lt;&gt;TRUE,"",IF(H501&gt;M501,"W",IF(H501&lt;M501,"L","T")))</x:f>
      </x:c>
      <x:c r="K501" t="str">
        <x:v>Southern Miss Golden Eagles</x:v>
      </x:c>
      <x:c r="L501" t="str">
        <x:v>USM</x:v>
      </x:c>
      <x:c r="M501" s="69" t="n">
        <x:v>0</x:v>
      </x:c>
      <x:c r="N501" t="str">
        <x:v>1-2</x:v>
      </x:c>
      <x:c r="O501" t="str">
        <x:f>IF(E501&lt;&gt;TRUE,"",IF(M501&gt;H501,"W",IF(M501&lt;H501,"L","T")))</x:f>
      </x:c>
      <x:c r="P501" s="66" t="b">
        <x:v>0</x:v>
      </x:c>
      <x:c r="Q501" s="66" t="b">
        <x:v>1</x:v>
      </x:c>
      <x:c r="R501" t="str">
        <x:v>M. M. Roberts Stadium</x:v>
      </x:c>
      <x:c r="S501" t="str"/>
      <x:c r="T501"/>
      <x:c r="U501" s="70"/>
      <x:c r="V501" s="70"/>
      <x:c r="W501"/>
      <x:c r="X501" t="str">
        <x:v>https://www.espn.com/college-football/game/_/gameId/401869934</x:v>
      </x:c>
    </x:row>
    <x:row r="502">
      <x:c r="A502" t="str">
        <x:v>CFB</x:v>
      </x:c>
      <x:c r="B502" t="n">
        <x:v>7</x:v>
      </x:c>
      <x:c r="C502" s="68" t="n">
        <x:v>46312</x:v>
      </x:c>
      <x:c r="D502" s="71" t="str">
        <x:v>pre</x:v>
      </x:c>
      <x:c r="E502" s="72" t="b">
        <x:v>0</x:v>
      </x:c>
      <x:c r="F502" t="str">
        <x:v>Georgia State Panthers</x:v>
      </x:c>
      <x:c r="G502" t="str">
        <x:v>GAST</x:v>
      </x:c>
      <x:c r="H502" s="69" t="n">
        <x:v>0</x:v>
      </x:c>
      <x:c r="I502" t="str">
        <x:v>2-1</x:v>
      </x:c>
      <x:c r="J502" t="str">
        <x:f>IF(E502&lt;&gt;TRUE,"",IF(H502&gt;M502,"W",IF(H502&lt;M502,"L","T")))</x:f>
      </x:c>
      <x:c r="K502" t="str">
        <x:v>James Madison Dukes</x:v>
      </x:c>
      <x:c r="L502" t="str">
        <x:v>JMU</x:v>
      </x:c>
      <x:c r="M502" s="69" t="n">
        <x:v>0</x:v>
      </x:c>
      <x:c r="N502" t="str">
        <x:v>3-0</x:v>
      </x:c>
      <x:c r="O502" t="str">
        <x:f>IF(E502&lt;&gt;TRUE,"",IF(M502&gt;H502,"W",IF(M502&lt;H502,"L","T")))</x:f>
      </x:c>
      <x:c r="P502" s="66" t="b">
        <x:v>0</x:v>
      </x:c>
      <x:c r="Q502" s="66" t="b">
        <x:v>1</x:v>
      </x:c>
      <x:c r="R502" t="str">
        <x:v>Bridgeforth Stadium</x:v>
      </x:c>
      <x:c r="S502" t="str"/>
      <x:c r="T502"/>
      <x:c r="U502" s="70"/>
      <x:c r="V502" s="70"/>
      <x:c r="W502"/>
      <x:c r="X502" t="str">
        <x:v>https://www.espn.com/college-football/game/_/gameId/401869957</x:v>
      </x:c>
    </x:row>
    <x:row r="503">
      <x:c r="A503" t="str">
        <x:v>CFB</x:v>
      </x:c>
      <x:c r="B503" t="n">
        <x:v>7</x:v>
      </x:c>
      <x:c r="C503" s="68" t="n">
        <x:v>46312</x:v>
      </x:c>
      <x:c r="D503" s="71" t="str">
        <x:v>pre</x:v>
      </x:c>
      <x:c r="E503" s="72" t="b">
        <x:v>0</x:v>
      </x:c>
      <x:c r="F503" t="str">
        <x:v>Troy Trojans</x:v>
      </x:c>
      <x:c r="G503" t="str">
        <x:v>TROY</x:v>
      </x:c>
      <x:c r="H503" s="69" t="n">
        <x:v>0</x:v>
      </x:c>
      <x:c r="I503" t="str">
        <x:v>2-1</x:v>
      </x:c>
      <x:c r="J503" t="str">
        <x:f>IF(E503&lt;&gt;TRUE,"",IF(H503&gt;M503,"W",IF(H503&lt;M503,"L","T")))</x:f>
      </x:c>
      <x:c r="K503" t="str">
        <x:v>Louisiana Ragin' Cajuns</x:v>
      </x:c>
      <x:c r="L503" t="str">
        <x:v>UL</x:v>
      </x:c>
      <x:c r="M503" s="69" t="n">
        <x:v>0</x:v>
      </x:c>
      <x:c r="N503" t="str">
        <x:v>2-1</x:v>
      </x:c>
      <x:c r="O503" t="str">
        <x:f>IF(E503&lt;&gt;TRUE,"",IF(M503&gt;H503,"W",IF(M503&lt;H503,"L","T")))</x:f>
      </x:c>
      <x:c r="P503" s="66" t="b">
        <x:v>0</x:v>
      </x:c>
      <x:c r="Q503" s="66" t="b">
        <x:v>1</x:v>
      </x:c>
      <x:c r="R503" t="str">
        <x:v>Our Lady of Lourdes Stadium</x:v>
      </x:c>
      <x:c r="S503" t="str"/>
      <x:c r="T503"/>
      <x:c r="U503" s="70"/>
      <x:c r="V503" s="70"/>
      <x:c r="W503"/>
      <x:c r="X503" t="str">
        <x:v>https://www.espn.com/college-football/game/_/gameId/401869966</x:v>
      </x:c>
    </x:row>
    <x:row r="504">
      <x:c r="A504" t="str">
        <x:v>CFB</x:v>
      </x:c>
      <x:c r="B504" t="n">
        <x:v>7</x:v>
      </x:c>
      <x:c r="C504" s="68" t="n">
        <x:v>46312</x:v>
      </x:c>
      <x:c r="D504" s="71" t="str">
        <x:v>pre</x:v>
      </x:c>
      <x:c r="E504" s="72" t="b">
        <x:v>0</x:v>
      </x:c>
      <x:c r="F504" t="str">
        <x:v>Louisiana Tech Bulldogs</x:v>
      </x:c>
      <x:c r="G504" t="str">
        <x:v>LT</x:v>
      </x:c>
      <x:c r="H504" s="69" t="n">
        <x:v>0</x:v>
      </x:c>
      <x:c r="I504" t="str">
        <x:v>1-2</x:v>
      </x:c>
      <x:c r="J504" t="str">
        <x:f>IF(E504&lt;&gt;TRUE,"",IF(H504&gt;M504,"W",IF(H504&lt;M504,"L","T")))</x:f>
      </x:c>
      <x:c r="K504" t="str">
        <x:v>UL Monroe Warhawks</x:v>
      </x:c>
      <x:c r="L504" t="str">
        <x:v>ULM</x:v>
      </x:c>
      <x:c r="M504" s="69" t="n">
        <x:v>0</x:v>
      </x:c>
      <x:c r="N504" t="str">
        <x:v>0-3</x:v>
      </x:c>
      <x:c r="O504" t="str">
        <x:f>IF(E504&lt;&gt;TRUE,"",IF(M504&gt;H504,"W",IF(M504&lt;H504,"L","T")))</x:f>
      </x:c>
      <x:c r="P504" s="66" t="b">
        <x:v>0</x:v>
      </x:c>
      <x:c r="Q504" s="66" t="b">
        <x:v>1</x:v>
      </x:c>
      <x:c r="R504" t="str">
        <x:v>Malone Stadium</x:v>
      </x:c>
      <x:c r="S504" t="str"/>
      <x:c r="T504"/>
      <x:c r="U504" s="70"/>
      <x:c r="V504" s="70"/>
      <x:c r="W504"/>
      <x:c r="X504" t="str">
        <x:v>https://www.espn.com/college-football/game/_/gameId/401871091</x:v>
      </x:c>
    </x:row>
    <x:row r="505">
      <x:c r="A505" t="str">
        <x:v>CFB</x:v>
      </x:c>
      <x:c r="B505" t="n">
        <x:v>7</x:v>
      </x:c>
      <x:c r="C505" s="68" t="n">
        <x:v>46312.666666666664</x:v>
      </x:c>
      <x:c r="D505" s="71" t="str">
        <x:v>pre</x:v>
      </x:c>
      <x:c r="E505" s="72" t="b">
        <x:v>0</x:v>
      </x:c>
      <x:c r="F505" t="str">
        <x:v>Florida Atlantic Owls</x:v>
      </x:c>
      <x:c r="G505" t="str">
        <x:v>FAU</x:v>
      </x:c>
      <x:c r="H505" s="69" t="n">
        <x:v>0</x:v>
      </x:c>
      <x:c r="I505" t="str">
        <x:v>2-1</x:v>
      </x:c>
      <x:c r="J505" t="str">
        <x:f>IF(E505&lt;&gt;TRUE,"",IF(H505&gt;M505,"W",IF(H505&lt;M505,"L","T")))</x:f>
      </x:c>
      <x:c r="K505" t="str">
        <x:v>Army Black Knights</x:v>
      </x:c>
      <x:c r="L505" t="str">
        <x:v>ARMY</x:v>
      </x:c>
      <x:c r="M505" s="69" t="n">
        <x:v>0</x:v>
      </x:c>
      <x:c r="N505" t="str">
        <x:v>1-1</x:v>
      </x:c>
      <x:c r="O505" t="str">
        <x:f>IF(E505&lt;&gt;TRUE,"",IF(M505&gt;H505,"W",IF(M505&lt;H505,"L","T")))</x:f>
      </x:c>
      <x:c r="P505" s="66" t="b">
        <x:v>0</x:v>
      </x:c>
      <x:c r="Q505" s="66" t="b">
        <x:v>1</x:v>
      </x:c>
      <x:c r="R505" t="str">
        <x:v>Michie Stadium</x:v>
      </x:c>
      <x:c r="S505" t="str">
        <x:v>CBSSN</x:v>
      </x:c>
      <x:c r="T505"/>
      <x:c r="U505" s="70"/>
      <x:c r="V505" s="70"/>
      <x:c r="W505"/>
      <x:c r="X505" t="str">
        <x:v>https://www.espn.com/college-football/game/_/gameId/401862802</x:v>
      </x:c>
    </x:row>
    <x:row r="506">
      <x:c r="A506" t="str">
        <x:v>CFB</x:v>
      </x:c>
      <x:c r="B506" t="n">
        <x:v>7</x:v>
      </x:c>
      <x:c r="C506" s="68" t="n">
        <x:v>46312.708333333336</x:v>
      </x:c>
      <x:c r="D506" s="71" t="str">
        <x:v>pre</x:v>
      </x:c>
      <x:c r="E506" s="72" t="b">
        <x:v>0</x:v>
      </x:c>
      <x:c r="F506" t="str">
        <x:v>The Citadel Bulldogs</x:v>
      </x:c>
      <x:c r="G506" t="str">
        <x:v>CIT</x:v>
      </x:c>
      <x:c r="H506" s="69" t="n">
        <x:v>0</x:v>
      </x:c>
      <x:c r="I506" t="str">
        <x:v>1-2</x:v>
      </x:c>
      <x:c r="J506" t="str">
        <x:f>IF(E506&lt;&gt;TRUE,"",IF(H506&gt;M506,"W",IF(H506&lt;M506,"L","T")))</x:f>
      </x:c>
      <x:c r="K506" t="str">
        <x:v>Texas A&amp;M Aggies</x:v>
      </x:c>
      <x:c r="L506" t="str">
        <x:v>TA&amp;M</x:v>
      </x:c>
      <x:c r="M506" s="69" t="n">
        <x:v>0</x:v>
      </x:c>
      <x:c r="N506" t="str">
        <x:v>2-1</x:v>
      </x:c>
      <x:c r="O506" t="str">
        <x:f>IF(E506&lt;&gt;TRUE,"",IF(M506&gt;H506,"W",IF(M506&lt;H506,"L","T")))</x:f>
      </x:c>
      <x:c r="P506" s="66" t="b">
        <x:v>0</x:v>
      </x:c>
      <x:c r="Q506" s="66" t="b">
        <x:v>0</x:v>
      </x:c>
      <x:c r="R506" t="str">
        <x:v>Kyle Field</x:v>
      </x:c>
      <x:c r="S506" t="str">
        <x:v>SECN+</x:v>
      </x:c>
      <x:c r="T506"/>
      <x:c r="U506" s="70"/>
      <x:c r="V506" s="70"/>
      <x:c r="W506"/>
      <x:c r="X506" t="str">
        <x:v>https://www.espn.com/college-football/game/_/gameId/401856725</x:v>
      </x:c>
    </x:row>
    <x:row r="507">
      <x:c r="A507" t="str">
        <x:v>CFB</x:v>
      </x:c>
      <x:c r="B507" t="n">
        <x:v>7</x:v>
      </x:c>
      <x:c r="C507" s="68" t="n">
        <x:v>46312.8125</x:v>
      </x:c>
      <x:c r="D507" s="71" t="str">
        <x:v>pre</x:v>
      </x:c>
      <x:c r="E507" s="72" t="b">
        <x:v>0</x:v>
      </x:c>
      <x:c r="F507" t="str">
        <x:v>Northern Illinois Huskies</x:v>
      </x:c>
      <x:c r="G507" t="str">
        <x:v>NIU</x:v>
      </x:c>
      <x:c r="H507" s="69" t="n">
        <x:v>0</x:v>
      </x:c>
      <x:c r="I507" t="str">
        <x:v>0-3</x:v>
      </x:c>
      <x:c r="J507" t="str">
        <x:f>IF(E507&lt;&gt;TRUE,"",IF(H507&gt;M507,"W",IF(H507&lt;M507,"L","T")))</x:f>
      </x:c>
      <x:c r="K507" t="str">
        <x:v>Wyoming Cowboys</x:v>
      </x:c>
      <x:c r="L507" t="str">
        <x:v>WYO</x:v>
      </x:c>
      <x:c r="M507" s="69" t="n">
        <x:v>0</x:v>
      </x:c>
      <x:c r="N507" t="str">
        <x:v>1-2</x:v>
      </x:c>
      <x:c r="O507" t="str">
        <x:f>IF(E507&lt;&gt;TRUE,"",IF(M507&gt;H507,"W",IF(M507&lt;H507,"L","T")))</x:f>
      </x:c>
      <x:c r="P507" s="66" t="b">
        <x:v>0</x:v>
      </x:c>
      <x:c r="Q507" s="66" t="b">
        <x:v>1</x:v>
      </x:c>
      <x:c r="R507" t="str">
        <x:v>War Memorial Stadium</x:v>
      </x:c>
      <x:c r="S507" t="str">
        <x:v>CW</x:v>
      </x:c>
      <x:c r="T507"/>
      <x:c r="U507" s="70"/>
      <x:c r="V507" s="70"/>
      <x:c r="W507"/>
      <x:c r="X507" t="str">
        <x:v>https://www.espn.com/college-football/game/_/gameId/401864522</x:v>
      </x:c>
    </x:row>
    <x:row r="508">
      <x:c r="A508" t="str">
        <x:v>CFB</x:v>
      </x:c>
      <x:c r="B508" t="n">
        <x:v>7</x:v>
      </x:c>
      <x:c r="C508" s="68" t="n">
        <x:v>46312.8125</x:v>
      </x:c>
      <x:c r="D508" s="71" t="str">
        <x:v>pre</x:v>
      </x:c>
      <x:c r="E508" s="72" t="b">
        <x:v>0</x:v>
      </x:c>
      <x:c r="F508" t="str">
        <x:v>UNLV Rebels</x:v>
      </x:c>
      <x:c r="G508" t="str">
        <x:v>UNLV</x:v>
      </x:c>
      <x:c r="H508" s="69" t="n">
        <x:v>0</x:v>
      </x:c>
      <x:c r="I508" t="str">
        <x:v>1-2</x:v>
      </x:c>
      <x:c r="J508" t="str">
        <x:f>IF(E508&lt;&gt;TRUE,"",IF(H508&gt;M508,"W",IF(H508&lt;M508,"L","T")))</x:f>
      </x:c>
      <x:c r="K508" t="str">
        <x:v>Air Force Falcons</x:v>
      </x:c>
      <x:c r="L508" t="str">
        <x:v>AFA</x:v>
      </x:c>
      <x:c r="M508" s="69" t="n">
        <x:v>0</x:v>
      </x:c>
      <x:c r="N508" t="str">
        <x:v>1-1</x:v>
      </x:c>
      <x:c r="O508" t="str">
        <x:f>IF(E508&lt;&gt;TRUE,"",IF(M508&gt;H508,"W",IF(M508&lt;H508,"L","T")))</x:f>
      </x:c>
      <x:c r="P508" s="66" t="b">
        <x:v>0</x:v>
      </x:c>
      <x:c r="Q508" s="66" t="b">
        <x:v>1</x:v>
      </x:c>
      <x:c r="R508" t="str">
        <x:v>Falcon Stadium</x:v>
      </x:c>
      <x:c r="S508" t="str">
        <x:v>CBSSN</x:v>
      </x:c>
      <x:c r="T508"/>
      <x:c r="U508" s="70"/>
      <x:c r="V508" s="70"/>
      <x:c r="W508"/>
      <x:c r="X508" t="str">
        <x:v>https://www.espn.com/college-football/game/_/gameId/401864524</x:v>
      </x:c>
    </x:row>
    <x:row r="509">
      <x:c r="A509" t="str">
        <x:v>CFB</x:v>
      </x:c>
      <x:c r="B509" t="n">
        <x:v>7</x:v>
      </x:c>
      <x:c r="C509" s="68" t="n">
        <x:v>46312.916666666664</x:v>
      </x:c>
      <x:c r="D509" s="71" t="str">
        <x:v>pre</x:v>
      </x:c>
      <x:c r="E509" s="72" t="b">
        <x:v>0</x:v>
      </x:c>
      <x:c r="F509" t="str">
        <x:v>Washington State Cougars</x:v>
      </x:c>
      <x:c r="G509" t="str">
        <x:v>WSU</x:v>
      </x:c>
      <x:c r="H509" s="69" t="n">
        <x:v>0</x:v>
      </x:c>
      <x:c r="I509" t="str">
        <x:v>1-2</x:v>
      </x:c>
      <x:c r="J509" t="str">
        <x:f>IF(E509&lt;&gt;TRUE,"",IF(H509&gt;M509,"W",IF(H509&lt;M509,"L","T")))</x:f>
      </x:c>
      <x:c r="K509" t="str">
        <x:v>Oregon State Beavers</x:v>
      </x:c>
      <x:c r="L509" t="str">
        <x:v>ORST</x:v>
      </x:c>
      <x:c r="M509" s="69" t="n">
        <x:v>0</x:v>
      </x:c>
      <x:c r="N509" t="str">
        <x:v>1-2</x:v>
      </x:c>
      <x:c r="O509" t="str">
        <x:f>IF(E509&lt;&gt;TRUE,"",IF(M509&gt;H509,"W",IF(M509&lt;H509,"L","T")))</x:f>
      </x:c>
      <x:c r="P509" s="66" t="b">
        <x:v>0</x:v>
      </x:c>
      <x:c r="Q509" s="66" t="b">
        <x:v>1</x:v>
      </x:c>
      <x:c r="R509" t="str">
        <x:v>Reser Stadium</x:v>
      </x:c>
      <x:c r="S509" t="str">
        <x:v>USA Net</x:v>
      </x:c>
      <x:c r="T509"/>
      <x:c r="U509" s="70"/>
      <x:c r="V509" s="70"/>
      <x:c r="W509"/>
      <x:c r="X509" t="str">
        <x:v>https://www.espn.com/college-football/game/_/gameId/401860903</x:v>
      </x:c>
    </x:row>
    <x:row r="510">
      <x:c r="A510" t="str">
        <x:v>CFB</x:v>
      </x:c>
      <x:c r="B510" t="n">
        <x:v>7</x:v>
      </x:c>
      <x:c r="C510" s="68" t="n">
        <x:v>46312.958333333336</x:v>
      </x:c>
      <x:c r="D510" s="71" t="str">
        <x:v>pre</x:v>
      </x:c>
      <x:c r="E510" s="72" t="b">
        <x:v>0</x:v>
      </x:c>
      <x:c r="F510" t="str">
        <x:v>Nevada Wolf Pack</x:v>
      </x:c>
      <x:c r="G510" t="str">
        <x:v>NEV</x:v>
      </x:c>
      <x:c r="H510" s="69" t="n">
        <x:v>0</x:v>
      </x:c>
      <x:c r="I510" t="str">
        <x:v>1-2</x:v>
      </x:c>
      <x:c r="J510" t="str">
        <x:f>IF(E510&lt;&gt;TRUE,"",IF(H510&gt;M510,"W",IF(H510&lt;M510,"L","T")))</x:f>
      </x:c>
      <x:c r="K510" t="str">
        <x:v>North Dakota State Bison</x:v>
      </x:c>
      <x:c r="L510" t="str">
        <x:v>NDSU</x:v>
      </x:c>
      <x:c r="M510" s="69" t="n">
        <x:v>0</x:v>
      </x:c>
      <x:c r="N510" t="str">
        <x:v>4-0</x:v>
      </x:c>
      <x:c r="O510" t="str">
        <x:f>IF(E510&lt;&gt;TRUE,"",IF(M510&gt;H510,"W",IF(M510&lt;H510,"L","T")))</x:f>
      </x:c>
      <x:c r="P510" s="66" t="b">
        <x:v>0</x:v>
      </x:c>
      <x:c r="Q510" s="66" t="b">
        <x:v>1</x:v>
      </x:c>
      <x:c r="R510" t="str">
        <x:v>Fargodome</x:v>
      </x:c>
      <x:c r="S510" t="str">
        <x:v>CBSSN</x:v>
      </x:c>
      <x:c r="T510"/>
      <x:c r="U510" s="70"/>
      <x:c r="V510" s="70"/>
      <x:c r="W510"/>
      <x:c r="X510" t="str">
        <x:v>https://www.espn.com/college-football/game/_/gameId/401864520</x:v>
      </x:c>
    </x:row>
    <x:row r="511">
      <x:c r="A511" t="str">
        <x:v>CFB</x:v>
      </x:c>
      <x:c r="B511" t="n">
        <x:v>7</x:v>
      </x:c>
      <x:c r="C511" s="68" t="n">
        <x:v>46312.979166666664</x:v>
      </x:c>
      <x:c r="D511" s="71" t="str">
        <x:v>pre</x:v>
      </x:c>
      <x:c r="E511" s="72" t="b">
        <x:v>0</x:v>
      </x:c>
      <x:c r="F511" t="str">
        <x:v>Elon Phoenix</x:v>
      </x:c>
      <x:c r="G511" t="str">
        <x:v>ELON</x:v>
      </x:c>
      <x:c r="H511" s="69" t="n">
        <x:v>0</x:v>
      </x:c>
      <x:c r="I511" t="str">
        <x:v>3-1</x:v>
      </x:c>
      <x:c r="J511" t="str">
        <x:f>IF(E511&lt;&gt;TRUE,"",IF(H511&gt;M511,"W",IF(H511&lt;M511,"L","T")))</x:f>
      </x:c>
      <x:c r="K511" t="str">
        <x:v>Stanford Cardinal</x:v>
      </x:c>
      <x:c r="L511" t="str">
        <x:v>STAN</x:v>
      </x:c>
      <x:c r="M511" s="69" t="n">
        <x:v>0</x:v>
      </x:c>
      <x:c r="N511" t="str">
        <x:v>1-2</x:v>
      </x:c>
      <x:c r="O511" t="str">
        <x:f>IF(E511&lt;&gt;TRUE,"",IF(M511&gt;H511,"W",IF(M511&lt;H511,"L","T")))</x:f>
      </x:c>
      <x:c r="P511" s="66" t="b">
        <x:v>0</x:v>
      </x:c>
      <x:c r="Q511" s="66" t="b">
        <x:v>0</x:v>
      </x:c>
      <x:c r="R511" t="str">
        <x:v>Stanford Stadium</x:v>
      </x:c>
      <x:c r="S511" t="str">
        <x:v>ACCNX</x:v>
      </x:c>
      <x:c r="T511"/>
      <x:c r="U511" s="70"/>
      <x:c r="V511" s="70"/>
      <x:c r="W511"/>
      <x:c r="X511" t="str">
        <x:v>https://www.espn.com/college-football/game/_/gameId/401858262</x:v>
      </x:c>
    </x:row>
    <x:row r="512">
      <x:c r="A512" t="str">
        <x:v>CFB</x:v>
      </x:c>
      <x:c r="B512" t="n">
        <x:v>7</x:v>
      </x:c>
      <x:c r="C512" s="68" t="n">
        <x:v>46313.041666666664</x:v>
      </x:c>
      <x:c r="D512" s="71" t="str">
        <x:v>pre</x:v>
      </x:c>
      <x:c r="E512" s="72" t="b">
        <x:v>0</x:v>
      </x:c>
      <x:c r="F512" t="str">
        <x:v>San José State Spartans</x:v>
      </x:c>
      <x:c r="G512" t="str">
        <x:v>SJSU</x:v>
      </x:c>
      <x:c r="H512" s="69" t="n">
        <x:v>0</x:v>
      </x:c>
      <x:c r="I512" t="str">
        <x:v>2-2</x:v>
      </x:c>
      <x:c r="J512" t="str">
        <x:f>IF(E512&lt;&gt;TRUE,"",IF(H512&gt;M512,"W",IF(H512&lt;M512,"L","T")))</x:f>
      </x:c>
      <x:c r="K512" t="str">
        <x:v>UTEP Miners</x:v>
      </x:c>
      <x:c r="L512" t="str">
        <x:v>UTEP</x:v>
      </x:c>
      <x:c r="M512" s="69" t="n">
        <x:v>0</x:v>
      </x:c>
      <x:c r="N512" t="str">
        <x:v>1-2</x:v>
      </x:c>
      <x:c r="O512" t="str">
        <x:f>IF(E512&lt;&gt;TRUE,"",IF(M512&gt;H512,"W",IF(M512&lt;H512,"L","T")))</x:f>
      </x:c>
      <x:c r="P512" s="66" t="b">
        <x:v>0</x:v>
      </x:c>
      <x:c r="Q512" s="66" t="b">
        <x:v>1</x:v>
      </x:c>
      <x:c r="R512" t="str">
        <x:v>Sun Bowl</x:v>
      </x:c>
      <x:c r="S512" t="str">
        <x:v>MW+</x:v>
      </x:c>
      <x:c r="T512"/>
      <x:c r="U512" s="70"/>
      <x:c r="V512" s="70"/>
      <x:c r="W512"/>
      <x:c r="X512" t="str">
        <x:v>https://www.espn.com/college-football/game/_/gameId/401864523</x:v>
      </x:c>
    </x:row>
    <x:row r="513">
      <x:c r="A513" t="str">
        <x:v>CFB</x:v>
      </x:c>
      <x:c r="B513" t="n">
        <x:v>7</x:v>
      </x:c>
      <x:c r="C513" s="68" t="n">
        <x:v>46313.104166666664</x:v>
      </x:c>
      <x:c r="D513" s="71" t="str">
        <x:v>pre</x:v>
      </x:c>
      <x:c r="E513" s="72" t="b">
        <x:v>0</x:v>
      </x:c>
      <x:c r="F513" t="str">
        <x:v>Fresno State Bulldogs</x:v>
      </x:c>
      <x:c r="G513" t="str">
        <x:v>FRES</x:v>
      </x:c>
      <x:c r="H513" s="69" t="n">
        <x:v>0</x:v>
      </x:c>
      <x:c r="I513" t="str">
        <x:v>2-1</x:v>
      </x:c>
      <x:c r="J513" t="str">
        <x:f>IF(E513&lt;&gt;TRUE,"",IF(H513&gt;M513,"W",IF(H513&lt;M513,"L","T")))</x:f>
      </x:c>
      <x:c r="K513" t="str">
        <x:v>San Diego State Aztecs</x:v>
      </x:c>
      <x:c r="L513" t="str">
        <x:v>SDSU</x:v>
      </x:c>
      <x:c r="M513" s="69" t="n">
        <x:v>0</x:v>
      </x:c>
      <x:c r="N513" t="str">
        <x:v>1-2</x:v>
      </x:c>
      <x:c r="O513" t="str">
        <x:f>IF(E513&lt;&gt;TRUE,"",IF(M513&gt;H513,"W",IF(M513&lt;H513,"L","T")))</x:f>
      </x:c>
      <x:c r="P513" s="66" t="b">
        <x:v>0</x:v>
      </x:c>
      <x:c r="Q513" s="66" t="b">
        <x:v>1</x:v>
      </x:c>
      <x:c r="R513" t="str">
        <x:v>Snapdragon Stadium</x:v>
      </x:c>
      <x:c r="S513" t="str">
        <x:v>CBSSN</x:v>
      </x:c>
      <x:c r="T513"/>
      <x:c r="U513" s="70"/>
      <x:c r="V513" s="70"/>
      <x:c r="W513"/>
      <x:c r="X513" t="str">
        <x:v>https://www.espn.com/college-football/game/_/gameId/401860904</x:v>
      </x:c>
    </x:row>
    <x:row r="514">
      <x:c r="A514" t="str">
        <x:v>CFB</x:v>
      </x:c>
      <x:c r="B514" t="n">
        <x:v>8</x:v>
      </x:c>
      <x:c r="C514" s="68" t="n">
        <x:v>46315.958333333336</x:v>
      </x:c>
      <x:c r="D514" s="71" t="str">
        <x:v>pre</x:v>
      </x:c>
      <x:c r="E514" s="72" t="b">
        <x:v>0</x:v>
      </x:c>
      <x:c r="F514" t="str">
        <x:v>Middle Tennessee Blue Raiders</x:v>
      </x:c>
      <x:c r="G514" t="str">
        <x:v>MTSU</x:v>
      </x:c>
      <x:c r="H514" s="69" t="n">
        <x:v>0</x:v>
      </x:c>
      <x:c r="I514" t="str">
        <x:v>2-1</x:v>
      </x:c>
      <x:c r="J514" t="str">
        <x:f>IF(E514&lt;&gt;TRUE,"",IF(H514&gt;M514,"W",IF(H514&lt;M514,"L","T")))</x:f>
      </x:c>
      <x:c r="K514" t="str">
        <x:v>Florida International Panthers</x:v>
      </x:c>
      <x:c r="L514" t="str">
        <x:v>FIU</x:v>
      </x:c>
      <x:c r="M514" s="69" t="n">
        <x:v>0</x:v>
      </x:c>
      <x:c r="N514" t="str">
        <x:v>1-2</x:v>
      </x:c>
      <x:c r="O514" t="str">
        <x:f>IF(E514&lt;&gt;TRUE,"",IF(M514&gt;H514,"W",IF(M514&lt;H514,"L","T")))</x:f>
      </x:c>
      <x:c r="P514" s="66" t="b">
        <x:v>0</x:v>
      </x:c>
      <x:c r="Q514" s="66" t="b">
        <x:v>1</x:v>
      </x:c>
      <x:c r="R514" t="str">
        <x:v>Pitbull Stadium</x:v>
      </x:c>
      <x:c r="S514" t="str">
        <x:v>CBSSN</x:v>
      </x:c>
      <x:c r="T514"/>
      <x:c r="U514" s="70"/>
      <x:c r="V514" s="70"/>
      <x:c r="W514"/>
      <x:c r="X514" t="str">
        <x:v>https://www.espn.com/college-football/game/_/gameId/401871055</x:v>
      </x:c>
    </x:row>
    <x:row r="515">
      <x:c r="A515" t="str">
        <x:v>CFB</x:v>
      </x:c>
      <x:c r="B515" t="n">
        <x:v>8</x:v>
      </x:c>
      <x:c r="C515" s="68" t="n">
        <x:v>46315.958333333336</x:v>
      </x:c>
      <x:c r="D515" s="71" t="str">
        <x:v>pre</x:v>
      </x:c>
      <x:c r="E515" s="72" t="b">
        <x:v>0</x:v>
      </x:c>
      <x:c r="F515" t="str">
        <x:v>Missouri State Bears</x:v>
      </x:c>
      <x:c r="G515" t="str">
        <x:v>MOST</x:v>
      </x:c>
      <x:c r="H515" s="69" t="n">
        <x:v>0</x:v>
      </x:c>
      <x:c r="I515" t="str">
        <x:v>1-2</x:v>
      </x:c>
      <x:c r="J515" t="str">
        <x:f>IF(E515&lt;&gt;TRUE,"",IF(H515&gt;M515,"W",IF(H515&lt;M515,"L","T")))</x:f>
      </x:c>
      <x:c r="K515" t="str">
        <x:v>Delaware Blue Hens</x:v>
      </x:c>
      <x:c r="L515" t="str">
        <x:v>DEL</x:v>
      </x:c>
      <x:c r="M515" s="69" t="n">
        <x:v>0</x:v>
      </x:c>
      <x:c r="N515" t="str">
        <x:v>2-1</x:v>
      </x:c>
      <x:c r="O515" t="str">
        <x:f>IF(E515&lt;&gt;TRUE,"",IF(M515&gt;H515,"W",IF(M515&lt;H515,"L","T")))</x:f>
      </x:c>
      <x:c r="P515" s="66" t="b">
        <x:v>0</x:v>
      </x:c>
      <x:c r="Q515" s="66" t="b">
        <x:v>1</x:v>
      </x:c>
      <x:c r="R515" t="str">
        <x:v>Delaware Stadium</x:v>
      </x:c>
      <x:c r="S515" t="str">
        <x:v>ESPNU</x:v>
      </x:c>
      <x:c r="T515"/>
      <x:c r="U515" s="70"/>
      <x:c r="V515" s="70"/>
      <x:c r="W515"/>
      <x:c r="X515" t="str">
        <x:v>https://www.espn.com/college-football/game/_/gameId/401871069</x:v>
      </x:c>
    </x:row>
    <x:row r="516">
      <x:c r="A516" t="str">
        <x:v>CFB</x:v>
      </x:c>
      <x:c r="B516" t="n">
        <x:v>8</x:v>
      </x:c>
      <x:c r="C516" s="68" t="n">
        <x:v>46315.979166666664</x:v>
      </x:c>
      <x:c r="D516" s="71" t="str">
        <x:v>pre</x:v>
      </x:c>
      <x:c r="E516" s="72" t="b">
        <x:v>0</x:v>
      </x:c>
      <x:c r="F516" t="str">
        <x:v>South Alabama Jaguars</x:v>
      </x:c>
      <x:c r="G516" t="str">
        <x:v>USA</x:v>
      </x:c>
      <x:c r="H516" s="69" t="n">
        <x:v>0</x:v>
      </x:c>
      <x:c r="I516" t="str">
        <x:v>2-1</x:v>
      </x:c>
      <x:c r="J516" t="str">
        <x:f>IF(E516&lt;&gt;TRUE,"",IF(H516&gt;M516,"W",IF(H516&lt;M516,"L","T")))</x:f>
      </x:c>
      <x:c r="K516" t="str">
        <x:v>Marshall Thundering Herd</x:v>
      </x:c>
      <x:c r="L516" t="str">
        <x:v>MRSH</x:v>
      </x:c>
      <x:c r="M516" s="69" t="n">
        <x:v>0</x:v>
      </x:c>
      <x:c r="N516" t="str">
        <x:v>2-1</x:v>
      </x:c>
      <x:c r="O516" t="str">
        <x:f>IF(E516&lt;&gt;TRUE,"",IF(M516&gt;H516,"W",IF(M516&lt;H516,"L","T")))</x:f>
      </x:c>
      <x:c r="P516" s="66" t="b">
        <x:v>0</x:v>
      </x:c>
      <x:c r="Q516" s="66" t="b">
        <x:v>1</x:v>
      </x:c>
      <x:c r="R516" t="str">
        <x:v>Joan C. Edwards Stadium</x:v>
      </x:c>
      <x:c r="S516" t="str">
        <x:v>ESPN2</x:v>
      </x:c>
      <x:c r="T516"/>
      <x:c r="U516" s="70"/>
      <x:c r="V516" s="70"/>
      <x:c r="W516"/>
      <x:c r="X516" t="str">
        <x:v>https://www.espn.com/college-football/game/_/gameId/401871092</x:v>
      </x:c>
    </x:row>
    <x:row r="517">
      <x:c r="A517" t="str">
        <x:v>CFB</x:v>
      </x:c>
      <x:c r="B517" t="n">
        <x:v>8</x:v>
      </x:c>
      <x:c r="C517" s="68" t="n">
        <x:v>46317</x:v>
      </x:c>
      <x:c r="D517" s="71" t="str">
        <x:v>pre</x:v>
      </x:c>
      <x:c r="E517" s="72" t="b">
        <x:v>0</x:v>
      </x:c>
      <x:c r="F517" t="str">
        <x:v>New Mexico State Aggies</x:v>
      </x:c>
      <x:c r="G517" t="str">
        <x:v>NMSU</x:v>
      </x:c>
      <x:c r="H517" s="69" t="n">
        <x:v>0</x:v>
      </x:c>
      <x:c r="I517" t="str">
        <x:v>1-2</x:v>
      </x:c>
      <x:c r="J517" t="str">
        <x:f>IF(E517&lt;&gt;TRUE,"",IF(H517&gt;M517,"W",IF(H517&lt;M517,"L","T")))</x:f>
      </x:c>
      <x:c r="K517" t="str">
        <x:v>Sam Houston Bearkats</x:v>
      </x:c>
      <x:c r="L517" t="str">
        <x:v>SHSU</x:v>
      </x:c>
      <x:c r="M517" s="69" t="n">
        <x:v>0</x:v>
      </x:c>
      <x:c r="N517" t="str">
        <x:v>1-2</x:v>
      </x:c>
      <x:c r="O517" t="str">
        <x:f>IF(E517&lt;&gt;TRUE,"",IF(M517&gt;H517,"W",IF(M517&lt;H517,"L","T")))</x:f>
      </x:c>
      <x:c r="P517" s="66" t="b">
        <x:v>0</x:v>
      </x:c>
      <x:c r="Q517" s="66" t="b">
        <x:v>1</x:v>
      </x:c>
      <x:c r="R517" t="str">
        <x:v>Elliott T. Bowers Stadium</x:v>
      </x:c>
      <x:c r="S517" t="str">
        <x:v>ESPN2</x:v>
      </x:c>
      <x:c r="T517"/>
      <x:c r="U517" s="70"/>
      <x:c r="V517" s="70"/>
      <x:c r="W517"/>
      <x:c r="X517" t="str">
        <x:v>https://www.espn.com/college-football/game/_/gameId/401871070</x:v>
      </x:c>
    </x:row>
    <x:row r="518">
      <x:c r="A518" t="str">
        <x:v>CFB</x:v>
      </x:c>
      <x:c r="B518" t="n">
        <x:v>8</x:v>
      </x:c>
      <x:c r="C518" s="68" t="n">
        <x:v>46317.958333333336</x:v>
      </x:c>
      <x:c r="D518" s="71" t="str">
        <x:v>pre</x:v>
      </x:c>
      <x:c r="E518" s="72" t="b">
        <x:v>0</x:v>
      </x:c>
      <x:c r="F518" t="str">
        <x:v>James Madison Dukes</x:v>
      </x:c>
      <x:c r="G518" t="str">
        <x:v>JMU</x:v>
      </x:c>
      <x:c r="H518" s="69" t="n">
        <x:v>0</x:v>
      </x:c>
      <x:c r="I518" t="str">
        <x:v>3-0</x:v>
      </x:c>
      <x:c r="J518" t="str">
        <x:f>IF(E518&lt;&gt;TRUE,"",IF(H518&gt;M518,"W",IF(H518&lt;M518,"L","T")))</x:f>
      </x:c>
      <x:c r="K518" t="str">
        <x:v>App State Mountaineers</x:v>
      </x:c>
      <x:c r="L518" t="str">
        <x:v>APP</x:v>
      </x:c>
      <x:c r="M518" s="69" t="n">
        <x:v>0</x:v>
      </x:c>
      <x:c r="N518" t="str">
        <x:v>3-0</x:v>
      </x:c>
      <x:c r="O518" t="str">
        <x:f>IF(E518&lt;&gt;TRUE,"",IF(M518&gt;H518,"W",IF(M518&lt;H518,"L","T")))</x:f>
      </x:c>
      <x:c r="P518" s="66" t="b">
        <x:v>0</x:v>
      </x:c>
      <x:c r="Q518" s="66" t="b">
        <x:v>1</x:v>
      </x:c>
      <x:c r="R518" t="str">
        <x:v>Kidd Brewer Stadium</x:v>
      </x:c>
      <x:c r="S518" t="str">
        <x:v>ESPNU</x:v>
      </x:c>
      <x:c r="T518"/>
      <x:c r="U518" s="70"/>
      <x:c r="V518" s="70"/>
      <x:c r="W518"/>
      <x:c r="X518" t="str">
        <x:v>https://www.espn.com/college-football/game/_/gameId/401869845</x:v>
      </x:c>
    </x:row>
    <x:row r="519">
      <x:c r="A519" t="str">
        <x:v>CFB</x:v>
      </x:c>
      <x:c r="B519" t="n">
        <x:v>8</x:v>
      </x:c>
      <x:c r="C519" s="68" t="n">
        <x:v>46317.958333333336</x:v>
      </x:c>
      <x:c r="D519" s="71" t="str">
        <x:v>pre</x:v>
      </x:c>
      <x:c r="E519" s="72" t="b">
        <x:v>0</x:v>
      </x:c>
      <x:c r="F519" t="str">
        <x:v>Liberty Flames</x:v>
      </x:c>
      <x:c r="G519" t="str">
        <x:v>LIB</x:v>
      </x:c>
      <x:c r="H519" s="69" t="n">
        <x:v>0</x:v>
      </x:c>
      <x:c r="I519" t="str">
        <x:v>2-1</x:v>
      </x:c>
      <x:c r="J519" t="str">
        <x:f>IF(E519&lt;&gt;TRUE,"",IF(H519&gt;M519,"W",IF(H519&lt;M519,"L","T")))</x:f>
      </x:c>
      <x:c r="K519" t="str">
        <x:v>Kennesaw State Owls</x:v>
      </x:c>
      <x:c r="L519" t="str">
        <x:v>KENN</x:v>
      </x:c>
      <x:c r="M519" s="69" t="n">
        <x:v>0</x:v>
      </x:c>
      <x:c r="N519" t="str">
        <x:v>1-2</x:v>
      </x:c>
      <x:c r="O519" t="str">
        <x:f>IF(E519&lt;&gt;TRUE,"",IF(M519&gt;H519,"W",IF(M519&lt;H519,"L","T")))</x:f>
      </x:c>
      <x:c r="P519" s="66" t="b">
        <x:v>0</x:v>
      </x:c>
      <x:c r="Q519" s="66" t="b">
        <x:v>1</x:v>
      </x:c>
      <x:c r="R519" t="str">
        <x:v>Walens Family Field at Fifth Third Stadium</x:v>
      </x:c>
      <x:c r="S519" t="str">
        <x:v>CBSSN</x:v>
      </x:c>
      <x:c r="T519"/>
      <x:c r="U519" s="70"/>
      <x:c r="V519" s="70"/>
      <x:c r="W519"/>
      <x:c r="X519" t="str">
        <x:v>https://www.espn.com/college-football/game/_/gameId/401871056</x:v>
      </x:c>
    </x:row>
    <x:row r="520">
      <x:c r="A520" t="str">
        <x:v>CFB</x:v>
      </x:c>
      <x:c r="B520" t="n">
        <x:v>8</x:v>
      </x:c>
      <x:c r="C520" s="68" t="n">
        <x:v>46317.979166666664</x:v>
      </x:c>
      <x:c r="D520" s="71" t="str">
        <x:v>pre</x:v>
      </x:c>
      <x:c r="E520" s="72" t="b">
        <x:v>0</x:v>
      </x:c>
      <x:c r="F520" t="str">
        <x:v>East Carolina Pirates</x:v>
      </x:c>
      <x:c r="G520" t="str">
        <x:v>ECU</x:v>
      </x:c>
      <x:c r="H520" s="69" t="n">
        <x:v>0</x:v>
      </x:c>
      <x:c r="I520" t="str">
        <x:v>1-2</x:v>
      </x:c>
      <x:c r="J520" t="str">
        <x:f>IF(E520&lt;&gt;TRUE,"",IF(H520&gt;M520,"W",IF(H520&lt;M520,"L","T")))</x:f>
      </x:c>
      <x:c r="K520" t="str">
        <x:v>Memphis Tigers</x:v>
      </x:c>
      <x:c r="L520" t="str">
        <x:v>MEM</x:v>
      </x:c>
      <x:c r="M520" s="69" t="n">
        <x:v>0</x:v>
      </x:c>
      <x:c r="N520" t="str">
        <x:v>3-1</x:v>
      </x:c>
      <x:c r="O520" t="str">
        <x:f>IF(E520&lt;&gt;TRUE,"",IF(M520&gt;H520,"W",IF(M520&lt;H520,"L","T")))</x:f>
      </x:c>
      <x:c r="P520" s="66" t="b">
        <x:v>0</x:v>
      </x:c>
      <x:c r="Q520" s="66" t="b">
        <x:v>1</x:v>
      </x:c>
      <x:c r="R520" t="str">
        <x:v>Simmons Bank Liberty Stadium</x:v>
      </x:c>
      <x:c r="S520" t="str">
        <x:v>ESPN2</x:v>
      </x:c>
      <x:c r="T520"/>
      <x:c r="U520" s="70"/>
      <x:c r="V520" s="70"/>
      <x:c r="W520"/>
      <x:c r="X520" t="str">
        <x:v>https://www.espn.com/college-football/game/_/gameId/401862807</x:v>
      </x:c>
    </x:row>
    <x:row r="521">
      <x:c r="A521" t="str">
        <x:v>CFB</x:v>
      </x:c>
      <x:c r="B521" t="n">
        <x:v>8</x:v>
      </x:c>
      <x:c r="C521" s="68" t="n">
        <x:v>46318.958333333336</x:v>
      </x:c>
      <x:c r="D521" s="71" t="str">
        <x:v>pre</x:v>
      </x:c>
      <x:c r="E521" s="72" t="b">
        <x:v>0</x:v>
      </x:c>
      <x:c r="F521" t="str">
        <x:v>Duke Blue Devils</x:v>
      </x:c>
      <x:c r="G521" t="str">
        <x:v>DUKE</x:v>
      </x:c>
      <x:c r="H521" s="69" t="n">
        <x:v>0</x:v>
      </x:c>
      <x:c r="I521" t="str">
        <x:v>3-0</x:v>
      </x:c>
      <x:c r="J521" t="str">
        <x:f>IF(E521&lt;&gt;TRUE,"",IF(H521&gt;M521,"W",IF(H521&lt;M521,"L","T")))</x:f>
      </x:c>
      <x:c r="K521" t="str">
        <x:v>Virginia Cavaliers</x:v>
      </x:c>
      <x:c r="L521" t="str">
        <x:v>UVA</x:v>
      </x:c>
      <x:c r="M521" s="69" t="n">
        <x:v>0</x:v>
      </x:c>
      <x:c r="N521" t="str">
        <x:v>2-1</x:v>
      </x:c>
      <x:c r="O521" t="str">
        <x:f>IF(E521&lt;&gt;TRUE,"",IF(M521&gt;H521,"W",IF(M521&lt;H521,"L","T")))</x:f>
      </x:c>
      <x:c r="P521" s="66" t="b">
        <x:v>0</x:v>
      </x:c>
      <x:c r="Q521" s="66" t="b">
        <x:v>1</x:v>
      </x:c>
      <x:c r="R521" t="str">
        <x:v>Scott Stadium</x:v>
      </x:c>
      <x:c r="S521" t="str">
        <x:v>ESPN</x:v>
      </x:c>
      <x:c r="T521" t="str">
        <x:v>UVA -6.5</x:v>
      </x:c>
      <x:c r="U521" s="70" t="n">
        <x:v>-6.5</x:v>
      </x:c>
      <x:c r="V521" s="70" t="n">
        <x:v>53.5</x:v>
      </x:c>
      <x:c r="W521" t="str">
        <x:v>DraftKings</x:v>
      </x:c>
      <x:c r="X521" t="str">
        <x:v>https://www.espn.com/college-football/game/_/gameId/401858271</x:v>
      </x:c>
    </x:row>
    <x:row r="522">
      <x:c r="A522" t="str">
        <x:v>CFB</x:v>
      </x:c>
      <x:c r="B522" t="n">
        <x:v>8</x:v>
      </x:c>
      <x:c r="C522" s="68" t="n">
        <x:v>46318.958333333336</x:v>
      </x:c>
      <x:c r="D522" s="71" t="str">
        <x:v>pre</x:v>
      </x:c>
      <x:c r="E522" s="72" t="b">
        <x:v>0</x:v>
      </x:c>
      <x:c r="F522" t="str">
        <x:v>Massachusetts Minutemen</x:v>
      </x:c>
      <x:c r="G522" t="str">
        <x:v>MASS</x:v>
      </x:c>
      <x:c r="H522" s="69" t="n">
        <x:v>0</x:v>
      </x:c>
      <x:c r="I522" t="str">
        <x:v>3-0</x:v>
      </x:c>
      <x:c r="J522" t="str">
        <x:f>IF(E522&lt;&gt;TRUE,"",IF(H522&gt;M522,"W",IF(H522&lt;M522,"L","T")))</x:f>
      </x:c>
      <x:c r="K522" t="str">
        <x:v>UConn Huskies</x:v>
      </x:c>
      <x:c r="L522" t="str">
        <x:v>CONN</x:v>
      </x:c>
      <x:c r="M522" s="69" t="n">
        <x:v>0</x:v>
      </x:c>
      <x:c r="N522" t="str">
        <x:v>2-1</x:v>
      </x:c>
      <x:c r="O522" t="str">
        <x:f>IF(E522&lt;&gt;TRUE,"",IF(M522&gt;H522,"W",IF(M522&lt;H522,"L","T")))</x:f>
      </x:c>
      <x:c r="P522" s="66" t="b">
        <x:v>0</x:v>
      </x:c>
      <x:c r="Q522" s="66" t="b">
        <x:v>0</x:v>
      </x:c>
      <x:c r="R522" t="str">
        <x:v>Pratt &amp; Whitney Stadium</x:v>
      </x:c>
      <x:c r="S522" t="str">
        <x:v>CBSSN</x:v>
      </x:c>
      <x:c r="T522"/>
      <x:c r="U522" s="70"/>
      <x:c r="V522" s="70"/>
      <x:c r="W522"/>
      <x:c r="X522" t="str">
        <x:v>https://www.espn.com/college-football/game/_/gameId/401861965</x:v>
      </x:c>
    </x:row>
    <x:row r="523">
      <x:c r="A523" t="str">
        <x:v>CFB</x:v>
      </x:c>
      <x:c r="B523" t="n">
        <x:v>8</x:v>
      </x:c>
      <x:c r="C523" s="68" t="n">
        <x:v>46319.020833333336</x:v>
      </x:c>
      <x:c r="D523" s="71" t="str">
        <x:v>pre</x:v>
      </x:c>
      <x:c r="E523" s="72" t="b">
        <x:v>0</x:v>
      </x:c>
      <x:c r="F523" t="str">
        <x:v>Army Black Knights</x:v>
      </x:c>
      <x:c r="G523" t="str">
        <x:v>ARMY</x:v>
      </x:c>
      <x:c r="H523" s="69" t="n">
        <x:v>0</x:v>
      </x:c>
      <x:c r="I523" t="str">
        <x:v>1-1</x:v>
      </x:c>
      <x:c r="J523" t="str">
        <x:f>IF(E523&lt;&gt;TRUE,"",IF(H523&gt;M523,"W",IF(H523&lt;M523,"L","T")))</x:f>
      </x:c>
      <x:c r="K523" t="str">
        <x:v>Tulsa Golden Hurricane</x:v>
      </x:c>
      <x:c r="L523" t="str">
        <x:v>TLSA</x:v>
      </x:c>
      <x:c r="M523" s="69" t="n">
        <x:v>0</x:v>
      </x:c>
      <x:c r="N523" t="str">
        <x:v>3-0</x:v>
      </x:c>
      <x:c r="O523" t="str">
        <x:f>IF(E523&lt;&gt;TRUE,"",IF(M523&gt;H523,"W",IF(M523&lt;H523,"L","T")))</x:f>
      </x:c>
      <x:c r="P523" s="66" t="b">
        <x:v>0</x:v>
      </x:c>
      <x:c r="Q523" s="66" t="b">
        <x:v>1</x:v>
      </x:c>
      <x:c r="R523" t="str">
        <x:v>H. A. Chapman Stadium</x:v>
      </x:c>
      <x:c r="S523" t="str">
        <x:v>ESPN2</x:v>
      </x:c>
      <x:c r="T523"/>
      <x:c r="U523" s="70"/>
      <x:c r="V523" s="70"/>
      <x:c r="W523"/>
      <x:c r="X523" t="str">
        <x:v>https://www.espn.com/college-football/game/_/gameId/401862808</x:v>
      </x:c>
    </x:row>
    <x:row r="524">
      <x:c r="A524" t="str">
        <x:v>CFB</x:v>
      </x:c>
      <x:c r="B524" t="n">
        <x:v>8</x:v>
      </x:c>
      <x:c r="C524" s="68" t="n">
        <x:v>46319.041666666664</x:v>
      </x:c>
      <x:c r="D524" s="71" t="str">
        <x:v>pre</x:v>
      </x:c>
      <x:c r="E524" s="72" t="b">
        <x:v>0</x:v>
      </x:c>
      <x:c r="F524" t="str">
        <x:v>Air Force Falcons</x:v>
      </x:c>
      <x:c r="G524" t="str">
        <x:v>AFA</x:v>
      </x:c>
      <x:c r="H524" s="69" t="n">
        <x:v>0</x:v>
      </x:c>
      <x:c r="I524" t="str">
        <x:v>1-1</x:v>
      </x:c>
      <x:c r="J524" t="str">
        <x:f>IF(E524&lt;&gt;TRUE,"",IF(H524&gt;M524,"W",IF(H524&lt;M524,"L","T")))</x:f>
      </x:c>
      <x:c r="K524" t="str">
        <x:v>Wyoming Cowboys</x:v>
      </x:c>
      <x:c r="L524" t="str">
        <x:v>WYO</x:v>
      </x:c>
      <x:c r="M524" s="69" t="n">
        <x:v>0</x:v>
      </x:c>
      <x:c r="N524" t="str">
        <x:v>1-2</x:v>
      </x:c>
      <x:c r="O524" t="str">
        <x:f>IF(E524&lt;&gt;TRUE,"",IF(M524&gt;H524,"W",IF(M524&lt;H524,"L","T")))</x:f>
      </x:c>
      <x:c r="P524" s="66" t="b">
        <x:v>0</x:v>
      </x:c>
      <x:c r="Q524" s="66" t="b">
        <x:v>1</x:v>
      </x:c>
      <x:c r="R524" t="str">
        <x:v>War Memorial Stadium</x:v>
      </x:c>
      <x:c r="S524" t="str">
        <x:v>CW</x:v>
      </x:c>
      <x:c r="T524"/>
      <x:c r="U524" s="70"/>
      <x:c r="V524" s="70"/>
      <x:c r="W524"/>
      <x:c r="X524" t="str">
        <x:v>https://www.espn.com/college-football/game/_/gameId/401864525</x:v>
      </x:c>
    </x:row>
    <x:row r="525">
      <x:c r="A525" t="str">
        <x:v>CFB</x:v>
      </x:c>
      <x:c r="B525" t="n">
        <x:v>8</x:v>
      </x:c>
      <x:c r="C525" s="68" t="n">
        <x:v>46319.104166666664</x:v>
      </x:c>
      <x:c r="D525" s="71" t="str">
        <x:v>pre</x:v>
      </x:c>
      <x:c r="E525" s="72" t="b">
        <x:v>0</x:v>
      </x:c>
      <x:c r="F525" t="str">
        <x:v>NC State Wolfpack</x:v>
      </x:c>
      <x:c r="G525" t="str">
        <x:v>NCSU</x:v>
      </x:c>
      <x:c r="H525" s="69" t="n">
        <x:v>0</x:v>
      </x:c>
      <x:c r="I525" t="str">
        <x:v>1-2</x:v>
      </x:c>
      <x:c r="J525" t="str">
        <x:f>IF(E525&lt;&gt;TRUE,"",IF(H525&gt;M525,"W",IF(H525&lt;M525,"L","T")))</x:f>
      </x:c>
      <x:c r="K525" t="str">
        <x:v>Stanford Cardinal</x:v>
      </x:c>
      <x:c r="L525" t="str">
        <x:v>STAN</x:v>
      </x:c>
      <x:c r="M525" s="69" t="n">
        <x:v>0</x:v>
      </x:c>
      <x:c r="N525" t="str">
        <x:v>1-2</x:v>
      </x:c>
      <x:c r="O525" t="str">
        <x:f>IF(E525&lt;&gt;TRUE,"",IF(M525&gt;H525,"W",IF(M525&lt;H525,"L","T")))</x:f>
      </x:c>
      <x:c r="P525" s="66" t="b">
        <x:v>0</x:v>
      </x:c>
      <x:c r="Q525" s="66" t="b">
        <x:v>1</x:v>
      </x:c>
      <x:c r="R525" t="str">
        <x:v>Stanford Stadium</x:v>
      </x:c>
      <x:c r="S525" t="str">
        <x:v>ESPN</x:v>
      </x:c>
      <x:c r="T525"/>
      <x:c r="U525" s="70"/>
      <x:c r="V525" s="70"/>
      <x:c r="W525"/>
      <x:c r="X525" t="str">
        <x:v>https://www.espn.com/college-football/game/_/gameId/401858272</x:v>
      </x:c>
    </x:row>
    <x:row r="526">
      <x:c r="A526" t="str">
        <x:v>CFB</x:v>
      </x:c>
      <x:c r="B526" t="n">
        <x:v>8</x:v>
      </x:c>
      <x:c r="C526" s="68" t="n">
        <x:v>46319</x:v>
      </x:c>
      <x:c r="D526" s="71" t="str">
        <x:v>pre</x:v>
      </x:c>
      <x:c r="E526" s="72" t="b">
        <x:v>0</x:v>
      </x:c>
      <x:c r="F526" t="str">
        <x:v>Texas A&amp;M Aggies</x:v>
      </x:c>
      <x:c r="G526" t="str">
        <x:v>TA&amp;M</x:v>
      </x:c>
      <x:c r="H526" s="69" t="n">
        <x:v>0</x:v>
      </x:c>
      <x:c r="I526" t="str">
        <x:v>2-1</x:v>
      </x:c>
      <x:c r="J526" t="str">
        <x:f>IF(E526&lt;&gt;TRUE,"",IF(H526&gt;M526,"W",IF(H526&lt;M526,"L","T")))</x:f>
      </x:c>
      <x:c r="K526" t="str">
        <x:v>Alabama Crimson Tide</x:v>
      </x:c>
      <x:c r="L526" t="str">
        <x:v>ALA</x:v>
      </x:c>
      <x:c r="M526" s="69" t="n">
        <x:v>0</x:v>
      </x:c>
      <x:c r="N526" t="str">
        <x:v>3-0</x:v>
      </x:c>
      <x:c r="O526" t="str">
        <x:f>IF(E526&lt;&gt;TRUE,"",IF(M526&gt;H526,"W",IF(M526&lt;H526,"L","T")))</x:f>
      </x:c>
      <x:c r="P526" s="66" t="b">
        <x:v>0</x:v>
      </x:c>
      <x:c r="Q526" s="66" t="b">
        <x:v>1</x:v>
      </x:c>
      <x:c r="R526" t="str">
        <x:v>Bryant-Denny Stadium</x:v>
      </x:c>
      <x:c r="S526" t="str"/>
      <x:c r="T526" t="str">
        <x:v>ALA -2.5</x:v>
      </x:c>
      <x:c r="U526" s="70" t="n">
        <x:v>-2.5</x:v>
      </x:c>
      <x:c r="V526" s="70" t="n">
        <x:v>54.5</x:v>
      </x:c>
      <x:c r="W526" t="str">
        <x:v>DraftKings</x:v>
      </x:c>
      <x:c r="X526" t="str">
        <x:v>https://www.espn.com/college-football/game/_/gameId/401856727</x:v>
      </x:c>
    </x:row>
    <x:row r="527">
      <x:c r="A527" t="str">
        <x:v>CFB</x:v>
      </x:c>
      <x:c r="B527" t="n">
        <x:v>8</x:v>
      </x:c>
      <x:c r="C527" s="68" t="n">
        <x:v>46319</x:v>
      </x:c>
      <x:c r="D527" s="71" t="str">
        <x:v>pre</x:v>
      </x:c>
      <x:c r="E527" s="72" t="b">
        <x:v>0</x:v>
      </x:c>
      <x:c r="F527" t="str">
        <x:v>Vanderbilt Commodores</x:v>
      </x:c>
      <x:c r="G527" t="str">
        <x:v>VAN</x:v>
      </x:c>
      <x:c r="H527" s="69" t="n">
        <x:v>0</x:v>
      </x:c>
      <x:c r="I527" t="str">
        <x:v>3-0</x:v>
      </x:c>
      <x:c r="J527" t="str">
        <x:f>IF(E527&lt;&gt;TRUE,"",IF(H527&gt;M527,"W",IF(H527&lt;M527,"L","T")))</x:f>
      </x:c>
      <x:c r="K527" t="str">
        <x:v>Kentucky Wildcats</x:v>
      </x:c>
      <x:c r="L527" t="str">
        <x:v>UK</x:v>
      </x:c>
      <x:c r="M527" s="69" t="n">
        <x:v>0</x:v>
      </x:c>
      <x:c r="N527" t="str">
        <x:v>2-1</x:v>
      </x:c>
      <x:c r="O527" t="str">
        <x:f>IF(E527&lt;&gt;TRUE,"",IF(M527&gt;H527,"W",IF(M527&lt;H527,"L","T")))</x:f>
      </x:c>
      <x:c r="P527" s="66" t="b">
        <x:v>0</x:v>
      </x:c>
      <x:c r="Q527" s="66" t="b">
        <x:v>1</x:v>
      </x:c>
      <x:c r="R527" t="str">
        <x:v>Kroger Field</x:v>
      </x:c>
      <x:c r="S527" t="str"/>
      <x:c r="T527"/>
      <x:c r="U527" s="70"/>
      <x:c r="V527" s="70"/>
      <x:c r="W527"/>
      <x:c r="X527" t="str">
        <x:v>https://www.espn.com/college-football/game/_/gameId/401856729</x:v>
      </x:c>
    </x:row>
    <x:row r="528">
      <x:c r="A528" t="str">
        <x:v>CFB</x:v>
      </x:c>
      <x:c r="B528" t="n">
        <x:v>8</x:v>
      </x:c>
      <x:c r="C528" s="68" t="n">
        <x:v>46319</x:v>
      </x:c>
      <x:c r="D528" s="71" t="str">
        <x:v>pre</x:v>
      </x:c>
      <x:c r="E528" s="72" t="b">
        <x:v>0</x:v>
      </x:c>
      <x:c r="F528" t="str">
        <x:v>Oklahoma Sooners</x:v>
      </x:c>
      <x:c r="G528" t="str">
        <x:v>OU</x:v>
      </x:c>
      <x:c r="H528" s="69" t="n">
        <x:v>0</x:v>
      </x:c>
      <x:c r="I528" t="str">
        <x:v>2-1</x:v>
      </x:c>
      <x:c r="J528" t="str">
        <x:f>IF(E528&lt;&gt;TRUE,"",IF(H528&gt;M528,"W",IF(H528&lt;M528,"L","T")))</x:f>
      </x:c>
      <x:c r="K528" t="str">
        <x:v>Mississippi State Bulldogs</x:v>
      </x:c>
      <x:c r="L528" t="str">
        <x:v>MSST</x:v>
      </x:c>
      <x:c r="M528" s="69" t="n">
        <x:v>0</x:v>
      </x:c>
      <x:c r="N528" t="str">
        <x:v>3-0</x:v>
      </x:c>
      <x:c r="O528" t="str">
        <x:f>IF(E528&lt;&gt;TRUE,"",IF(M528&gt;H528,"W",IF(M528&lt;H528,"L","T")))</x:f>
      </x:c>
      <x:c r="P528" s="66" t="b">
        <x:v>0</x:v>
      </x:c>
      <x:c r="Q528" s="66" t="b">
        <x:v>1</x:v>
      </x:c>
      <x:c r="R528" t="str">
        <x:v>Davis Wade Stadium</x:v>
      </x:c>
      <x:c r="S528" t="str"/>
      <x:c r="T528"/>
      <x:c r="U528" s="70"/>
      <x:c r="V528" s="70"/>
      <x:c r="W528"/>
      <x:c r="X528" t="str">
        <x:v>https://www.espn.com/college-football/game/_/gameId/401856730</x:v>
      </x:c>
    </x:row>
    <x:row r="529">
      <x:c r="A529" t="str">
        <x:v>CFB</x:v>
      </x:c>
      <x:c r="B529" t="n">
        <x:v>8</x:v>
      </x:c>
      <x:c r="C529" s="68" t="n">
        <x:v>46319</x:v>
      </x:c>
      <x:c r="D529" s="71" t="str">
        <x:v>pre</x:v>
      </x:c>
      <x:c r="E529" s="72" t="b">
        <x:v>0</x:v>
      </x:c>
      <x:c r="F529" t="str">
        <x:v>Tennessee Volunteers</x:v>
      </x:c>
      <x:c r="G529" t="str">
        <x:v>TENN</x:v>
      </x:c>
      <x:c r="H529" s="69" t="n">
        <x:v>0</x:v>
      </x:c>
      <x:c r="I529" t="str">
        <x:v>3-0</x:v>
      </x:c>
      <x:c r="J529" t="str">
        <x:f>IF(E529&lt;&gt;TRUE,"",IF(H529&gt;M529,"W",IF(H529&lt;M529,"L","T")))</x:f>
      </x:c>
      <x:c r="K529" t="str">
        <x:v>South Carolina Gamecocks</x:v>
      </x:c>
      <x:c r="L529" t="str">
        <x:v>SC</x:v>
      </x:c>
      <x:c r="M529" s="69" t="n">
        <x:v>0</x:v>
      </x:c>
      <x:c r="N529" t="str">
        <x:v>2-1</x:v>
      </x:c>
      <x:c r="O529" t="str">
        <x:f>IF(E529&lt;&gt;TRUE,"",IF(M529&gt;H529,"W",IF(M529&lt;H529,"L","T")))</x:f>
      </x:c>
      <x:c r="P529" s="66" t="b">
        <x:v>0</x:v>
      </x:c>
      <x:c r="Q529" s="66" t="b">
        <x:v>1</x:v>
      </x:c>
      <x:c r="R529" t="str">
        <x:v>Williams-Brice Stadium</x:v>
      </x:c>
      <x:c r="S529" t="str"/>
      <x:c r="T529"/>
      <x:c r="U529" s="70"/>
      <x:c r="V529" s="70"/>
      <x:c r="W529"/>
      <x:c r="X529" t="str">
        <x:v>https://www.espn.com/college-football/game/_/gameId/401856731</x:v>
      </x:c>
    </x:row>
    <x:row r="530">
      <x:c r="A530" t="str">
        <x:v>CFB</x:v>
      </x:c>
      <x:c r="B530" t="n">
        <x:v>8</x:v>
      </x:c>
      <x:c r="C530" s="68" t="n">
        <x:v>46319</x:v>
      </x:c>
      <x:c r="D530" s="71" t="str">
        <x:v>pre</x:v>
      </x:c>
      <x:c r="E530" s="72" t="b">
        <x:v>0</x:v>
      </x:c>
      <x:c r="F530" t="str">
        <x:v>Ole Miss Rebels</x:v>
      </x:c>
      <x:c r="G530" t="str">
        <x:v>MISS</x:v>
      </x:c>
      <x:c r="H530" s="69" t="n">
        <x:v>0</x:v>
      </x:c>
      <x:c r="I530" t="str">
        <x:v>3-0</x:v>
      </x:c>
      <x:c r="J530" t="str">
        <x:f>IF(E530&lt;&gt;TRUE,"",IF(H530&gt;M530,"W",IF(H530&lt;M530,"L","T")))</x:f>
      </x:c>
      <x:c r="K530" t="str">
        <x:v>Texas Longhorns</x:v>
      </x:c>
      <x:c r="L530" t="str">
        <x:v>TEX</x:v>
      </x:c>
      <x:c r="M530" s="69" t="n">
        <x:v>0</x:v>
      </x:c>
      <x:c r="N530" t="str">
        <x:v>3-0</x:v>
      </x:c>
      <x:c r="O530" t="str">
        <x:f>IF(E530&lt;&gt;TRUE,"",IF(M530&gt;H530,"W",IF(M530&lt;H530,"L","T")))</x:f>
      </x:c>
      <x:c r="P530" s="66" t="b">
        <x:v>0</x:v>
      </x:c>
      <x:c r="Q530" s="66" t="b">
        <x:v>1</x:v>
      </x:c>
      <x:c r="R530" t="str">
        <x:v>DKR-Texas Memorial Stadium</x:v>
      </x:c>
      <x:c r="S530" t="str"/>
      <x:c r="T530" t="str">
        <x:v>TEX -8.5</x:v>
      </x:c>
      <x:c r="U530" s="70" t="n">
        <x:v>-8.5</x:v>
      </x:c>
      <x:c r="V530" s="70" t="n">
        <x:v>54.5</x:v>
      </x:c>
      <x:c r="W530" t="str">
        <x:v>DraftKings</x:v>
      </x:c>
      <x:c r="X530" t="str">
        <x:v>https://www.espn.com/college-football/game/_/gameId/401856732</x:v>
      </x:c>
    </x:row>
    <x:row r="531">
      <x:c r="A531" t="str">
        <x:v>CFB</x:v>
      </x:c>
      <x:c r="B531" t="n">
        <x:v>8</x:v>
      </x:c>
      <x:c r="C531" s="68" t="n">
        <x:v>46319</x:v>
      </x:c>
      <x:c r="D531" s="71" t="str">
        <x:v>pre</x:v>
      </x:c>
      <x:c r="E531" s="72" t="b">
        <x:v>0</x:v>
      </x:c>
      <x:c r="F531" t="str">
        <x:v>Baylor Bears</x:v>
      </x:c>
      <x:c r="G531" t="str">
        <x:v>BAY</x:v>
      </x:c>
      <x:c r="H531" s="69" t="n">
        <x:v>0</x:v>
      </x:c>
      <x:c r="I531" t="str">
        <x:v>2-1</x:v>
      </x:c>
      <x:c r="J531" t="str">
        <x:f>IF(E531&lt;&gt;TRUE,"",IF(H531&gt;M531,"W",IF(H531&lt;M531,"L","T")))</x:f>
      </x:c>
      <x:c r="K531" t="str">
        <x:v>Kansas Jayhawks</x:v>
      </x:c>
      <x:c r="L531" t="str">
        <x:v>KU</x:v>
      </x:c>
      <x:c r="M531" s="69" t="n">
        <x:v>0</x:v>
      </x:c>
      <x:c r="N531" t="str">
        <x:v>1-2</x:v>
      </x:c>
      <x:c r="O531" t="str">
        <x:f>IF(E531&lt;&gt;TRUE,"",IF(M531&gt;H531,"W",IF(M531&lt;H531,"L","T")))</x:f>
      </x:c>
      <x:c r="P531" s="66" t="b">
        <x:v>0</x:v>
      </x:c>
      <x:c r="Q531" s="66" t="b">
        <x:v>1</x:v>
      </x:c>
      <x:c r="R531" t="str">
        <x:v>David Booth Kansas Memorial Stadium</x:v>
      </x:c>
      <x:c r="S531" t="str"/>
      <x:c r="T531"/>
      <x:c r="U531" s="70"/>
      <x:c r="V531" s="70"/>
      <x:c r="W531"/>
      <x:c r="X531" t="str">
        <x:v>https://www.espn.com/college-football/game/_/gameId/401856834</x:v>
      </x:c>
    </x:row>
    <x:row r="532">
      <x:c r="A532" t="str">
        <x:v>CFB</x:v>
      </x:c>
      <x:c r="B532" t="n">
        <x:v>8</x:v>
      </x:c>
      <x:c r="C532" s="68" t="n">
        <x:v>46319</x:v>
      </x:c>
      <x:c r="D532" s="71" t="str">
        <x:v>pre</x:v>
      </x:c>
      <x:c r="E532" s="72" t="b">
        <x:v>0</x:v>
      </x:c>
      <x:c r="F532" t="str">
        <x:v>BYU Cougars</x:v>
      </x:c>
      <x:c r="G532" t="str">
        <x:v>BYU</x:v>
      </x:c>
      <x:c r="H532" s="69" t="n">
        <x:v>0</x:v>
      </x:c>
      <x:c r="I532" t="str">
        <x:v>3-0</x:v>
      </x:c>
      <x:c r="J532" t="str">
        <x:f>IF(E532&lt;&gt;TRUE,"",IF(H532&gt;M532,"W",IF(H532&lt;M532,"L","T")))</x:f>
      </x:c>
      <x:c r="K532" t="str">
        <x:v>UCF Knights</x:v>
      </x:c>
      <x:c r="L532" t="str">
        <x:v>UCF</x:v>
      </x:c>
      <x:c r="M532" s="69" t="n">
        <x:v>0</x:v>
      </x:c>
      <x:c r="N532" t="str">
        <x:v>2-1</x:v>
      </x:c>
      <x:c r="O532" t="str">
        <x:f>IF(E532&lt;&gt;TRUE,"",IF(M532&gt;H532,"W",IF(M532&lt;H532,"L","T")))</x:f>
      </x:c>
      <x:c r="P532" s="66" t="b">
        <x:v>0</x:v>
      </x:c>
      <x:c r="Q532" s="66" t="b">
        <x:v>1</x:v>
      </x:c>
      <x:c r="R532" t="str">
        <x:v>Acrisure Bounce House</x:v>
      </x:c>
      <x:c r="S532" t="str"/>
      <x:c r="T532"/>
      <x:c r="U532" s="70"/>
      <x:c r="V532" s="70"/>
      <x:c r="W532"/>
      <x:c r="X532" t="str">
        <x:v>https://www.espn.com/college-football/game/_/gameId/401856835</x:v>
      </x:c>
    </x:row>
    <x:row r="533">
      <x:c r="A533" t="str">
        <x:v>CFB</x:v>
      </x:c>
      <x:c r="B533" t="n">
        <x:v>8</x:v>
      </x:c>
      <x:c r="C533" s="68" t="n">
        <x:v>46319</x:v>
      </x:c>
      <x:c r="D533" s="71" t="str">
        <x:v>pre</x:v>
      </x:c>
      <x:c r="E533" s="72" t="b">
        <x:v>0</x:v>
      </x:c>
      <x:c r="F533" t="str">
        <x:v>Colorado Buffaloes</x:v>
      </x:c>
      <x:c r="G533" t="str">
        <x:v>COLO</x:v>
      </x:c>
      <x:c r="H533" s="69" t="n">
        <x:v>0</x:v>
      </x:c>
      <x:c r="I533" t="str">
        <x:v>2-1</x:v>
      </x:c>
      <x:c r="J533" t="str">
        <x:f>IF(E533&lt;&gt;TRUE,"",IF(H533&gt;M533,"W",IF(H533&lt;M533,"L","T")))</x:f>
      </x:c>
      <x:c r="K533" t="str">
        <x:v>Oklahoma State Cowboys</x:v>
      </x:c>
      <x:c r="L533" t="str">
        <x:v>OKST</x:v>
      </x:c>
      <x:c r="M533" s="69" t="n">
        <x:v>0</x:v>
      </x:c>
      <x:c r="N533" t="str">
        <x:v>2-1</x:v>
      </x:c>
      <x:c r="O533" t="str">
        <x:f>IF(E533&lt;&gt;TRUE,"",IF(M533&gt;H533,"W",IF(M533&lt;H533,"L","T")))</x:f>
      </x:c>
      <x:c r="P533" s="66" t="b">
        <x:v>0</x:v>
      </x:c>
      <x:c r="Q533" s="66" t="b">
        <x:v>1</x:v>
      </x:c>
      <x:c r="R533" t="str">
        <x:v>Boone Pickens Stadium</x:v>
      </x:c>
      <x:c r="S533" t="str"/>
      <x:c r="T533"/>
      <x:c r="U533" s="70"/>
      <x:c r="V533" s="70"/>
      <x:c r="W533"/>
      <x:c r="X533" t="str">
        <x:v>https://www.espn.com/college-football/game/_/gameId/401856836</x:v>
      </x:c>
    </x:row>
    <x:row r="534">
      <x:c r="A534" t="str">
        <x:v>CFB</x:v>
      </x:c>
      <x:c r="B534" t="n">
        <x:v>8</x:v>
      </x:c>
      <x:c r="C534" s="68" t="n">
        <x:v>46319</x:v>
      </x:c>
      <x:c r="D534" s="71" t="str">
        <x:v>pre</x:v>
      </x:c>
      <x:c r="E534" s="72" t="b">
        <x:v>0</x:v>
      </x:c>
      <x:c r="F534" t="str">
        <x:v>Houston Cougars</x:v>
      </x:c>
      <x:c r="G534" t="str">
        <x:v>HOU</x:v>
      </x:c>
      <x:c r="H534" s="69" t="n">
        <x:v>0</x:v>
      </x:c>
      <x:c r="I534" t="str">
        <x:v>2-1</x:v>
      </x:c>
      <x:c r="J534" t="str">
        <x:f>IF(E534&lt;&gt;TRUE,"",IF(H534&gt;M534,"W",IF(H534&lt;M534,"L","T")))</x:f>
      </x:c>
      <x:c r="K534" t="str">
        <x:v>Utah Utes</x:v>
      </x:c>
      <x:c r="L534" t="str">
        <x:v>UTAH</x:v>
      </x:c>
      <x:c r="M534" s="69" t="n">
        <x:v>0</x:v>
      </x:c>
      <x:c r="N534" t="str">
        <x:v>3-0</x:v>
      </x:c>
      <x:c r="O534" t="str">
        <x:f>IF(E534&lt;&gt;TRUE,"",IF(M534&gt;H534,"W",IF(M534&lt;H534,"L","T")))</x:f>
      </x:c>
      <x:c r="P534" s="66" t="b">
        <x:v>0</x:v>
      </x:c>
      <x:c r="Q534" s="66" t="b">
        <x:v>1</x:v>
      </x:c>
      <x:c r="R534" t="str">
        <x:v>Rice-Eccles Stadium</x:v>
      </x:c>
      <x:c r="S534" t="str"/>
      <x:c r="T534" t="str">
        <x:v>UTAH -6.5</x:v>
      </x:c>
      <x:c r="U534" s="70" t="n">
        <x:v>-6.5</x:v>
      </x:c>
      <x:c r="V534" s="70" t="n">
        <x:v>50.5</x:v>
      </x:c>
      <x:c r="W534" t="str">
        <x:v>DraftKings</x:v>
      </x:c>
      <x:c r="X534" t="str">
        <x:v>https://www.espn.com/college-football/game/_/gameId/401856837</x:v>
      </x:c>
    </x:row>
    <x:row r="535">
      <x:c r="A535" t="str">
        <x:v>CFB</x:v>
      </x:c>
      <x:c r="B535" t="n">
        <x:v>8</x:v>
      </x:c>
      <x:c r="C535" s="68" t="n">
        <x:v>46319</x:v>
      </x:c>
      <x:c r="D535" s="71" t="str">
        <x:v>pre</x:v>
      </x:c>
      <x:c r="E535" s="72" t="b">
        <x:v>0</x:v>
      </x:c>
      <x:c r="F535" t="str">
        <x:v>Iowa State Cyclones</x:v>
      </x:c>
      <x:c r="G535" t="str">
        <x:v>ISU</x:v>
      </x:c>
      <x:c r="H535" s="69" t="n">
        <x:v>0</x:v>
      </x:c>
      <x:c r="I535" t="str">
        <x:v>2-1</x:v>
      </x:c>
      <x:c r="J535" t="str">
        <x:f>IF(E535&lt;&gt;TRUE,"",IF(H535&gt;M535,"W",IF(H535&lt;M535,"L","T")))</x:f>
      </x:c>
      <x:c r="K535" t="str">
        <x:v>Arizona Wildcats</x:v>
      </x:c>
      <x:c r="L535" t="str">
        <x:v>ARIZ</x:v>
      </x:c>
      <x:c r="M535" s="69" t="n">
        <x:v>0</x:v>
      </x:c>
      <x:c r="N535" t="str">
        <x:v>2-1</x:v>
      </x:c>
      <x:c r="O535" t="str">
        <x:f>IF(E535&lt;&gt;TRUE,"",IF(M535&gt;H535,"W",IF(M535&lt;H535,"L","T")))</x:f>
      </x:c>
      <x:c r="P535" s="66" t="b">
        <x:v>0</x:v>
      </x:c>
      <x:c r="Q535" s="66" t="b">
        <x:v>1</x:v>
      </x:c>
      <x:c r="R535" t="str">
        <x:v>Casino Del Sol Stadium</x:v>
      </x:c>
      <x:c r="S535" t="str"/>
      <x:c r="T535"/>
      <x:c r="U535" s="70"/>
      <x:c r="V535" s="70"/>
      <x:c r="W535"/>
      <x:c r="X535" t="str">
        <x:v>https://www.espn.com/college-football/game/_/gameId/401856838</x:v>
      </x:c>
    </x:row>
    <x:row r="536">
      <x:c r="A536" t="str">
        <x:v>CFB</x:v>
      </x:c>
      <x:c r="B536" t="n">
        <x:v>8</x:v>
      </x:c>
      <x:c r="C536" s="68" t="n">
        <x:v>46319</x:v>
      </x:c>
      <x:c r="D536" s="71" t="str">
        <x:v>pre</x:v>
      </x:c>
      <x:c r="E536" s="72" t="b">
        <x:v>0</x:v>
      </x:c>
      <x:c r="F536" t="str">
        <x:v>Kansas State Wildcats</x:v>
      </x:c>
      <x:c r="G536" t="str">
        <x:v>KSU</x:v>
      </x:c>
      <x:c r="H536" s="69" t="n">
        <x:v>0</x:v>
      </x:c>
      <x:c r="I536" t="str">
        <x:v>3-0</x:v>
      </x:c>
      <x:c r="J536" t="str">
        <x:f>IF(E536&lt;&gt;TRUE,"",IF(H536&gt;M536,"W",IF(H536&lt;M536,"L","T")))</x:f>
      </x:c>
      <x:c r="K536" t="str">
        <x:v>Arizona State Sun Devils</x:v>
      </x:c>
      <x:c r="L536" t="str">
        <x:v>ASU</x:v>
      </x:c>
      <x:c r="M536" s="69" t="n">
        <x:v>0</x:v>
      </x:c>
      <x:c r="N536" t="str">
        <x:v>2-1</x:v>
      </x:c>
      <x:c r="O536" t="str">
        <x:f>IF(E536&lt;&gt;TRUE,"",IF(M536&gt;H536,"W",IF(M536&lt;H536,"L","T")))</x:f>
      </x:c>
      <x:c r="P536" s="66" t="b">
        <x:v>0</x:v>
      </x:c>
      <x:c r="Q536" s="66" t="b">
        <x:v>1</x:v>
      </x:c>
      <x:c r="R536" t="str">
        <x:v>Mountain America Stadium</x:v>
      </x:c>
      <x:c r="S536" t="str"/>
      <x:c r="T536"/>
      <x:c r="U536" s="70"/>
      <x:c r="V536" s="70"/>
      <x:c r="W536"/>
      <x:c r="X536" t="str">
        <x:v>https://www.espn.com/college-football/game/_/gameId/401856839</x:v>
      </x:c>
    </x:row>
    <x:row r="537">
      <x:c r="A537" t="str">
        <x:v>CFB</x:v>
      </x:c>
      <x:c r="B537" t="n">
        <x:v>8</x:v>
      </x:c>
      <x:c r="C537" s="68" t="n">
        <x:v>46319</x:v>
      </x:c>
      <x:c r="D537" s="71" t="str">
        <x:v>pre</x:v>
      </x:c>
      <x:c r="E537" s="72" t="b">
        <x:v>0</x:v>
      </x:c>
      <x:c r="F537" t="str">
        <x:v>Texas Tech Red Raiders</x:v>
      </x:c>
      <x:c r="G537" t="str">
        <x:v>TTU</x:v>
      </x:c>
      <x:c r="H537" s="69" t="n">
        <x:v>0</x:v>
      </x:c>
      <x:c r="I537" t="str">
        <x:v>3-0</x:v>
      </x:c>
      <x:c r="J537" t="str">
        <x:f>IF(E537&lt;&gt;TRUE,"",IF(H537&gt;M537,"W",IF(H537&lt;M537,"L","T")))</x:f>
      </x:c>
      <x:c r="K537" t="str">
        <x:v>Cincinnati Bearcats</x:v>
      </x:c>
      <x:c r="L537" t="str">
        <x:v>CIN</x:v>
      </x:c>
      <x:c r="M537" s="69" t="n">
        <x:v>0</x:v>
      </x:c>
      <x:c r="N537" t="str">
        <x:v>3-0</x:v>
      </x:c>
      <x:c r="O537" t="str">
        <x:f>IF(E537&lt;&gt;TRUE,"",IF(M537&gt;H537,"W",IF(M537&lt;H537,"L","T")))</x:f>
      </x:c>
      <x:c r="P537" s="66" t="b">
        <x:v>0</x:v>
      </x:c>
      <x:c r="Q537" s="66" t="b">
        <x:v>1</x:v>
      </x:c>
      <x:c r="R537" t="str">
        <x:v>Nippert Stadium</x:v>
      </x:c>
      <x:c r="S537" t="str"/>
      <x:c r="T537"/>
      <x:c r="U537" s="70"/>
      <x:c r="V537" s="70"/>
      <x:c r="W537"/>
      <x:c r="X537" t="str">
        <x:v>https://www.espn.com/college-football/game/_/gameId/401856840</x:v>
      </x:c>
    </x:row>
    <x:row r="538">
      <x:c r="A538" t="str">
        <x:v>CFB</x:v>
      </x:c>
      <x:c r="B538" t="n">
        <x:v>8</x:v>
      </x:c>
      <x:c r="C538" s="68" t="n">
        <x:v>46319</x:v>
      </x:c>
      <x:c r="D538" s="71" t="str">
        <x:v>pre</x:v>
      </x:c>
      <x:c r="E538" s="72" t="b">
        <x:v>0</x:v>
      </x:c>
      <x:c r="F538" t="str">
        <x:v>West Virginia Mountaineers</x:v>
      </x:c>
      <x:c r="G538" t="str">
        <x:v>WVU</x:v>
      </x:c>
      <x:c r="H538" s="69" t="n">
        <x:v>0</x:v>
      </x:c>
      <x:c r="I538" t="str">
        <x:v>3-0</x:v>
      </x:c>
      <x:c r="J538" t="str">
        <x:f>IF(E538&lt;&gt;TRUE,"",IF(H538&gt;M538,"W",IF(H538&lt;M538,"L","T")))</x:f>
      </x:c>
      <x:c r="K538" t="str">
        <x:v>TCU Horned Frogs</x:v>
      </x:c>
      <x:c r="L538" t="str">
        <x:v>TCU</x:v>
      </x:c>
      <x:c r="M538" s="69" t="n">
        <x:v>0</x:v>
      </x:c>
      <x:c r="N538" t="str">
        <x:v>2-1</x:v>
      </x:c>
      <x:c r="O538" t="str">
        <x:f>IF(E538&lt;&gt;TRUE,"",IF(M538&gt;H538,"W",IF(M538&lt;H538,"L","T")))</x:f>
      </x:c>
      <x:c r="P538" s="66" t="b">
        <x:v>0</x:v>
      </x:c>
      <x:c r="Q538" s="66" t="b">
        <x:v>1</x:v>
      </x:c>
      <x:c r="R538" t="str">
        <x:v>Amon G. Carter Stadium</x:v>
      </x:c>
      <x:c r="S538" t="str"/>
      <x:c r="T538"/>
      <x:c r="U538" s="70"/>
      <x:c r="V538" s="70"/>
      <x:c r="W538"/>
      <x:c r="X538" t="str">
        <x:v>https://www.espn.com/college-football/game/_/gameId/401856841</x:v>
      </x:c>
    </x:row>
    <x:row r="539">
      <x:c r="A539" t="str">
        <x:v>CFB</x:v>
      </x:c>
      <x:c r="B539" t="n">
        <x:v>8</x:v>
      </x:c>
      <x:c r="C539" s="68" t="n">
        <x:v>46319</x:v>
      </x:c>
      <x:c r="D539" s="71" t="str">
        <x:v>pre</x:v>
      </x:c>
      <x:c r="E539" s="72" t="b">
        <x:v>0</x:v>
      </x:c>
      <x:c r="F539" t="str">
        <x:v>California Golden Bears</x:v>
      </x:c>
      <x:c r="G539" t="str">
        <x:v>CAL</x:v>
      </x:c>
      <x:c r="H539" s="69" t="n">
        <x:v>0</x:v>
      </x:c>
      <x:c r="I539" t="str">
        <x:v>2-1</x:v>
      </x:c>
      <x:c r="J539" t="str">
        <x:f>IF(E539&lt;&gt;TRUE,"",IF(H539&gt;M539,"W",IF(H539&lt;M539,"L","T")))</x:f>
      </x:c>
      <x:c r="K539" t="str">
        <x:v>SMU Mustangs</x:v>
      </x:c>
      <x:c r="L539" t="str">
        <x:v>SMU</x:v>
      </x:c>
      <x:c r="M539" s="69" t="n">
        <x:v>0</x:v>
      </x:c>
      <x:c r="N539" t="str">
        <x:v>2-1</x:v>
      </x:c>
      <x:c r="O539" t="str">
        <x:f>IF(E539&lt;&gt;TRUE,"",IF(M539&gt;H539,"W",IF(M539&lt;H539,"L","T")))</x:f>
      </x:c>
      <x:c r="P539" s="66" t="b">
        <x:v>0</x:v>
      </x:c>
      <x:c r="Q539" s="66" t="b">
        <x:v>1</x:v>
      </x:c>
      <x:c r="R539" t="str">
        <x:v>Gerald J. Ford Stadium</x:v>
      </x:c>
      <x:c r="S539" t="str"/>
      <x:c r="T539"/>
      <x:c r="U539" s="70"/>
      <x:c r="V539" s="70"/>
      <x:c r="W539"/>
      <x:c r="X539" t="str">
        <x:v>https://www.espn.com/college-football/game/_/gameId/401858270</x:v>
      </x:c>
    </x:row>
    <x:row r="540">
      <x:c r="A540" t="str">
        <x:v>CFB</x:v>
      </x:c>
      <x:c r="B540" t="n">
        <x:v>8</x:v>
      </x:c>
      <x:c r="C540" s="68" t="n">
        <x:v>46319</x:v>
      </x:c>
      <x:c r="D540" s="71" t="str">
        <x:v>pre</x:v>
      </x:c>
      <x:c r="E540" s="72" t="b">
        <x:v>0</x:v>
      </x:c>
      <x:c r="F540" t="str">
        <x:v>Boston College Eagles</x:v>
      </x:c>
      <x:c r="G540" t="str">
        <x:v>BC</x:v>
      </x:c>
      <x:c r="H540" s="69" t="n">
        <x:v>0</x:v>
      </x:c>
      <x:c r="I540" t="str">
        <x:v>2-1</x:v>
      </x:c>
      <x:c r="J540" t="str">
        <x:f>IF(E540&lt;&gt;TRUE,"",IF(H540&gt;M540,"W",IF(H540&lt;M540,"L","T")))</x:f>
      </x:c>
      <x:c r="K540" t="str">
        <x:v>Georgia Tech Yellow Jackets</x:v>
      </x:c>
      <x:c r="L540" t="str">
        <x:v>GT</x:v>
      </x:c>
      <x:c r="M540" s="69" t="n">
        <x:v>0</x:v>
      </x:c>
      <x:c r="N540" t="str">
        <x:v>1-2</x:v>
      </x:c>
      <x:c r="O540" t="str">
        <x:f>IF(E540&lt;&gt;TRUE,"",IF(M540&gt;H540,"W",IF(M540&lt;H540,"L","T")))</x:f>
      </x:c>
      <x:c r="P540" s="66" t="b">
        <x:v>0</x:v>
      </x:c>
      <x:c r="Q540" s="66" t="b">
        <x:v>1</x:v>
      </x:c>
      <x:c r="R540" t="str">
        <x:v>Bobby Dodd Stadium</x:v>
      </x:c>
      <x:c r="S540" t="str"/>
      <x:c r="T540"/>
      <x:c r="U540" s="70"/>
      <x:c r="V540" s="70"/>
      <x:c r="W540"/>
      <x:c r="X540" t="str">
        <x:v>https://www.espn.com/college-football/game/_/gameId/401858273</x:v>
      </x:c>
    </x:row>
    <x:row r="541">
      <x:c r="A541" t="str">
        <x:v>CFB</x:v>
      </x:c>
      <x:c r="B541" t="n">
        <x:v>8</x:v>
      </x:c>
      <x:c r="C541" s="68" t="n">
        <x:v>46319</x:v>
      </x:c>
      <x:c r="D541" s="71" t="str">
        <x:v>pre</x:v>
      </x:c>
      <x:c r="E541" s="72" t="b">
        <x:v>0</x:v>
      </x:c>
      <x:c r="F541" t="str">
        <x:v>Pittsburgh Panthers</x:v>
      </x:c>
      <x:c r="G541" t="str">
        <x:v>PITT</x:v>
      </x:c>
      <x:c r="H541" s="69" t="n">
        <x:v>0</x:v>
      </x:c>
      <x:c r="I541" t="str">
        <x:v>3-0</x:v>
      </x:c>
      <x:c r="J541" t="str">
        <x:f>IF(E541&lt;&gt;TRUE,"",IF(H541&gt;M541,"W",IF(H541&lt;M541,"L","T")))</x:f>
      </x:c>
      <x:c r="K541" t="str">
        <x:v>Miami Hurricanes</x:v>
      </x:c>
      <x:c r="L541" t="str">
        <x:v>MIA</x:v>
      </x:c>
      <x:c r="M541" s="69" t="n">
        <x:v>0</x:v>
      </x:c>
      <x:c r="N541" t="str">
        <x:v>3-0</x:v>
      </x:c>
      <x:c r="O541" t="str">
        <x:f>IF(E541&lt;&gt;TRUE,"",IF(M541&gt;H541,"W",IF(M541&lt;H541,"L","T")))</x:f>
      </x:c>
      <x:c r="P541" s="66" t="b">
        <x:v>0</x:v>
      </x:c>
      <x:c r="Q541" s="66" t="b">
        <x:v>1</x:v>
      </x:c>
      <x:c r="R541" t="str">
        <x:v>Hard Rock Stadium</x:v>
      </x:c>
      <x:c r="S541" t="str"/>
      <x:c r="T541"/>
      <x:c r="U541" s="70"/>
      <x:c r="V541" s="70"/>
      <x:c r="W541"/>
      <x:c r="X541" t="str">
        <x:v>https://www.espn.com/college-football/game/_/gameId/401858274</x:v>
      </x:c>
    </x:row>
    <x:row r="542">
      <x:c r="A542" t="str">
        <x:v>CFB</x:v>
      </x:c>
      <x:c r="B542" t="n">
        <x:v>8</x:v>
      </x:c>
      <x:c r="C542" s="68" t="n">
        <x:v>46319</x:v>
      </x:c>
      <x:c r="D542" s="71" t="str">
        <x:v>pre</x:v>
      </x:c>
      <x:c r="E542" s="72" t="b">
        <x:v>0</x:v>
      </x:c>
      <x:c r="F542" t="str">
        <x:v>Syracuse Orange</x:v>
      </x:c>
      <x:c r="G542" t="str">
        <x:v>SYR</x:v>
      </x:c>
      <x:c r="H542" s="69" t="n">
        <x:v>0</x:v>
      </x:c>
      <x:c r="I542" t="str">
        <x:v>1-2</x:v>
      </x:c>
      <x:c r="J542" t="str">
        <x:f>IF(E542&lt;&gt;TRUE,"",IF(H542&gt;M542,"W",IF(H542&lt;M542,"L","T")))</x:f>
      </x:c>
      <x:c r="K542" t="str">
        <x:v>North Carolina Tar Heels</x:v>
      </x:c>
      <x:c r="L542" t="str">
        <x:v>UNC</x:v>
      </x:c>
      <x:c r="M542" s="69" t="n">
        <x:v>0</x:v>
      </x:c>
      <x:c r="N542" t="str">
        <x:v>2-1</x:v>
      </x:c>
      <x:c r="O542" t="str">
        <x:f>IF(E542&lt;&gt;TRUE,"",IF(M542&gt;H542,"W",IF(M542&lt;H542,"L","T")))</x:f>
      </x:c>
      <x:c r="P542" s="66" t="b">
        <x:v>0</x:v>
      </x:c>
      <x:c r="Q542" s="66" t="b">
        <x:v>1</x:v>
      </x:c>
      <x:c r="R542" t="str">
        <x:v>Kenan Stadium</x:v>
      </x:c>
      <x:c r="S542" t="str"/>
      <x:c r="T542"/>
      <x:c r="U542" s="70"/>
      <x:c r="V542" s="70"/>
      <x:c r="W542"/>
      <x:c r="X542" t="str">
        <x:v>https://www.espn.com/college-football/game/_/gameId/401858275</x:v>
      </x:c>
    </x:row>
    <x:row r="543">
      <x:c r="A543" t="str">
        <x:v>CFB</x:v>
      </x:c>
      <x:c r="B543" t="n">
        <x:v>8</x:v>
      </x:c>
      <x:c r="C543" s="68" t="n">
        <x:v>46319</x:v>
      </x:c>
      <x:c r="D543" s="71" t="str">
        <x:v>pre</x:v>
      </x:c>
      <x:c r="E543" s="72" t="b">
        <x:v>0</x:v>
      </x:c>
      <x:c r="F543" t="str">
        <x:v>Virginia Tech Hokies</x:v>
      </x:c>
      <x:c r="G543" t="str">
        <x:v>VT</x:v>
      </x:c>
      <x:c r="H543" s="69" t="n">
        <x:v>0</x:v>
      </x:c>
      <x:c r="I543" t="str">
        <x:v>3-0</x:v>
      </x:c>
      <x:c r="J543" t="str">
        <x:f>IF(E543&lt;&gt;TRUE,"",IF(H543&gt;M543,"W",IF(H543&lt;M543,"L","T")))</x:f>
      </x:c>
      <x:c r="K543" t="str">
        <x:v>Clemson Tigers</x:v>
      </x:c>
      <x:c r="L543" t="str">
        <x:v>CLEM</x:v>
      </x:c>
      <x:c r="M543" s="69" t="n">
        <x:v>0</x:v>
      </x:c>
      <x:c r="N543" t="str">
        <x:v>2-1</x:v>
      </x:c>
      <x:c r="O543" t="str">
        <x:f>IF(E543&lt;&gt;TRUE,"",IF(M543&gt;H543,"W",IF(M543&lt;H543,"L","T")))</x:f>
      </x:c>
      <x:c r="P543" s="66" t="b">
        <x:v>0</x:v>
      </x:c>
      <x:c r="Q543" s="66" t="b">
        <x:v>1</x:v>
      </x:c>
      <x:c r="R543" t="str">
        <x:v>Memorial Stadium (Clemson, SC)</x:v>
      </x:c>
      <x:c r="S543" t="str"/>
      <x:c r="T543"/>
      <x:c r="U543" s="70"/>
      <x:c r="V543" s="70"/>
      <x:c r="W543"/>
      <x:c r="X543" t="str">
        <x:v>https://www.espn.com/college-football/game/_/gameId/401858276</x:v>
      </x:c>
    </x:row>
    <x:row r="544">
      <x:c r="A544" t="str">
        <x:v>CFB</x:v>
      </x:c>
      <x:c r="B544" t="n">
        <x:v>8</x:v>
      </x:c>
      <x:c r="C544" s="68" t="n">
        <x:v>46319</x:v>
      </x:c>
      <x:c r="D544" s="71" t="str">
        <x:v>pre</x:v>
      </x:c>
      <x:c r="E544" s="72" t="b">
        <x:v>0</x:v>
      </x:c>
      <x:c r="F544" t="str">
        <x:v>Oregon Ducks</x:v>
      </x:c>
      <x:c r="G544" t="str">
        <x:v>ORE</x:v>
      </x:c>
      <x:c r="H544" s="69" t="n">
        <x:v>0</x:v>
      </x:c>
      <x:c r="I544" t="str">
        <x:v>2-1</x:v>
      </x:c>
      <x:c r="J544" t="str">
        <x:f>IF(E544&lt;&gt;TRUE,"",IF(H544&gt;M544,"W",IF(H544&lt;M544,"L","T")))</x:f>
      </x:c>
      <x:c r="K544" t="str">
        <x:v>Illinois Fighting Illini</x:v>
      </x:c>
      <x:c r="L544" t="str">
        <x:v>ILL</x:v>
      </x:c>
      <x:c r="M544" s="69" t="n">
        <x:v>0</x:v>
      </x:c>
      <x:c r="N544" t="str">
        <x:v>2-1</x:v>
      </x:c>
      <x:c r="O544" t="str">
        <x:f>IF(E544&lt;&gt;TRUE,"",IF(M544&gt;H544,"W",IF(M544&lt;H544,"L","T")))</x:f>
      </x:c>
      <x:c r="P544" s="66" t="b">
        <x:v>0</x:v>
      </x:c>
      <x:c r="Q544" s="66" t="b">
        <x:v>1</x:v>
      </x:c>
      <x:c r="R544" t="str">
        <x:v>Gies Memorial Stadium</x:v>
      </x:c>
      <x:c r="S544" t="str"/>
      <x:c r="T544"/>
      <x:c r="U544" s="70"/>
      <x:c r="V544" s="70"/>
      <x:c r="W544"/>
      <x:c r="X544" t="str">
        <x:v>https://www.espn.com/college-football/game/_/gameId/401858495</x:v>
      </x:c>
    </x:row>
    <x:row r="545">
      <x:c r="A545" t="str">
        <x:v>CFB</x:v>
      </x:c>
      <x:c r="B545" t="n">
        <x:v>8</x:v>
      </x:c>
      <x:c r="C545" s="68" t="n">
        <x:v>46319</x:v>
      </x:c>
      <x:c r="D545" s="71" t="str">
        <x:v>pre</x:v>
      </x:c>
      <x:c r="E545" s="72" t="b">
        <x:v>0</x:v>
      </x:c>
      <x:c r="F545" t="str">
        <x:v>Indiana Hoosiers</x:v>
      </x:c>
      <x:c r="G545" t="str">
        <x:v>IU</x:v>
      </x:c>
      <x:c r="H545" s="69" t="n">
        <x:v>0</x:v>
      </x:c>
      <x:c r="I545" t="str">
        <x:v>3-0</x:v>
      </x:c>
      <x:c r="J545" t="str">
        <x:f>IF(E545&lt;&gt;TRUE,"",IF(H545&gt;M545,"W",IF(H545&lt;M545,"L","T")))</x:f>
      </x:c>
      <x:c r="K545" t="str">
        <x:v>Michigan Wolverines</x:v>
      </x:c>
      <x:c r="L545" t="str">
        <x:v>MICH</x:v>
      </x:c>
      <x:c r="M545" s="69" t="n">
        <x:v>0</x:v>
      </x:c>
      <x:c r="N545" t="str">
        <x:v>3-0</x:v>
      </x:c>
      <x:c r="O545" t="str">
        <x:f>IF(E545&lt;&gt;TRUE,"",IF(M545&gt;H545,"W",IF(M545&lt;H545,"L","T")))</x:f>
      </x:c>
      <x:c r="P545" s="66" t="b">
        <x:v>0</x:v>
      </x:c>
      <x:c r="Q545" s="66" t="b">
        <x:v>1</x:v>
      </x:c>
      <x:c r="R545" t="str">
        <x:v>Michigan Stadium</x:v>
      </x:c>
      <x:c r="S545" t="str"/>
      <x:c r="T545" t="str">
        <x:v>IU -6</x:v>
      </x:c>
      <x:c r="U545" s="70" t="n">
        <x:v>6</x:v>
      </x:c>
      <x:c r="V545" s="70" t="n">
        <x:v>52.5</x:v>
      </x:c>
      <x:c r="W545" t="str">
        <x:v>DraftKings</x:v>
      </x:c>
      <x:c r="X545" t="str">
        <x:v>https://www.espn.com/college-football/game/_/gameId/401858496</x:v>
      </x:c>
    </x:row>
    <x:row r="546">
      <x:c r="A546" t="str">
        <x:v>CFB</x:v>
      </x:c>
      <x:c r="B546" t="n">
        <x:v>8</x:v>
      </x:c>
      <x:c r="C546" s="68" t="n">
        <x:v>46319</x:v>
      </x:c>
      <x:c r="D546" s="71" t="str">
        <x:v>pre</x:v>
      </x:c>
      <x:c r="E546" s="72" t="b">
        <x:v>0</x:v>
      </x:c>
      <x:c r="F546" t="str">
        <x:v>Iowa Hawkeyes</x:v>
      </x:c>
      <x:c r="G546" t="str">
        <x:v>IOWA</x:v>
      </x:c>
      <x:c r="H546" s="69" t="n">
        <x:v>0</x:v>
      </x:c>
      <x:c r="I546" t="str">
        <x:v>3-0</x:v>
      </x:c>
      <x:c r="J546" t="str">
        <x:f>IF(E546&lt;&gt;TRUE,"",IF(H546&gt;M546,"W",IF(H546&lt;M546,"L","T")))</x:f>
      </x:c>
      <x:c r="K546" t="str">
        <x:v>Minnesota Golden Gophers</x:v>
      </x:c>
      <x:c r="L546" t="str">
        <x:v>MINN</x:v>
      </x:c>
      <x:c r="M546" s="69" t="n">
        <x:v>0</x:v>
      </x:c>
      <x:c r="N546" t="str">
        <x:v>2-1</x:v>
      </x:c>
      <x:c r="O546" t="str">
        <x:f>IF(E546&lt;&gt;TRUE,"",IF(M546&gt;H546,"W",IF(M546&lt;H546,"L","T")))</x:f>
      </x:c>
      <x:c r="P546" s="66" t="b">
        <x:v>0</x:v>
      </x:c>
      <x:c r="Q546" s="66" t="b">
        <x:v>1</x:v>
      </x:c>
      <x:c r="R546" t="str">
        <x:v>Huntington Bank Stadium</x:v>
      </x:c>
      <x:c r="S546" t="str"/>
      <x:c r="T546"/>
      <x:c r="U546" s="70"/>
      <x:c r="V546" s="70"/>
      <x:c r="W546"/>
      <x:c r="X546" t="str">
        <x:v>https://www.espn.com/college-football/game/_/gameId/401858497</x:v>
      </x:c>
    </x:row>
    <x:row r="547">
      <x:c r="A547" t="str">
        <x:v>CFB</x:v>
      </x:c>
      <x:c r="B547" t="n">
        <x:v>8</x:v>
      </x:c>
      <x:c r="C547" s="68" t="n">
        <x:v>46319</x:v>
      </x:c>
      <x:c r="D547" s="71" t="str">
        <x:v>pre</x:v>
      </x:c>
      <x:c r="E547" s="72" t="b">
        <x:v>0</x:v>
      </x:c>
      <x:c r="F547" t="str">
        <x:v>Rutgers Scarlet Knights</x:v>
      </x:c>
      <x:c r="G547" t="str">
        <x:v>RUTG</x:v>
      </x:c>
      <x:c r="H547" s="69" t="n">
        <x:v>0</x:v>
      </x:c>
      <x:c r="I547" t="str">
        <x:v>0-3</x:v>
      </x:c>
      <x:c r="J547" t="str">
        <x:f>IF(E547&lt;&gt;TRUE,"",IF(H547&gt;M547,"W",IF(H547&lt;M547,"L","T")))</x:f>
      </x:c>
      <x:c r="K547" t="str">
        <x:v>Northwestern Wildcats</x:v>
      </x:c>
      <x:c r="L547" t="str">
        <x:v>NU</x:v>
      </x:c>
      <x:c r="M547" s="69" t="n">
        <x:v>0</x:v>
      </x:c>
      <x:c r="N547" t="str">
        <x:v>2-0</x:v>
      </x:c>
      <x:c r="O547" t="str">
        <x:f>IF(E547&lt;&gt;TRUE,"",IF(M547&gt;H547,"W",IF(M547&lt;H547,"L","T")))</x:f>
      </x:c>
      <x:c r="P547" s="66" t="b">
        <x:v>0</x:v>
      </x:c>
      <x:c r="Q547" s="66" t="b">
        <x:v>1</x:v>
      </x:c>
      <x:c r="R547" t="str">
        <x:v>Ryan Field</x:v>
      </x:c>
      <x:c r="S547" t="str"/>
      <x:c r="T547"/>
      <x:c r="U547" s="70"/>
      <x:c r="V547" s="70"/>
      <x:c r="W547"/>
      <x:c r="X547" t="str">
        <x:v>https://www.espn.com/college-football/game/_/gameId/401858498</x:v>
      </x:c>
    </x:row>
    <x:row r="548">
      <x:c r="A548" t="str">
        <x:v>CFB</x:v>
      </x:c>
      <x:c r="B548" t="n">
        <x:v>8</x:v>
      </x:c>
      <x:c r="C548" s="68" t="n">
        <x:v>46319</x:v>
      </x:c>
      <x:c r="D548" s="71" t="str">
        <x:v>pre</x:v>
      </x:c>
      <x:c r="E548" s="72" t="b">
        <x:v>0</x:v>
      </x:c>
      <x:c r="F548" t="str">
        <x:v>Michigan State Spartans</x:v>
      </x:c>
      <x:c r="G548" t="str">
        <x:v>MSU</x:v>
      </x:c>
      <x:c r="H548" s="69" t="n">
        <x:v>0</x:v>
      </x:c>
      <x:c r="I548" t="str">
        <x:v>2-1</x:v>
      </x:c>
      <x:c r="J548" t="str">
        <x:f>IF(E548&lt;&gt;TRUE,"",IF(H548&gt;M548,"W",IF(H548&lt;M548,"L","T")))</x:f>
      </x:c>
      <x:c r="K548" t="str">
        <x:v>UCLA Bruins</x:v>
      </x:c>
      <x:c r="L548" t="str">
        <x:v>UCLA</x:v>
      </x:c>
      <x:c r="M548" s="69" t="n">
        <x:v>0</x:v>
      </x:c>
      <x:c r="N548" t="str">
        <x:v>3-0</x:v>
      </x:c>
      <x:c r="O548" t="str">
        <x:f>IF(E548&lt;&gt;TRUE,"",IF(M548&gt;H548,"W",IF(M548&lt;H548,"L","T")))</x:f>
      </x:c>
      <x:c r="P548" s="66" t="b">
        <x:v>0</x:v>
      </x:c>
      <x:c r="Q548" s="66" t="b">
        <x:v>1</x:v>
      </x:c>
      <x:c r="R548" t="str">
        <x:v>Rose Bowl</x:v>
      </x:c>
      <x:c r="S548" t="str"/>
      <x:c r="T548"/>
      <x:c r="U548" s="70"/>
      <x:c r="V548" s="70"/>
      <x:c r="W548"/>
      <x:c r="X548" t="str">
        <x:v>https://www.espn.com/college-football/game/_/gameId/401858499</x:v>
      </x:c>
    </x:row>
    <x:row r="549">
      <x:c r="A549" t="str">
        <x:v>CFB</x:v>
      </x:c>
      <x:c r="B549" t="n">
        <x:v>8</x:v>
      </x:c>
      <x:c r="C549" s="68" t="n">
        <x:v>46319</x:v>
      </x:c>
      <x:c r="D549" s="71" t="str">
        <x:v>pre</x:v>
      </x:c>
      <x:c r="E549" s="72" t="b">
        <x:v>0</x:v>
      </x:c>
      <x:c r="F549" t="str">
        <x:v>USC Trojans</x:v>
      </x:c>
      <x:c r="G549" t="str">
        <x:v>USC</x:v>
      </x:c>
      <x:c r="H549" s="69" t="n">
        <x:v>0</x:v>
      </x:c>
      <x:c r="I549" t="str">
        <x:v>4-0</x:v>
      </x:c>
      <x:c r="J549" t="str">
        <x:f>IF(E549&lt;&gt;TRUE,"",IF(H549&gt;M549,"W",IF(H549&lt;M549,"L","T")))</x:f>
      </x:c>
      <x:c r="K549" t="str">
        <x:v>Wisconsin Badgers</x:v>
      </x:c>
      <x:c r="L549" t="str">
        <x:v>WIS</x:v>
      </x:c>
      <x:c r="M549" s="69" t="n">
        <x:v>0</x:v>
      </x:c>
      <x:c r="N549" t="str">
        <x:v>2-1</x:v>
      </x:c>
      <x:c r="O549" t="str">
        <x:f>IF(E549&lt;&gt;TRUE,"",IF(M549&gt;H549,"W",IF(M549&lt;H549,"L","T")))</x:f>
      </x:c>
      <x:c r="P549" s="66" t="b">
        <x:v>0</x:v>
      </x:c>
      <x:c r="Q549" s="66" t="b">
        <x:v>1</x:v>
      </x:c>
      <x:c r="R549" t="str">
        <x:v>Camp Randall Stadium</x:v>
      </x:c>
      <x:c r="S549" t="str"/>
      <x:c r="T549"/>
      <x:c r="U549" s="70"/>
      <x:c r="V549" s="70"/>
      <x:c r="W549"/>
      <x:c r="X549" t="str">
        <x:v>https://www.espn.com/college-football/game/_/gameId/401858500</x:v>
      </x:c>
    </x:row>
    <x:row r="550">
      <x:c r="A550" t="str">
        <x:v>CFB</x:v>
      </x:c>
      <x:c r="B550" t="n">
        <x:v>8</x:v>
      </x:c>
      <x:c r="C550" s="68" t="n">
        <x:v>46319</x:v>
      </x:c>
      <x:c r="D550" s="71" t="str">
        <x:v>pre</x:v>
      </x:c>
      <x:c r="E550" s="72" t="b">
        <x:v>0</x:v>
      </x:c>
      <x:c r="F550" t="str">
        <x:v>Rice Owls</x:v>
      </x:c>
      <x:c r="G550" t="str">
        <x:v>RICE</x:v>
      </x:c>
      <x:c r="H550" s="69" t="n">
        <x:v>0</x:v>
      </x:c>
      <x:c r="I550" t="str">
        <x:v>1-2</x:v>
      </x:c>
      <x:c r="J550" t="str">
        <x:f>IF(E550&lt;&gt;TRUE,"",IF(H550&gt;M550,"W",IF(H550&lt;M550,"L","T")))</x:f>
      </x:c>
      <x:c r="K550" t="str">
        <x:v>Florida Atlantic Owls</x:v>
      </x:c>
      <x:c r="L550" t="str">
        <x:v>FAU</x:v>
      </x:c>
      <x:c r="M550" s="69" t="n">
        <x:v>0</x:v>
      </x:c>
      <x:c r="N550" t="str">
        <x:v>2-1</x:v>
      </x:c>
      <x:c r="O550" t="str">
        <x:f>IF(E550&lt;&gt;TRUE,"",IF(M550&gt;H550,"W",IF(M550&lt;H550,"L","T")))</x:f>
      </x:c>
      <x:c r="P550" s="66" t="b">
        <x:v>0</x:v>
      </x:c>
      <x:c r="Q550" s="66" t="b">
        <x:v>1</x:v>
      </x:c>
      <x:c r="R550" t="str">
        <x:v>Flagler Credit Union Stadium</x:v>
      </x:c>
      <x:c r="S550" t="str"/>
      <x:c r="T550"/>
      <x:c r="U550" s="70"/>
      <x:c r="V550" s="70"/>
      <x:c r="W550"/>
      <x:c r="X550" t="str">
        <x:v>https://www.espn.com/college-football/game/_/gameId/401862809</x:v>
      </x:c>
    </x:row>
    <x:row r="551">
      <x:c r="A551" t="str">
        <x:v>CFB</x:v>
      </x:c>
      <x:c r="B551" t="n">
        <x:v>8</x:v>
      </x:c>
      <x:c r="C551" s="68" t="n">
        <x:v>46319</x:v>
      </x:c>
      <x:c r="D551" s="71" t="str">
        <x:v>pre</x:v>
      </x:c>
      <x:c r="E551" s="72" t="b">
        <x:v>0</x:v>
      </x:c>
      <x:c r="F551" t="str">
        <x:v>UTSA Roadrunners</x:v>
      </x:c>
      <x:c r="G551" t="str">
        <x:v>UTSA</x:v>
      </x:c>
      <x:c r="H551" s="69" t="n">
        <x:v>0</x:v>
      </x:c>
      <x:c r="I551" t="str">
        <x:v>2-1</x:v>
      </x:c>
      <x:c r="J551" t="str">
        <x:f>IF(E551&lt;&gt;TRUE,"",IF(H551&gt;M551,"W",IF(H551&lt;M551,"L","T")))</x:f>
      </x:c>
      <x:c r="K551" t="str">
        <x:v>Tulane Green Wave</x:v>
      </x:c>
      <x:c r="L551" t="str">
        <x:v>TULN</x:v>
      </x:c>
      <x:c r="M551" s="69" t="n">
        <x:v>0</x:v>
      </x:c>
      <x:c r="N551" t="str">
        <x:v>1-2</x:v>
      </x:c>
      <x:c r="O551" t="str">
        <x:f>IF(E551&lt;&gt;TRUE,"",IF(M551&gt;H551,"W",IF(M551&lt;H551,"L","T")))</x:f>
      </x:c>
      <x:c r="P551" s="66" t="b">
        <x:v>0</x:v>
      </x:c>
      <x:c r="Q551" s="66" t="b">
        <x:v>1</x:v>
      </x:c>
      <x:c r="R551" t="str">
        <x:v>Yulman Stadium</x:v>
      </x:c>
      <x:c r="S551" t="str"/>
      <x:c r="T551"/>
      <x:c r="U551" s="70"/>
      <x:c r="V551" s="70"/>
      <x:c r="W551"/>
      <x:c r="X551" t="str">
        <x:v>https://www.espn.com/college-football/game/_/gameId/401862811</x:v>
      </x:c>
    </x:row>
    <x:row r="552">
      <x:c r="A552" t="str">
        <x:v>CFB</x:v>
      </x:c>
      <x:c r="B552" t="n">
        <x:v>8</x:v>
      </x:c>
      <x:c r="C552" s="68" t="n">
        <x:v>46319</x:v>
      </x:c>
      <x:c r="D552" s="71" t="str">
        <x:v>pre</x:v>
      </x:c>
      <x:c r="E552" s="72" t="b">
        <x:v>0</x:v>
      </x:c>
      <x:c r="F552" t="str">
        <x:v>Hawai'i Rainbow Warriors</x:v>
      </x:c>
      <x:c r="G552" t="str">
        <x:v>HAW</x:v>
      </x:c>
      <x:c r="H552" s="69" t="n">
        <x:v>0</x:v>
      </x:c>
      <x:c r="I552" t="str">
        <x:v>1-2</x:v>
      </x:c>
      <x:c r="J552" t="str">
        <x:f>IF(E552&lt;&gt;TRUE,"",IF(H552&gt;M552,"W",IF(H552&lt;M552,"L","T")))</x:f>
      </x:c>
      <x:c r="K552" t="str">
        <x:v>Northern Illinois Huskies</x:v>
      </x:c>
      <x:c r="L552" t="str">
        <x:v>NIU</x:v>
      </x:c>
      <x:c r="M552" s="69" t="n">
        <x:v>0</x:v>
      </x:c>
      <x:c r="N552" t="str">
        <x:v>0-3</x:v>
      </x:c>
      <x:c r="O552" t="str">
        <x:f>IF(E552&lt;&gt;TRUE,"",IF(M552&gt;H552,"W",IF(M552&lt;H552,"L","T")))</x:f>
      </x:c>
      <x:c r="P552" s="66" t="b">
        <x:v>0</x:v>
      </x:c>
      <x:c r="Q552" s="66" t="b">
        <x:v>1</x:v>
      </x:c>
      <x:c r="R552" t="str">
        <x:v>Huskie Stadium</x:v>
      </x:c>
      <x:c r="S552" t="str">
        <x:v>MW+</x:v>
      </x:c>
      <x:c r="T552"/>
      <x:c r="U552" s="70"/>
      <x:c r="V552" s="70"/>
      <x:c r="W552"/>
      <x:c r="X552" t="str">
        <x:v>https://www.espn.com/college-football/game/_/gameId/401864526</x:v>
      </x:c>
    </x:row>
    <x:row r="553">
      <x:c r="A553" t="str">
        <x:v>CFB</x:v>
      </x:c>
      <x:c r="B553" t="n">
        <x:v>8</x:v>
      </x:c>
      <x:c r="C553" s="68" t="n">
        <x:v>46319</x:v>
      </x:c>
      <x:c r="D553" s="71" t="str">
        <x:v>pre</x:v>
      </x:c>
      <x:c r="E553" s="72" t="b">
        <x:v>0</x:v>
      </x:c>
      <x:c r="F553" t="str">
        <x:v>Akron Zips</x:v>
      </x:c>
      <x:c r="G553" t="str">
        <x:v>AKR</x:v>
      </x:c>
      <x:c r="H553" s="69" t="n">
        <x:v>0</x:v>
      </x:c>
      <x:c r="I553" t="str">
        <x:v>1-2</x:v>
      </x:c>
      <x:c r="J553" t="str">
        <x:f>IF(E553&lt;&gt;TRUE,"",IF(H553&gt;M553,"W",IF(H553&lt;M553,"L","T")))</x:f>
      </x:c>
      <x:c r="K553" t="str">
        <x:v>Kent State Golden Flashes</x:v>
      </x:c>
      <x:c r="L553" t="str">
        <x:v>KENT</x:v>
      </x:c>
      <x:c r="M553" s="69" t="n">
        <x:v>0</x:v>
      </x:c>
      <x:c r="N553" t="str">
        <x:v>1-2</x:v>
      </x:c>
      <x:c r="O553" t="str">
        <x:f>IF(E553&lt;&gt;TRUE,"",IF(M553&gt;H553,"W",IF(M553&lt;H553,"L","T")))</x:f>
      </x:c>
      <x:c r="P553" s="66" t="b">
        <x:v>0</x:v>
      </x:c>
      <x:c r="Q553" s="66" t="b">
        <x:v>1</x:v>
      </x:c>
      <x:c r="R553" t="str">
        <x:v>Zoeller Field at Dix Stadium</x:v>
      </x:c>
      <x:c r="S553" t="str"/>
      <x:c r="T553"/>
      <x:c r="U553" s="70"/>
      <x:c r="V553" s="70"/>
      <x:c r="W553"/>
      <x:c r="X553" t="str">
        <x:v>https://www.espn.com/college-football/game/_/gameId/401866446</x:v>
      </x:c>
    </x:row>
    <x:row r="554">
      <x:c r="A554" t="str">
        <x:v>CFB</x:v>
      </x:c>
      <x:c r="B554" t="n">
        <x:v>8</x:v>
      </x:c>
      <x:c r="C554" s="68" t="n">
        <x:v>46319</x:v>
      </x:c>
      <x:c r="D554" s="71" t="str">
        <x:v>pre</x:v>
      </x:c>
      <x:c r="E554" s="72" t="b">
        <x:v>0</x:v>
      </x:c>
      <x:c r="F554" t="str">
        <x:v>Sacramento State Hornets</x:v>
      </x:c>
      <x:c r="G554" t="str">
        <x:v>SAC</x:v>
      </x:c>
      <x:c r="H554" s="69" t="n">
        <x:v>0</x:v>
      </x:c>
      <x:c r="I554" t="str">
        <x:v>1-3</x:v>
      </x:c>
      <x:c r="J554" t="str">
        <x:f>IF(E554&lt;&gt;TRUE,"",IF(H554&gt;M554,"W",IF(H554&lt;M554,"L","T")))</x:f>
      </x:c>
      <x:c r="K554" t="str">
        <x:v>Ball State Cardinals</x:v>
      </x:c>
      <x:c r="L554" t="str">
        <x:v>BALL</x:v>
      </x:c>
      <x:c r="M554" s="69" t="n">
        <x:v>0</x:v>
      </x:c>
      <x:c r="N554" t="str">
        <x:v>1-2</x:v>
      </x:c>
      <x:c r="O554" t="str">
        <x:f>IF(E554&lt;&gt;TRUE,"",IF(M554&gt;H554,"W",IF(M554&lt;H554,"L","T")))</x:f>
      </x:c>
      <x:c r="P554" s="66" t="b">
        <x:v>0</x:v>
      </x:c>
      <x:c r="Q554" s="66" t="b">
        <x:v>1</x:v>
      </x:c>
      <x:c r="R554" t="str">
        <x:v>Scheumann Stadium</x:v>
      </x:c>
      <x:c r="S554" t="str"/>
      <x:c r="T554"/>
      <x:c r="U554" s="70"/>
      <x:c r="V554" s="70"/>
      <x:c r="W554"/>
      <x:c r="X554" t="str">
        <x:v>https://www.espn.com/college-football/game/_/gameId/401866447</x:v>
      </x:c>
    </x:row>
    <x:row r="555">
      <x:c r="A555" t="str">
        <x:v>CFB</x:v>
      </x:c>
      <x:c r="B555" t="n">
        <x:v>8</x:v>
      </x:c>
      <x:c r="C555" s="68" t="n">
        <x:v>46319</x:v>
      </x:c>
      <x:c r="D555" s="71" t="str">
        <x:v>pre</x:v>
      </x:c>
      <x:c r="E555" s="72" t="b">
        <x:v>0</x:v>
      </x:c>
      <x:c r="F555" t="str">
        <x:v>Bowling Green Falcons</x:v>
      </x:c>
      <x:c r="G555" t="str">
        <x:v>BGSU</x:v>
      </x:c>
      <x:c r="H555" s="69" t="n">
        <x:v>0</x:v>
      </x:c>
      <x:c r="I555" t="str">
        <x:v>0-3</x:v>
      </x:c>
      <x:c r="J555" t="str">
        <x:f>IF(E555&lt;&gt;TRUE,"",IF(H555&gt;M555,"W",IF(H555&lt;M555,"L","T")))</x:f>
      </x:c>
      <x:c r="K555" t="str">
        <x:v>Buffalo Bulls</x:v>
      </x:c>
      <x:c r="L555" t="str">
        <x:v>BUFF</x:v>
      </x:c>
      <x:c r="M555" s="69" t="n">
        <x:v>0</x:v>
      </x:c>
      <x:c r="N555" t="str">
        <x:v>1-2</x:v>
      </x:c>
      <x:c r="O555" t="str">
        <x:f>IF(E555&lt;&gt;TRUE,"",IF(M555&gt;H555,"W",IF(M555&lt;H555,"L","T")))</x:f>
      </x:c>
      <x:c r="P555" s="66" t="b">
        <x:v>0</x:v>
      </x:c>
      <x:c r="Q555" s="66" t="b">
        <x:v>1</x:v>
      </x:c>
      <x:c r="R555" t="str">
        <x:v>Broadview Stadium</x:v>
      </x:c>
      <x:c r="S555" t="str"/>
      <x:c r="T555"/>
      <x:c r="U555" s="70"/>
      <x:c r="V555" s="70"/>
      <x:c r="W555"/>
      <x:c r="X555" t="str">
        <x:v>https://www.espn.com/college-football/game/_/gameId/401866448</x:v>
      </x:c>
    </x:row>
    <x:row r="556">
      <x:c r="A556" t="str">
        <x:v>CFB</x:v>
      </x:c>
      <x:c r="B556" t="n">
        <x:v>8</x:v>
      </x:c>
      <x:c r="C556" s="68" t="n">
        <x:v>46319</x:v>
      </x:c>
      <x:c r="D556" s="71" t="str">
        <x:v>pre</x:v>
      </x:c>
      <x:c r="E556" s="72" t="b">
        <x:v>0</x:v>
      </x:c>
      <x:c r="F556" t="str">
        <x:v>Eastern Michigan Eagles</x:v>
      </x:c>
      <x:c r="G556" t="str">
        <x:v>EMU</x:v>
      </x:c>
      <x:c r="H556" s="69" t="n">
        <x:v>0</x:v>
      </x:c>
      <x:c r="I556" t="str">
        <x:v>1-3</x:v>
      </x:c>
      <x:c r="J556" t="str">
        <x:f>IF(E556&lt;&gt;TRUE,"",IF(H556&gt;M556,"W",IF(H556&lt;M556,"L","T")))</x:f>
      </x:c>
      <x:c r="K556" t="str">
        <x:v>Ohio Bobcats</x:v>
      </x:c>
      <x:c r="L556" t="str">
        <x:v>OHIO</x:v>
      </x:c>
      <x:c r="M556" s="69" t="n">
        <x:v>0</x:v>
      </x:c>
      <x:c r="N556" t="str">
        <x:v>1-2</x:v>
      </x:c>
      <x:c r="O556" t="str">
        <x:f>IF(E556&lt;&gt;TRUE,"",IF(M556&gt;H556,"W",IF(M556&lt;H556,"L","T")))</x:f>
      </x:c>
      <x:c r="P556" s="66" t="b">
        <x:v>0</x:v>
      </x:c>
      <x:c r="Q556" s="66" t="b">
        <x:v>1</x:v>
      </x:c>
      <x:c r="R556" t="str">
        <x:v>Peden Stadium</x:v>
      </x:c>
      <x:c r="S556" t="str"/>
      <x:c r="T556"/>
      <x:c r="U556" s="70"/>
      <x:c r="V556" s="70"/>
      <x:c r="W556"/>
      <x:c r="X556" t="str">
        <x:v>https://www.espn.com/college-football/game/_/gameId/401866449</x:v>
      </x:c>
    </x:row>
    <x:row r="557">
      <x:c r="A557" t="str">
        <x:v>CFB</x:v>
      </x:c>
      <x:c r="B557" t="n">
        <x:v>8</x:v>
      </x:c>
      <x:c r="C557" s="68" t="n">
        <x:v>46319</x:v>
      </x:c>
      <x:c r="D557" s="71" t="str">
        <x:v>pre</x:v>
      </x:c>
      <x:c r="E557" s="72" t="b">
        <x:v>0</x:v>
      </x:c>
      <x:c r="F557" t="str">
        <x:v>Western Michigan Broncos</x:v>
      </x:c>
      <x:c r="G557" t="str">
        <x:v>WMU</x:v>
      </x:c>
      <x:c r="H557" s="69" t="n">
        <x:v>0</x:v>
      </x:c>
      <x:c r="I557" t="str">
        <x:v>2-1</x:v>
      </x:c>
      <x:c r="J557" t="str">
        <x:f>IF(E557&lt;&gt;TRUE,"",IF(H557&gt;M557,"W",IF(H557&lt;M557,"L","T")))</x:f>
      </x:c>
      <x:c r="K557" t="str">
        <x:v>Toledo Rockets</x:v>
      </x:c>
      <x:c r="L557" t="str">
        <x:v>TOL</x:v>
      </x:c>
      <x:c r="M557" s="69" t="n">
        <x:v>0</x:v>
      </x:c>
      <x:c r="N557" t="str">
        <x:v>2-1</x:v>
      </x:c>
      <x:c r="O557" t="str">
        <x:f>IF(E557&lt;&gt;TRUE,"",IF(M557&gt;H557,"W",IF(M557&lt;H557,"L","T")))</x:f>
      </x:c>
      <x:c r="P557" s="66" t="b">
        <x:v>0</x:v>
      </x:c>
      <x:c r="Q557" s="66" t="b">
        <x:v>1</x:v>
      </x:c>
      <x:c r="R557" t="str">
        <x:v>Glass Bowl</x:v>
      </x:c>
      <x:c r="S557" t="str"/>
      <x:c r="T557"/>
      <x:c r="U557" s="70"/>
      <x:c r="V557" s="70"/>
      <x:c r="W557"/>
      <x:c r="X557" t="str">
        <x:v>https://www.espn.com/college-football/game/_/gameId/401866450</x:v>
      </x:c>
    </x:row>
    <x:row r="558">
      <x:c r="A558" t="str">
        <x:v>CFB</x:v>
      </x:c>
      <x:c r="B558" t="n">
        <x:v>8</x:v>
      </x:c>
      <x:c r="C558" s="68" t="n">
        <x:v>46319</x:v>
      </x:c>
      <x:c r="D558" s="71" t="str">
        <x:v>pre</x:v>
      </x:c>
      <x:c r="E558" s="72" t="b">
        <x:v>0</x:v>
      </x:c>
      <x:c r="F558" t="str">
        <x:v>Miami (OH) RedHawks</x:v>
      </x:c>
      <x:c r="G558" t="str">
        <x:v>M-OH</x:v>
      </x:c>
      <x:c r="H558" s="69" t="n">
        <x:v>0</x:v>
      </x:c>
      <x:c r="I558" t="str">
        <x:v>1-2</x:v>
      </x:c>
      <x:c r="J558" t="str">
        <x:f>IF(E558&lt;&gt;TRUE,"",IF(H558&gt;M558,"W",IF(H558&lt;M558,"L","T")))</x:f>
      </x:c>
      <x:c r="K558" t="str">
        <x:v>Central Michigan Chippewas</x:v>
      </x:c>
      <x:c r="L558" t="str">
        <x:v>CMU</x:v>
      </x:c>
      <x:c r="M558" s="69" t="n">
        <x:v>0</x:v>
      </x:c>
      <x:c r="N558" t="str">
        <x:v>2-1</x:v>
      </x:c>
      <x:c r="O558" t="str">
        <x:f>IF(E558&lt;&gt;TRUE,"",IF(M558&gt;H558,"W",IF(M558&lt;H558,"L","T")))</x:f>
      </x:c>
      <x:c r="P558" s="66" t="b">
        <x:v>0</x:v>
      </x:c>
      <x:c r="Q558" s="66" t="b">
        <x:v>1</x:v>
      </x:c>
      <x:c r="R558" t="str">
        <x:v>Kelly/Shorts Stadium</x:v>
      </x:c>
      <x:c r="S558" t="str"/>
      <x:c r="T558"/>
      <x:c r="U558" s="70"/>
      <x:c r="V558" s="70"/>
      <x:c r="W558"/>
      <x:c r="X558" t="str">
        <x:v>https://www.espn.com/college-football/game/_/gameId/401866476</x:v>
      </x:c>
    </x:row>
    <x:row r="559">
      <x:c r="A559" t="str">
        <x:v>CFB</x:v>
      </x:c>
      <x:c r="B559" t="n">
        <x:v>8</x:v>
      </x:c>
      <x:c r="C559" s="68" t="n">
        <x:v>46319</x:v>
      </x:c>
      <x:c r="D559" s="71" t="str">
        <x:v>pre</x:v>
      </x:c>
      <x:c r="E559" s="72" t="b">
        <x:v>0</x:v>
      </x:c>
      <x:c r="F559" t="str">
        <x:v>Louisiana Ragin' Cajuns</x:v>
      </x:c>
      <x:c r="G559" t="str">
        <x:v>UL</x:v>
      </x:c>
      <x:c r="H559" s="69" t="n">
        <x:v>0</x:v>
      </x:c>
      <x:c r="I559" t="str">
        <x:v>2-1</x:v>
      </x:c>
      <x:c r="J559" t="str">
        <x:f>IF(E559&lt;&gt;TRUE,"",IF(H559&gt;M559,"W",IF(H559&lt;M559,"L","T")))</x:f>
      </x:c>
      <x:c r="K559" t="str">
        <x:v>Southern Miss Golden Eagles</x:v>
      </x:c>
      <x:c r="L559" t="str">
        <x:v>USM</x:v>
      </x:c>
      <x:c r="M559" s="69" t="n">
        <x:v>0</x:v>
      </x:c>
      <x:c r="N559" t="str">
        <x:v>1-2</x:v>
      </x:c>
      <x:c r="O559" t="str">
        <x:f>IF(E559&lt;&gt;TRUE,"",IF(M559&gt;H559,"W",IF(M559&lt;H559,"L","T")))</x:f>
      </x:c>
      <x:c r="P559" s="66" t="b">
        <x:v>0</x:v>
      </x:c>
      <x:c r="Q559" s="66" t="b">
        <x:v>1</x:v>
      </x:c>
      <x:c r="R559" t="str">
        <x:v>M. M. Roberts Stadium</x:v>
      </x:c>
      <x:c r="S559" t="str"/>
      <x:c r="T559"/>
      <x:c r="U559" s="70"/>
      <x:c r="V559" s="70"/>
      <x:c r="W559"/>
      <x:c r="X559" t="str">
        <x:v>https://www.espn.com/college-football/game/_/gameId/401869967</x:v>
      </x:c>
    </x:row>
    <x:row r="560">
      <x:c r="A560" t="str">
        <x:v>CFB</x:v>
      </x:c>
      <x:c r="B560" t="n">
        <x:v>8</x:v>
      </x:c>
      <x:c r="C560" s="68" t="n">
        <x:v>46319</x:v>
      </x:c>
      <x:c r="D560" s="71" t="str">
        <x:v>pre</x:v>
      </x:c>
      <x:c r="E560" s="72" t="b">
        <x:v>0</x:v>
      </x:c>
      <x:c r="F560" t="str">
        <x:v>Old Dominion Monarchs</x:v>
      </x:c>
      <x:c r="G560" t="str">
        <x:v>ODU</x:v>
      </x:c>
      <x:c r="H560" s="69" t="n">
        <x:v>0</x:v>
      </x:c>
      <x:c r="I560" t="str">
        <x:v>1-2</x:v>
      </x:c>
      <x:c r="J560" t="str">
        <x:f>IF(E560&lt;&gt;TRUE,"",IF(H560&gt;M560,"W",IF(H560&lt;M560,"L","T")))</x:f>
      </x:c>
      <x:c r="K560" t="str">
        <x:v>Louisiana Tech Bulldogs</x:v>
      </x:c>
      <x:c r="L560" t="str">
        <x:v>LT</x:v>
      </x:c>
      <x:c r="M560" s="69" t="n">
        <x:v>0</x:v>
      </x:c>
      <x:c r="N560" t="str">
        <x:v>1-2</x:v>
      </x:c>
      <x:c r="O560" t="str">
        <x:f>IF(E560&lt;&gt;TRUE,"",IF(M560&gt;H560,"W",IF(M560&lt;H560,"L","T")))</x:f>
      </x:c>
      <x:c r="P560" s="66" t="b">
        <x:v>0</x:v>
      </x:c>
      <x:c r="Q560" s="66" t="b">
        <x:v>1</x:v>
      </x:c>
      <x:c r="R560" t="str">
        <x:v>Joe Aillet Stadium</x:v>
      </x:c>
      <x:c r="S560" t="str"/>
      <x:c r="T560"/>
      <x:c r="U560" s="70"/>
      <x:c r="V560" s="70"/>
      <x:c r="W560"/>
      <x:c r="X560" t="str">
        <x:v>https://www.espn.com/college-football/game/_/gameId/401871093</x:v>
      </x:c>
    </x:row>
    <x:row r="561">
      <x:c r="A561" t="str">
        <x:v>CFB</x:v>
      </x:c>
      <x:c r="B561" t="n">
        <x:v>8</x:v>
      </x:c>
      <x:c r="C561" s="68" t="n">
        <x:v>46319</x:v>
      </x:c>
      <x:c r="D561" s="71" t="str">
        <x:v>pre</x:v>
      </x:c>
      <x:c r="E561" s="72" t="b">
        <x:v>0</x:v>
      </x:c>
      <x:c r="F561" t="str">
        <x:v>UL Monroe Warhawks</x:v>
      </x:c>
      <x:c r="G561" t="str">
        <x:v>ULM</x:v>
      </x:c>
      <x:c r="H561" s="69" t="n">
        <x:v>0</x:v>
      </x:c>
      <x:c r="I561" t="str">
        <x:v>0-3</x:v>
      </x:c>
      <x:c r="J561" t="str">
        <x:f>IF(E561&lt;&gt;TRUE,"",IF(H561&gt;M561,"W",IF(H561&lt;M561,"L","T")))</x:f>
      </x:c>
      <x:c r="K561" t="str">
        <x:v>Troy Trojans</x:v>
      </x:c>
      <x:c r="L561" t="str">
        <x:v>TROY</x:v>
      </x:c>
      <x:c r="M561" s="69" t="n">
        <x:v>0</x:v>
      </x:c>
      <x:c r="N561" t="str">
        <x:v>2-1</x:v>
      </x:c>
      <x:c r="O561" t="str">
        <x:f>IF(E561&lt;&gt;TRUE,"",IF(M561&gt;H561,"W",IF(M561&lt;H561,"L","T")))</x:f>
      </x:c>
      <x:c r="P561" s="66" t="b">
        <x:v>0</x:v>
      </x:c>
      <x:c r="Q561" s="66" t="b">
        <x:v>1</x:v>
      </x:c>
      <x:c r="R561" t="str">
        <x:v>Veterans Memorial Stadium (AL)</x:v>
      </x:c>
      <x:c r="S561" t="str"/>
      <x:c r="T561"/>
      <x:c r="U561" s="70"/>
      <x:c r="V561" s="70"/>
      <x:c r="W561"/>
      <x:c r="X561" t="str">
        <x:v>https://www.espn.com/college-football/game/_/gameId/401871094</x:v>
      </x:c>
    </x:row>
    <x:row r="562">
      <x:c r="A562" t="str">
        <x:v>CFB</x:v>
      </x:c>
      <x:c r="B562" t="n">
        <x:v>8</x:v>
      </x:c>
      <x:c r="C562" s="68" t="n">
        <x:v>46319.666666666664</x:v>
      </x:c>
      <x:c r="D562" s="71" t="str">
        <x:v>pre</x:v>
      </x:c>
      <x:c r="E562" s="72" t="b">
        <x:v>0</x:v>
      </x:c>
      <x:c r="F562" t="str">
        <x:v>LSU Tigers</x:v>
      </x:c>
      <x:c r="G562" t="str">
        <x:v>LSU</x:v>
      </x:c>
      <x:c r="H562" s="69" t="n">
        <x:v>0</x:v>
      </x:c>
      <x:c r="I562" t="str">
        <x:v>2-1</x:v>
      </x:c>
      <x:c r="J562" t="str">
        <x:f>IF(E562&lt;&gt;TRUE,"",IF(H562&gt;M562,"W",IF(H562&lt;M562,"L","T")))</x:f>
      </x:c>
      <x:c r="K562" t="str">
        <x:v>Auburn Tigers</x:v>
      </x:c>
      <x:c r="L562" t="str">
        <x:v>AUB</x:v>
      </x:c>
      <x:c r="M562" s="69" t="n">
        <x:v>0</x:v>
      </x:c>
      <x:c r="N562" t="str">
        <x:v>2-1</x:v>
      </x:c>
      <x:c r="O562" t="str">
        <x:f>IF(E562&lt;&gt;TRUE,"",IF(M562&gt;H562,"W",IF(M562&lt;H562,"L","T")))</x:f>
      </x:c>
      <x:c r="P562" s="66" t="b">
        <x:v>0</x:v>
      </x:c>
      <x:c r="Q562" s="66" t="b">
        <x:v>1</x:v>
      </x:c>
      <x:c r="R562" t="str">
        <x:v>Jordan-Hare Stadium</x:v>
      </x:c>
      <x:c r="S562" t="str"/>
      <x:c r="T562"/>
      <x:c r="U562" s="70"/>
      <x:c r="V562" s="70"/>
      <x:c r="W562"/>
      <x:c r="X562" t="str">
        <x:v>https://www.espn.com/college-football/game/_/gameId/401856728</x:v>
      </x:c>
    </x:row>
    <x:row r="563">
      <x:c r="A563" t="str">
        <x:v>CFB</x:v>
      </x:c>
      <x:c r="B563" t="n">
        <x:v>8</x:v>
      </x:c>
      <x:c r="C563" s="68" t="n">
        <x:v>46319.8125</x:v>
      </x:c>
      <x:c r="D563" s="71" t="str">
        <x:v>pre</x:v>
      </x:c>
      <x:c r="E563" s="72" t="b">
        <x:v>0</x:v>
      </x:c>
      <x:c r="F563" t="str">
        <x:v>North Texas Mean Green</x:v>
      </x:c>
      <x:c r="G563" t="str">
        <x:v>UNT</x:v>
      </x:c>
      <x:c r="H563" s="69" t="n">
        <x:v>0</x:v>
      </x:c>
      <x:c r="I563" t="str">
        <x:v>1-2</x:v>
      </x:c>
      <x:c r="J563" t="str">
        <x:f>IF(E563&lt;&gt;TRUE,"",IF(H563&gt;M563,"W",IF(H563&lt;M563,"L","T")))</x:f>
      </x:c>
      <x:c r="K563" t="str">
        <x:v>Navy Midshipmen</x:v>
      </x:c>
      <x:c r="L563" t="str">
        <x:v>NAVY</x:v>
      </x:c>
      <x:c r="M563" s="69" t="n">
        <x:v>0</x:v>
      </x:c>
      <x:c r="N563" t="str">
        <x:v>1-1</x:v>
      </x:c>
      <x:c r="O563" t="str">
        <x:f>IF(E563&lt;&gt;TRUE,"",IF(M563&gt;H563,"W",IF(M563&lt;H563,"L","T")))</x:f>
      </x:c>
      <x:c r="P563" s="66" t="b">
        <x:v>0</x:v>
      </x:c>
      <x:c r="Q563" s="66" t="b">
        <x:v>1</x:v>
      </x:c>
      <x:c r="R563" t="str">
        <x:v>Navy-Marine Corps Memorial Stadium</x:v>
      </x:c>
      <x:c r="S563" t="str">
        <x:v>CBSSN</x:v>
      </x:c>
      <x:c r="T563"/>
      <x:c r="U563" s="70"/>
      <x:c r="V563" s="70"/>
      <x:c r="W563"/>
      <x:c r="X563" t="str">
        <x:v>https://www.espn.com/college-football/game/_/gameId/401862810</x:v>
      </x:c>
    </x:row>
    <x:row r="564">
      <x:c r="A564" t="str">
        <x:v>CFB</x:v>
      </x:c>
      <x:c r="B564" t="n">
        <x:v>8</x:v>
      </x:c>
      <x:c r="C564" s="68" t="n">
        <x:v>46319.875</x:v>
      </x:c>
      <x:c r="D564" s="71" t="str">
        <x:v>pre</x:v>
      </x:c>
      <x:c r="E564" s="72" t="b">
        <x:v>0</x:v>
      </x:c>
      <x:c r="F564" t="str">
        <x:v>San José State Spartans</x:v>
      </x:c>
      <x:c r="G564" t="str">
        <x:v>SJSU</x:v>
      </x:c>
      <x:c r="H564" s="69" t="n">
        <x:v>0</x:v>
      </x:c>
      <x:c r="I564" t="str">
        <x:v>2-2</x:v>
      </x:c>
      <x:c r="J564" t="str">
        <x:f>IF(E564&lt;&gt;TRUE,"",IF(H564&gt;M564,"W",IF(H564&lt;M564,"L","T")))</x:f>
      </x:c>
      <x:c r="K564" t="str">
        <x:v>Nevada Wolf Pack</x:v>
      </x:c>
      <x:c r="L564" t="str">
        <x:v>NEV</x:v>
      </x:c>
      <x:c r="M564" s="69" t="n">
        <x:v>0</x:v>
      </x:c>
      <x:c r="N564" t="str">
        <x:v>1-2</x:v>
      </x:c>
      <x:c r="O564" t="str">
        <x:f>IF(E564&lt;&gt;TRUE,"",IF(M564&gt;H564,"W",IF(M564&lt;H564,"L","T")))</x:f>
      </x:c>
      <x:c r="P564" s="66" t="b">
        <x:v>0</x:v>
      </x:c>
      <x:c r="Q564" s="66" t="b">
        <x:v>1</x:v>
      </x:c>
      <x:c r="R564" t="str">
        <x:v>Mackay Stadium</x:v>
      </x:c>
      <x:c r="S564" t="str">
        <x:v>MW+</x:v>
      </x:c>
      <x:c r="T564"/>
      <x:c r="U564" s="70"/>
      <x:c r="V564" s="70"/>
      <x:c r="W564"/>
      <x:c r="X564" t="str">
        <x:v>https://www.espn.com/college-football/game/_/gameId/401864528</x:v>
      </x:c>
    </x:row>
    <x:row r="565">
      <x:c r="A565" t="str">
        <x:v>CFB</x:v>
      </x:c>
      <x:c r="B565" t="n">
        <x:v>8</x:v>
      </x:c>
      <x:c r="C565" s="68" t="n">
        <x:v>46319.916666666664</x:v>
      </x:c>
      <x:c r="D565" s="71" t="str">
        <x:v>pre</x:v>
      </x:c>
      <x:c r="E565" s="72" t="b">
        <x:v>0</x:v>
      </x:c>
      <x:c r="F565" t="str">
        <x:v>Boise State Broncos</x:v>
      </x:c>
      <x:c r="G565" t="str">
        <x:v>BOIS</x:v>
      </x:c>
      <x:c r="H565" s="69" t="n">
        <x:v>0</x:v>
      </x:c>
      <x:c r="I565" t="str">
        <x:v>2-1</x:v>
      </x:c>
      <x:c r="J565" t="str">
        <x:f>IF(E565&lt;&gt;TRUE,"",IF(H565&gt;M565,"W",IF(H565&lt;M565,"L","T")))</x:f>
      </x:c>
      <x:c r="K565" t="str">
        <x:v>Washington State Cougars</x:v>
      </x:c>
      <x:c r="L565" t="str">
        <x:v>WSU</x:v>
      </x:c>
      <x:c r="M565" s="69" t="n">
        <x:v>0</x:v>
      </x:c>
      <x:c r="N565" t="str">
        <x:v>1-2</x:v>
      </x:c>
      <x:c r="O565" t="str">
        <x:f>IF(E565&lt;&gt;TRUE,"",IF(M565&gt;H565,"W",IF(M565&lt;H565,"L","T")))</x:f>
      </x:c>
      <x:c r="P565" s="66" t="b">
        <x:v>0</x:v>
      </x:c>
      <x:c r="Q565" s="66" t="b">
        <x:v>1</x:v>
      </x:c>
      <x:c r="R565" t="str">
        <x:v>Martin Stadium</x:v>
      </x:c>
      <x:c r="S565" t="str">
        <x:v>USA Net</x:v>
      </x:c>
      <x:c r="T565"/>
      <x:c r="U565" s="70"/>
      <x:c r="V565" s="70"/>
      <x:c r="W565"/>
      <x:c r="X565" t="str">
        <x:v>https://www.espn.com/college-football/game/_/gameId/401860907</x:v>
      </x:c>
    </x:row>
    <x:row r="566">
      <x:c r="A566" t="str">
        <x:v>CFB</x:v>
      </x:c>
      <x:c r="B566" t="n">
        <x:v>8</x:v>
      </x:c>
      <x:c r="C566" s="68" t="n">
        <x:v>46319.9375</x:v>
      </x:c>
      <x:c r="D566" s="71" t="str">
        <x:v>pre</x:v>
      </x:c>
      <x:c r="E566" s="72" t="b">
        <x:v>0</x:v>
      </x:c>
      <x:c r="F566" t="str">
        <x:v>San Diego State Aztecs</x:v>
      </x:c>
      <x:c r="G566" t="str">
        <x:v>SDSU</x:v>
      </x:c>
      <x:c r="H566" s="69" t="n">
        <x:v>0</x:v>
      </x:c>
      <x:c r="I566" t="str">
        <x:v>1-2</x:v>
      </x:c>
      <x:c r="J566" t="str">
        <x:f>IF(E566&lt;&gt;TRUE,"",IF(H566&gt;M566,"W",IF(H566&lt;M566,"L","T")))</x:f>
      </x:c>
      <x:c r="K566" t="str">
        <x:v>Colorado State Rams</x:v>
      </x:c>
      <x:c r="L566" t="str">
        <x:v>CSU</x:v>
      </x:c>
      <x:c r="M566" s="69" t="n">
        <x:v>0</x:v>
      </x:c>
      <x:c r="N566" t="str">
        <x:v>2-1</x:v>
      </x:c>
      <x:c r="O566" t="str">
        <x:f>IF(E566&lt;&gt;TRUE,"",IF(M566&gt;H566,"W",IF(M566&lt;H566,"L","T")))</x:f>
      </x:c>
      <x:c r="P566" s="66" t="b">
        <x:v>0</x:v>
      </x:c>
      <x:c r="Q566" s="66" t="b">
        <x:v>1</x:v>
      </x:c>
      <x:c r="R566" t="str">
        <x:v>Canvas Stadium</x:v>
      </x:c>
      <x:c r="S566" t="str">
        <x:v>CW</x:v>
      </x:c>
      <x:c r="T566"/>
      <x:c r="U566" s="70"/>
      <x:c r="V566" s="70"/>
      <x:c r="W566"/>
      <x:c r="X566" t="str">
        <x:v>https://www.espn.com/college-football/game/_/gameId/401860905</x:v>
      </x:c>
    </x:row>
    <x:row r="567">
      <x:c r="A567" t="str">
        <x:v>CFB</x:v>
      </x:c>
      <x:c r="B567" t="n">
        <x:v>8</x:v>
      </x:c>
      <x:c r="C567" s="68" t="n">
        <x:v>46319.958333333336</x:v>
      </x:c>
      <x:c r="D567" s="71" t="str">
        <x:v>pre</x:v>
      </x:c>
      <x:c r="E567" s="72" t="b">
        <x:v>0</x:v>
      </x:c>
      <x:c r="F567" t="str">
        <x:v>Georgia State Panthers</x:v>
      </x:c>
      <x:c r="G567" t="str">
        <x:v>GAST</x:v>
      </x:c>
      <x:c r="H567" s="69" t="n">
        <x:v>0</x:v>
      </x:c>
      <x:c r="I567" t="str">
        <x:v>2-1</x:v>
      </x:c>
      <x:c r="J567" t="str">
        <x:f>IF(E567&lt;&gt;TRUE,"",IF(H567&gt;M567,"W",IF(H567&lt;M567,"L","T")))</x:f>
      </x:c>
      <x:c r="K567" t="str">
        <x:v>Arkansas State Red Wolves</x:v>
      </x:c>
      <x:c r="L567" t="str">
        <x:v>ARST</x:v>
      </x:c>
      <x:c r="M567" s="69" t="n">
        <x:v>0</x:v>
      </x:c>
      <x:c r="N567" t="str">
        <x:v>1-2</x:v>
      </x:c>
      <x:c r="O567" t="str">
        <x:f>IF(E567&lt;&gt;TRUE,"",IF(M567&gt;H567,"W",IF(M567&lt;H567,"L","T")))</x:f>
      </x:c>
      <x:c r="P567" s="66" t="b">
        <x:v>0</x:v>
      </x:c>
      <x:c r="Q567" s="66" t="b">
        <x:v>1</x:v>
      </x:c>
      <x:c r="R567" t="str">
        <x:v>Centennial Bank Stadium</x:v>
      </x:c>
      <x:c r="S567" t="str"/>
      <x:c r="T567"/>
      <x:c r="U567" s="70"/>
      <x:c r="V567" s="70"/>
      <x:c r="W567"/>
      <x:c r="X567" t="str">
        <x:v>https://www.espn.com/college-football/game/_/gameId/401869935</x:v>
      </x:c>
    </x:row>
    <x:row r="568">
      <x:c r="A568" t="str">
        <x:v>CFB</x:v>
      </x:c>
      <x:c r="B568" t="n">
        <x:v>8</x:v>
      </x:c>
      <x:c r="C568" s="68" t="n">
        <x:v>46319.979166666664</x:v>
      </x:c>
      <x:c r="D568" s="71" t="str">
        <x:v>pre</x:v>
      </x:c>
      <x:c r="E568" s="72" t="b">
        <x:v>0</x:v>
      </x:c>
      <x:c r="F568" t="str">
        <x:v>Utah State Aggies</x:v>
      </x:c>
      <x:c r="G568" t="str">
        <x:v>USU</x:v>
      </x:c>
      <x:c r="H568" s="69" t="n">
        <x:v>0</x:v>
      </x:c>
      <x:c r="I568" t="str">
        <x:v>0-3</x:v>
      </x:c>
      <x:c r="J568" t="str">
        <x:f>IF(E568&lt;&gt;TRUE,"",IF(H568&gt;M568,"W",IF(H568&lt;M568,"L","T")))</x:f>
      </x:c>
      <x:c r="K568" t="str">
        <x:v>Texas State Bobcats</x:v>
      </x:c>
      <x:c r="L568" t="str">
        <x:v>TXST</x:v>
      </x:c>
      <x:c r="M568" s="69" t="n">
        <x:v>0</x:v>
      </x:c>
      <x:c r="N568" t="str">
        <x:v>1-2</x:v>
      </x:c>
      <x:c r="O568" t="str">
        <x:f>IF(E568&lt;&gt;TRUE,"",IF(M568&gt;H568,"W",IF(M568&lt;H568,"L","T")))</x:f>
      </x:c>
      <x:c r="P568" s="66" t="b">
        <x:v>0</x:v>
      </x:c>
      <x:c r="Q568" s="66" t="b">
        <x:v>1</x:v>
      </x:c>
      <x:c r="R568" t="str">
        <x:v>UFCU Stadium</x:v>
      </x:c>
      <x:c r="S568" t="str">
        <x:v>CBSSN</x:v>
      </x:c>
      <x:c r="T568"/>
      <x:c r="U568" s="70"/>
      <x:c r="V568" s="70"/>
      <x:c r="W568"/>
      <x:c r="X568" t="str">
        <x:v>https://www.espn.com/college-football/game/_/gameId/401860906</x:v>
      </x:c>
    </x:row>
    <x:row r="569">
      <x:c r="A569" t="str">
        <x:v>CFB</x:v>
      </x:c>
      <x:c r="B569" t="n">
        <x:v>8</x:v>
      </x:c>
      <x:c r="C569" s="68" t="n">
        <x:v>46320.083333333336</x:v>
      </x:c>
      <x:c r="D569" s="71" t="str">
        <x:v>pre</x:v>
      </x:c>
      <x:c r="E569" s="72" t="b">
        <x:v>0</x:v>
      </x:c>
      <x:c r="F569" t="str">
        <x:v>North Dakota State Bison</x:v>
      </x:c>
      <x:c r="G569" t="str">
        <x:v>NDSU</x:v>
      </x:c>
      <x:c r="H569" s="69" t="n">
        <x:v>0</x:v>
      </x:c>
      <x:c r="I569" t="str">
        <x:v>4-0</x:v>
      </x:c>
      <x:c r="J569" t="str">
        <x:f>IF(E569&lt;&gt;TRUE,"",IF(H569&gt;M569,"W",IF(H569&lt;M569,"L","T")))</x:f>
      </x:c>
      <x:c r="K569" t="str">
        <x:v>New Mexico Lobos</x:v>
      </x:c>
      <x:c r="L569" t="str">
        <x:v>UNM</x:v>
      </x:c>
      <x:c r="M569" s="69" t="n">
        <x:v>0</x:v>
      </x:c>
      <x:c r="N569" t="str">
        <x:v>2-1</x:v>
      </x:c>
      <x:c r="O569" t="str">
        <x:f>IF(E569&lt;&gt;TRUE,"",IF(M569&gt;H569,"W",IF(M569&lt;H569,"L","T")))</x:f>
      </x:c>
      <x:c r="P569" s="66" t="b">
        <x:v>0</x:v>
      </x:c>
      <x:c r="Q569" s="66" t="b">
        <x:v>1</x:v>
      </x:c>
      <x:c r="R569" t="str">
        <x:v>University Stadium (NM)</x:v>
      </x:c>
      <x:c r="S569" t="str">
        <x:v>CW</x:v>
      </x:c>
      <x:c r="T569"/>
      <x:c r="U569" s="70"/>
      <x:c r="V569" s="70"/>
      <x:c r="W569"/>
      <x:c r="X569" t="str">
        <x:v>https://www.espn.com/college-football/game/_/gameId/401864527</x:v>
      </x:c>
    </x:row>
    <x:row r="570">
      <x:c r="A570" t="str">
        <x:v>CFB</x:v>
      </x:c>
      <x:c r="B570" t="n">
        <x:v>9</x:v>
      </x:c>
      <x:c r="C570" s="68" t="n">
        <x:v>46322.958333333336</x:v>
      </x:c>
      <x:c r="D570" s="71" t="str">
        <x:v>pre</x:v>
      </x:c>
      <x:c r="E570" s="72" t="b">
        <x:v>0</x:v>
      </x:c>
      <x:c r="F570" t="str">
        <x:v>Delaware Blue Hens</x:v>
      </x:c>
      <x:c r="G570" t="str">
        <x:v>DEL</x:v>
      </x:c>
      <x:c r="H570" s="69" t="n">
        <x:v>0</x:v>
      </x:c>
      <x:c r="I570" t="str">
        <x:v>2-1</x:v>
      </x:c>
      <x:c r="J570" t="str">
        <x:f>IF(E570&lt;&gt;TRUE,"",IF(H570&gt;M570,"W",IF(H570&lt;M570,"L","T")))</x:f>
      </x:c>
      <x:c r="K570" t="str">
        <x:v>Western Kentucky Hilltoppers</x:v>
      </x:c>
      <x:c r="L570" t="str">
        <x:v>WKU</x:v>
      </x:c>
      <x:c r="M570" s="69" t="n">
        <x:v>0</x:v>
      </x:c>
      <x:c r="N570" t="str">
        <x:v>0-3</x:v>
      </x:c>
      <x:c r="O570" t="str">
        <x:f>IF(E570&lt;&gt;TRUE,"",IF(M570&gt;H570,"W",IF(M570&lt;H570,"L","T")))</x:f>
      </x:c>
      <x:c r="P570" s="66" t="b">
        <x:v>0</x:v>
      </x:c>
      <x:c r="Q570" s="66" t="b">
        <x:v>1</x:v>
      </x:c>
      <x:c r="R570" t="str">
        <x:v>Houchens Industries-L.T. Smith Stadium</x:v>
      </x:c>
      <x:c r="S570" t="str">
        <x:v>CBSSN</x:v>
      </x:c>
      <x:c r="T570"/>
      <x:c r="U570" s="70"/>
      <x:c r="V570" s="70"/>
      <x:c r="W570"/>
      <x:c r="X570" t="str">
        <x:v>https://www.espn.com/college-football/game/_/gameId/401871071</x:v>
      </x:c>
    </x:row>
    <x:row r="571">
      <x:c r="A571" t="str">
        <x:v>CFB</x:v>
      </x:c>
      <x:c r="B571" t="n">
        <x:v>9</x:v>
      </x:c>
      <x:c r="C571" s="68" t="n">
        <x:v>46323</x:v>
      </x:c>
      <x:c r="D571" s="71" t="str">
        <x:v>pre</x:v>
      </x:c>
      <x:c r="E571" s="72" t="b">
        <x:v>0</x:v>
      </x:c>
      <x:c r="F571" t="str">
        <x:v>Sam Houston Bearkats</x:v>
      </x:c>
      <x:c r="G571" t="str">
        <x:v>SHSU</x:v>
      </x:c>
      <x:c r="H571" s="69" t="n">
        <x:v>0</x:v>
      </x:c>
      <x:c r="I571" t="str">
        <x:v>1-2</x:v>
      </x:c>
      <x:c r="J571" t="str">
        <x:f>IF(E571&lt;&gt;TRUE,"",IF(H571&gt;M571,"W",IF(H571&lt;M571,"L","T")))</x:f>
      </x:c>
      <x:c r="K571" t="str">
        <x:v>Missouri State Bears</x:v>
      </x:c>
      <x:c r="L571" t="str">
        <x:v>MOST</x:v>
      </x:c>
      <x:c r="M571" s="69" t="n">
        <x:v>0</x:v>
      </x:c>
      <x:c r="N571" t="str">
        <x:v>1-2</x:v>
      </x:c>
      <x:c r="O571" t="str">
        <x:f>IF(E571&lt;&gt;TRUE,"",IF(M571&gt;H571,"W",IF(M571&lt;H571,"L","T")))</x:f>
      </x:c>
      <x:c r="P571" s="66" t="b">
        <x:v>0</x:v>
      </x:c>
      <x:c r="Q571" s="66" t="b">
        <x:v>1</x:v>
      </x:c>
      <x:c r="R571" t="str">
        <x:v>Robert W. Plaster Stadium</x:v>
      </x:c>
      <x:c r="S571" t="str">
        <x:v>ESPN2</x:v>
      </x:c>
      <x:c r="T571"/>
      <x:c r="U571" s="70"/>
      <x:c r="V571" s="70"/>
      <x:c r="W571"/>
      <x:c r="X571" t="str">
        <x:v>https://www.espn.com/college-football/game/_/gameId/401871072</x:v>
      </x:c>
    </x:row>
    <x:row r="572">
      <x:c r="A572" t="str">
        <x:v>CFB</x:v>
      </x:c>
      <x:c r="B572" t="n">
        <x:v>9</x:v>
      </x:c>
      <x:c r="C572" s="68" t="n">
        <x:v>46323.958333333336</x:v>
      </x:c>
      <x:c r="D572" s="71" t="str">
        <x:v>pre</x:v>
      </x:c>
      <x:c r="E572" s="72" t="b">
        <x:v>0</x:v>
      </x:c>
      <x:c r="F572" t="str">
        <x:v>Kennesaw State Owls</x:v>
      </x:c>
      <x:c r="G572" t="str">
        <x:v>KENN</x:v>
      </x:c>
      <x:c r="H572" s="69" t="n">
        <x:v>0</x:v>
      </x:c>
      <x:c r="I572" t="str">
        <x:v>1-2</x:v>
      </x:c>
      <x:c r="J572" t="str">
        <x:f>IF(E572&lt;&gt;TRUE,"",IF(H572&gt;M572,"W",IF(H572&lt;M572,"L","T")))</x:f>
      </x:c>
      <x:c r="K572" t="str">
        <x:v>Middle Tennessee Blue Raiders</x:v>
      </x:c>
      <x:c r="L572" t="str">
        <x:v>MTSU</x:v>
      </x:c>
      <x:c r="M572" s="69" t="n">
        <x:v>0</x:v>
      </x:c>
      <x:c r="N572" t="str">
        <x:v>2-1</x:v>
      </x:c>
      <x:c r="O572" t="str">
        <x:f>IF(E572&lt;&gt;TRUE,"",IF(M572&gt;H572,"W",IF(M572&lt;H572,"L","T")))</x:f>
      </x:c>
      <x:c r="P572" s="66" t="b">
        <x:v>0</x:v>
      </x:c>
      <x:c r="Q572" s="66" t="b">
        <x:v>1</x:v>
      </x:c>
      <x:c r="R572" t="str">
        <x:v>Johnny "Red" Floyd Stadium</x:v>
      </x:c>
      <x:c r="S572" t="str">
        <x:v>CBSSN</x:v>
      </x:c>
      <x:c r="T572"/>
      <x:c r="U572" s="70"/>
      <x:c r="V572" s="70"/>
      <x:c r="W572"/>
      <x:c r="X572" t="str">
        <x:v>https://www.espn.com/college-football/game/_/gameId/401871058</x:v>
      </x:c>
    </x:row>
    <x:row r="573">
      <x:c r="A573" t="str">
        <x:v>CFB</x:v>
      </x:c>
      <x:c r="B573" t="n">
        <x:v>9</x:v>
      </x:c>
      <x:c r="C573" s="68" t="n">
        <x:v>46324</x:v>
      </x:c>
      <x:c r="D573" s="71" t="str">
        <x:v>pre</x:v>
      </x:c>
      <x:c r="E573" s="72" t="b">
        <x:v>0</x:v>
      </x:c>
      <x:c r="F573" t="str">
        <x:v>Jacksonville State Gamecocks</x:v>
      </x:c>
      <x:c r="G573" t="str">
        <x:v>JXST</x:v>
      </x:c>
      <x:c r="H573" s="69" t="n">
        <x:v>0</x:v>
      </x:c>
      <x:c r="I573" t="str">
        <x:v>2-2</x:v>
      </x:c>
      <x:c r="J573" t="str">
        <x:f>IF(E573&lt;&gt;TRUE,"",IF(H573&gt;M573,"W",IF(H573&lt;M573,"L","T")))</x:f>
      </x:c>
      <x:c r="K573" t="str">
        <x:v>New Mexico State Aggies</x:v>
      </x:c>
      <x:c r="L573" t="str">
        <x:v>NMSU</x:v>
      </x:c>
      <x:c r="M573" s="69" t="n">
        <x:v>0</x:v>
      </x:c>
      <x:c r="N573" t="str">
        <x:v>1-2</x:v>
      </x:c>
      <x:c r="O573" t="str">
        <x:f>IF(E573&lt;&gt;TRUE,"",IF(M573&gt;H573,"W",IF(M573&lt;H573,"L","T")))</x:f>
      </x:c>
      <x:c r="P573" s="66" t="b">
        <x:v>0</x:v>
      </x:c>
      <x:c r="Q573" s="66" t="b">
        <x:v>1</x:v>
      </x:c>
      <x:c r="R573" t="str">
        <x:v>Aggie Memorial Stadium</x:v>
      </x:c>
      <x:c r="S573" t="str">
        <x:v>ESPN2</x:v>
      </x:c>
      <x:c r="T573"/>
      <x:c r="U573" s="70"/>
      <x:c r="V573" s="70"/>
      <x:c r="W573"/>
      <x:c r="X573" t="str">
        <x:v>https://www.espn.com/college-football/game/_/gameId/401871057</x:v>
      </x:c>
    </x:row>
    <x:row r="574">
      <x:c r="A574" t="str">
        <x:v>CFB</x:v>
      </x:c>
      <x:c r="B574" t="n">
        <x:v>9</x:v>
      </x:c>
      <x:c r="C574" s="68" t="n">
        <x:v>46324.979166666664</x:v>
      </x:c>
      <x:c r="D574" s="71" t="str">
        <x:v>pre</x:v>
      </x:c>
      <x:c r="E574" s="72" t="b">
        <x:v>0</x:v>
      </x:c>
      <x:c r="F574" t="str">
        <x:v>Florida Atlantic Owls</x:v>
      </x:c>
      <x:c r="G574" t="str">
        <x:v>FAU</x:v>
      </x:c>
      <x:c r="H574" s="69" t="n">
        <x:v>0</x:v>
      </x:c>
      <x:c r="I574" t="str">
        <x:v>2-1</x:v>
      </x:c>
      <x:c r="J574" t="str">
        <x:f>IF(E574&lt;&gt;TRUE,"",IF(H574&gt;M574,"W",IF(H574&lt;M574,"L","T")))</x:f>
      </x:c>
      <x:c r="K574" t="str">
        <x:v>North Texas Mean Green</x:v>
      </x:c>
      <x:c r="L574" t="str">
        <x:v>UNT</x:v>
      </x:c>
      <x:c r="M574" s="69" t="n">
        <x:v>0</x:v>
      </x:c>
      <x:c r="N574" t="str">
        <x:v>1-2</x:v>
      </x:c>
      <x:c r="O574" t="str">
        <x:f>IF(E574&lt;&gt;TRUE,"",IF(M574&gt;H574,"W",IF(M574&lt;H574,"L","T")))</x:f>
      </x:c>
      <x:c r="P574" s="66" t="b">
        <x:v>0</x:v>
      </x:c>
      <x:c r="Q574" s="66" t="b">
        <x:v>1</x:v>
      </x:c>
      <x:c r="R574" t="str">
        <x:v>DATCU Stadium</x:v>
      </x:c>
      <x:c r="S574" t="str"/>
      <x:c r="T574"/>
      <x:c r="U574" s="70"/>
      <x:c r="V574" s="70"/>
      <x:c r="W574"/>
      <x:c r="X574" t="str">
        <x:v>https://www.espn.com/college-football/game/_/gameId/401862812</x:v>
      </x:c>
    </x:row>
    <x:row r="575">
      <x:c r="A575" t="str">
        <x:v>CFB</x:v>
      </x:c>
      <x:c r="B575" t="n">
        <x:v>9</x:v>
      </x:c>
      <x:c r="C575" s="68" t="n">
        <x:v>46324.979166666664</x:v>
      </x:c>
      <x:c r="D575" s="71" t="str">
        <x:v>pre</x:v>
      </x:c>
      <x:c r="E575" s="72" t="b">
        <x:v>0</x:v>
      </x:c>
      <x:c r="F575" t="str">
        <x:v>Troy Trojans</x:v>
      </x:c>
      <x:c r="G575" t="str">
        <x:v>TROY</x:v>
      </x:c>
      <x:c r="H575" s="69" t="n">
        <x:v>0</x:v>
      </x:c>
      <x:c r="I575" t="str">
        <x:v>2-1</x:v>
      </x:c>
      <x:c r="J575" t="str">
        <x:f>IF(E575&lt;&gt;TRUE,"",IF(H575&gt;M575,"W",IF(H575&lt;M575,"L","T")))</x:f>
      </x:c>
      <x:c r="K575" t="str">
        <x:v>James Madison Dukes</x:v>
      </x:c>
      <x:c r="L575" t="str">
        <x:v>JMU</x:v>
      </x:c>
      <x:c r="M575" s="69" t="n">
        <x:v>0</x:v>
      </x:c>
      <x:c r="N575" t="str">
        <x:v>3-0</x:v>
      </x:c>
      <x:c r="O575" t="str">
        <x:f>IF(E575&lt;&gt;TRUE,"",IF(M575&gt;H575,"W",IF(M575&lt;H575,"L","T")))</x:f>
      </x:c>
      <x:c r="P575" s="66" t="b">
        <x:v>0</x:v>
      </x:c>
      <x:c r="Q575" s="66" t="b">
        <x:v>1</x:v>
      </x:c>
      <x:c r="R575" t="str">
        <x:v>Bridgeforth Stadium</x:v>
      </x:c>
      <x:c r="S575" t="str"/>
      <x:c r="T575"/>
      <x:c r="U575" s="70"/>
      <x:c r="V575" s="70"/>
      <x:c r="W575"/>
      <x:c r="X575" t="str">
        <x:v>https://www.espn.com/college-football/game/_/gameId/401869963</x:v>
      </x:c>
    </x:row>
    <x:row r="576">
      <x:c r="A576" t="str">
        <x:v>CFB</x:v>
      </x:c>
      <x:c r="B576" t="n">
        <x:v>9</x:v>
      </x:c>
      <x:c r="C576" s="68" t="n">
        <x:v>46325.958333333336</x:v>
      </x:c>
      <x:c r="D576" s="71" t="str">
        <x:v>pre</x:v>
      </x:c>
      <x:c r="E576" s="72" t="b">
        <x:v>0</x:v>
      </x:c>
      <x:c r="F576" t="str">
        <x:v>Tulane Green Wave</x:v>
      </x:c>
      <x:c r="G576" t="str">
        <x:v>TULN</x:v>
      </x:c>
      <x:c r="H576" s="69" t="n">
        <x:v>0</x:v>
      </x:c>
      <x:c r="I576" t="str">
        <x:v>1-2</x:v>
      </x:c>
      <x:c r="J576" t="str">
        <x:f>IF(E576&lt;&gt;TRUE,"",IF(H576&gt;M576,"W",IF(H576&lt;M576,"L","T")))</x:f>
      </x:c>
      <x:c r="K576" t="str">
        <x:v>Charlotte 49ers</x:v>
      </x:c>
      <x:c r="L576" t="str">
        <x:v>CLT</x:v>
      </x:c>
      <x:c r="M576" s="69" t="n">
        <x:v>0</x:v>
      </x:c>
      <x:c r="N576" t="str">
        <x:v>0-3</x:v>
      </x:c>
      <x:c r="O576" t="str">
        <x:f>IF(E576&lt;&gt;TRUE,"",IF(M576&gt;H576,"W",IF(M576&lt;H576,"L","T")))</x:f>
      </x:c>
      <x:c r="P576" s="66" t="b">
        <x:v>0</x:v>
      </x:c>
      <x:c r="Q576" s="66" t="b">
        <x:v>1</x:v>
      </x:c>
      <x:c r="R576" t="str">
        <x:v>Jerry Richardson Stadium</x:v>
      </x:c>
      <x:c r="S576" t="str">
        <x:v>ESPN2</x:v>
      </x:c>
      <x:c r="T576"/>
      <x:c r="U576" s="70"/>
      <x:c r="V576" s="70"/>
      <x:c r="W576"/>
      <x:c r="X576" t="str">
        <x:v>https://www.espn.com/college-football/game/_/gameId/401862813</x:v>
      </x:c>
    </x:row>
    <x:row r="577">
      <x:c r="A577" t="str">
        <x:v>CFB</x:v>
      </x:c>
      <x:c r="B577" t="n">
        <x:v>9</x:v>
      </x:c>
      <x:c r="C577" s="68" t="n">
        <x:v>46325.979166666664</x:v>
      </x:c>
      <x:c r="D577" s="71" t="str">
        <x:v>pre</x:v>
      </x:c>
      <x:c r="E577" s="72" t="b">
        <x:v>0</x:v>
      </x:c>
      <x:c r="F577" t="str">
        <x:v>Baylor Bears</x:v>
      </x:c>
      <x:c r="G577" t="str">
        <x:v>BAY</x:v>
      </x:c>
      <x:c r="H577" s="69" t="n">
        <x:v>0</x:v>
      </x:c>
      <x:c r="I577" t="str">
        <x:v>2-1</x:v>
      </x:c>
      <x:c r="J577" t="str">
        <x:f>IF(E577&lt;&gt;TRUE,"",IF(H577&gt;M577,"W",IF(H577&lt;M577,"L","T")))</x:f>
      </x:c>
      <x:c r="K577" t="str">
        <x:v>UCF Knights</x:v>
      </x:c>
      <x:c r="L577" t="str">
        <x:v>UCF</x:v>
      </x:c>
      <x:c r="M577" s="69" t="n">
        <x:v>0</x:v>
      </x:c>
      <x:c r="N577" t="str">
        <x:v>2-1</x:v>
      </x:c>
      <x:c r="O577" t="str">
        <x:f>IF(E577&lt;&gt;TRUE,"",IF(M577&gt;H577,"W",IF(M577&lt;H577,"L","T")))</x:f>
      </x:c>
      <x:c r="P577" s="66" t="b">
        <x:v>0</x:v>
      </x:c>
      <x:c r="Q577" s="66" t="b">
        <x:v>1</x:v>
      </x:c>
      <x:c r="R577" t="str">
        <x:v>Acrisure Bounce House</x:v>
      </x:c>
      <x:c r="S577" t="str">
        <x:v>ESPN</x:v>
      </x:c>
      <x:c r="T577"/>
      <x:c r="U577" s="70"/>
      <x:c r="V577" s="70"/>
      <x:c r="W577"/>
      <x:c r="X577" t="str">
        <x:v>https://www.espn.com/college-football/game/_/gameId/401856844</x:v>
      </x:c>
    </x:row>
    <x:row r="578">
      <x:c r="A578" t="str">
        <x:v>CFB</x:v>
      </x:c>
      <x:c r="B578" t="n">
        <x:v>9</x:v>
      </x:c>
      <x:c r="C578" s="68" t="n">
        <x:v>46326.104166666664</x:v>
      </x:c>
      <x:c r="D578" s="71" t="str">
        <x:v>pre</x:v>
      </x:c>
      <x:c r="E578" s="72" t="b">
        <x:v>0</x:v>
      </x:c>
      <x:c r="F578" t="str">
        <x:v>Kent State Golden Flashes</x:v>
      </x:c>
      <x:c r="G578" t="str">
        <x:v>KENT</x:v>
      </x:c>
      <x:c r="H578" s="69" t="n">
        <x:v>0</x:v>
      </x:c>
      <x:c r="I578" t="str">
        <x:v>1-2</x:v>
      </x:c>
      <x:c r="J578" t="str">
        <x:f>IF(E578&lt;&gt;TRUE,"",IF(H578&gt;M578,"W",IF(H578&lt;M578,"L","T")))</x:f>
      </x:c>
      <x:c r="K578" t="str">
        <x:v>Sacramento State Hornets</x:v>
      </x:c>
      <x:c r="L578" t="str">
        <x:v>SAC</x:v>
      </x:c>
      <x:c r="M578" s="69" t="n">
        <x:v>0</x:v>
      </x:c>
      <x:c r="N578" t="str">
        <x:v>1-3</x:v>
      </x:c>
      <x:c r="O578" t="str">
        <x:f>IF(E578&lt;&gt;TRUE,"",IF(M578&gt;H578,"W",IF(M578&lt;H578,"L","T")))</x:f>
      </x:c>
      <x:c r="P578" s="66" t="b">
        <x:v>0</x:v>
      </x:c>
      <x:c r="Q578" s="66" t="b">
        <x:v>1</x:v>
      </x:c>
      <x:c r="R578" t="str">
        <x:v>Hornet Stadium</x:v>
      </x:c>
      <x:c r="S578" t="str">
        <x:v>ESPN2</x:v>
      </x:c>
      <x:c r="T578"/>
      <x:c r="U578" s="70"/>
      <x:c r="V578" s="70"/>
      <x:c r="W578"/>
      <x:c r="X578" t="str">
        <x:v>https://www.espn.com/college-football/game/_/gameId/401866451</x:v>
      </x:c>
    </x:row>
    <x:row r="579">
      <x:c r="A579" t="str">
        <x:v>CFB</x:v>
      </x:c>
      <x:c r="B579" t="n">
        <x:v>9</x:v>
      </x:c>
      <x:c r="C579" s="68" t="n">
        <x:v>46326</x:v>
      </x:c>
      <x:c r="D579" s="71" t="str">
        <x:v>pre</x:v>
      </x:c>
      <x:c r="E579" s="72" t="b">
        <x:v>0</x:v>
      </x:c>
      <x:c r="F579" t="str">
        <x:v>Missouri Tigers</x:v>
      </x:c>
      <x:c r="G579" t="str">
        <x:v>MIZ</x:v>
      </x:c>
      <x:c r="H579" s="69" t="n">
        <x:v>0</x:v>
      </x:c>
      <x:c r="I579" t="str">
        <x:v>3-0</x:v>
      </x:c>
      <x:c r="J579" t="str">
        <x:f>IF(E579&lt;&gt;TRUE,"",IF(H579&gt;M579,"W",IF(H579&lt;M579,"L","T")))</x:f>
      </x:c>
      <x:c r="K579" t="str">
        <x:v>Arkansas Razorbacks</x:v>
      </x:c>
      <x:c r="L579" t="str">
        <x:v>ARK</x:v>
      </x:c>
      <x:c r="M579" s="69" t="n">
        <x:v>0</x:v>
      </x:c>
      <x:c r="N579" t="str">
        <x:v>1-2</x:v>
      </x:c>
      <x:c r="O579" t="str">
        <x:f>IF(E579&lt;&gt;TRUE,"",IF(M579&gt;H579,"W",IF(M579&lt;H579,"L","T")))</x:f>
      </x:c>
      <x:c r="P579" s="66" t="b">
        <x:v>0</x:v>
      </x:c>
      <x:c r="Q579" s="66" t="b">
        <x:v>1</x:v>
      </x:c>
      <x:c r="R579" t="str">
        <x:v>Donald W. Reynolds Razorback Stadium</x:v>
      </x:c>
      <x:c r="S579" t="str"/>
      <x:c r="T579"/>
      <x:c r="U579" s="70"/>
      <x:c r="V579" s="70"/>
      <x:c r="W579"/>
      <x:c r="X579" t="str">
        <x:v>https://www.espn.com/college-football/game/_/gameId/401856733</x:v>
      </x:c>
    </x:row>
    <x:row r="580">
      <x:c r="A580" t="str">
        <x:v>CFB</x:v>
      </x:c>
      <x:c r="B580" t="n">
        <x:v>9</x:v>
      </x:c>
      <x:c r="C580" s="68" t="n">
        <x:v>46326</x:v>
      </x:c>
      <x:c r="D580" s="71" t="str">
        <x:v>pre</x:v>
      </x:c>
      <x:c r="E580" s="72" t="b">
        <x:v>0</x:v>
      </x:c>
      <x:c r="F580" t="str">
        <x:v>Auburn Tigers</x:v>
      </x:c>
      <x:c r="G580" t="str">
        <x:v>AUB</x:v>
      </x:c>
      <x:c r="H580" s="69" t="n">
        <x:v>0</x:v>
      </x:c>
      <x:c r="I580" t="str">
        <x:v>2-1</x:v>
      </x:c>
      <x:c r="J580" t="str">
        <x:f>IF(E580&lt;&gt;TRUE,"",IF(H580&gt;M580,"W",IF(H580&lt;M580,"L","T")))</x:f>
      </x:c>
      <x:c r="K580" t="str">
        <x:v>Ole Miss Rebels</x:v>
      </x:c>
      <x:c r="L580" t="str">
        <x:v>MISS</x:v>
      </x:c>
      <x:c r="M580" s="69" t="n">
        <x:v>0</x:v>
      </x:c>
      <x:c r="N580" t="str">
        <x:v>3-0</x:v>
      </x:c>
      <x:c r="O580" t="str">
        <x:f>IF(E580&lt;&gt;TRUE,"",IF(M580&gt;H580,"W",IF(M580&lt;H580,"L","T")))</x:f>
      </x:c>
      <x:c r="P580" s="66" t="b">
        <x:v>0</x:v>
      </x:c>
      <x:c r="Q580" s="66" t="b">
        <x:v>1</x:v>
      </x:c>
      <x:c r="R580" t="str">
        <x:v>Vaught-Hemingway Stadium</x:v>
      </x:c>
      <x:c r="S580" t="str"/>
      <x:c r="T580"/>
      <x:c r="U580" s="70"/>
      <x:c r="V580" s="70"/>
      <x:c r="W580"/>
      <x:c r="X580" t="str">
        <x:v>https://www.espn.com/college-football/game/_/gameId/401856735</x:v>
      </x:c>
    </x:row>
    <x:row r="581">
      <x:c r="A581" t="str">
        <x:v>CFB</x:v>
      </x:c>
      <x:c r="B581" t="n">
        <x:v>9</x:v>
      </x:c>
      <x:c r="C581" s="68" t="n">
        <x:v>46326</x:v>
      </x:c>
      <x:c r="D581" s="71" t="str">
        <x:v>pre</x:v>
      </x:c>
      <x:c r="E581" s="72" t="b">
        <x:v>0</x:v>
      </x:c>
      <x:c r="F581" t="str">
        <x:v>South Carolina Gamecocks</x:v>
      </x:c>
      <x:c r="G581" t="str">
        <x:v>SC</x:v>
      </x:c>
      <x:c r="H581" s="69" t="n">
        <x:v>0</x:v>
      </x:c>
      <x:c r="I581" t="str">
        <x:v>2-1</x:v>
      </x:c>
      <x:c r="J581" t="str">
        <x:f>IF(E581&lt;&gt;TRUE,"",IF(H581&gt;M581,"W",IF(H581&lt;M581,"L","T")))</x:f>
      </x:c>
      <x:c r="K581" t="str">
        <x:v>Oklahoma Sooners</x:v>
      </x:c>
      <x:c r="L581" t="str">
        <x:v>OU</x:v>
      </x:c>
      <x:c r="M581" s="69" t="n">
        <x:v>0</x:v>
      </x:c>
      <x:c r="N581" t="str">
        <x:v>2-1</x:v>
      </x:c>
      <x:c r="O581" t="str">
        <x:f>IF(E581&lt;&gt;TRUE,"",IF(M581&gt;H581,"W",IF(M581&lt;H581,"L","T")))</x:f>
      </x:c>
      <x:c r="P581" s="66" t="b">
        <x:v>0</x:v>
      </x:c>
      <x:c r="Q581" s="66" t="b">
        <x:v>1</x:v>
      </x:c>
      <x:c r="R581" t="str">
        <x:v>Memorial Stadium (Norman, OK)</x:v>
      </x:c>
      <x:c r="S581" t="str"/>
      <x:c r="T581"/>
      <x:c r="U581" s="70"/>
      <x:c r="V581" s="70"/>
      <x:c r="W581"/>
      <x:c r="X581" t="str">
        <x:v>https://www.espn.com/college-football/game/_/gameId/401856736</x:v>
      </x:c>
    </x:row>
    <x:row r="582">
      <x:c r="A582" t="str">
        <x:v>CFB</x:v>
      </x:c>
      <x:c r="B582" t="n">
        <x:v>9</x:v>
      </x:c>
      <x:c r="C582" s="68" t="n">
        <x:v>46326</x:v>
      </x:c>
      <x:c r="D582" s="71" t="str">
        <x:v>pre</x:v>
      </x:c>
      <x:c r="E582" s="72" t="b">
        <x:v>0</x:v>
      </x:c>
      <x:c r="F582" t="str">
        <x:v>Mississippi State Bulldogs</x:v>
      </x:c>
      <x:c r="G582" t="str">
        <x:v>MSST</x:v>
      </x:c>
      <x:c r="H582" s="69" t="n">
        <x:v>0</x:v>
      </x:c>
      <x:c r="I582" t="str">
        <x:v>3-0</x:v>
      </x:c>
      <x:c r="J582" t="str">
        <x:f>IF(E582&lt;&gt;TRUE,"",IF(H582&gt;M582,"W",IF(H582&lt;M582,"L","T")))</x:f>
      </x:c>
      <x:c r="K582" t="str">
        <x:v>Texas Longhorns</x:v>
      </x:c>
      <x:c r="L582" t="str">
        <x:v>TEX</x:v>
      </x:c>
      <x:c r="M582" s="69" t="n">
        <x:v>0</x:v>
      </x:c>
      <x:c r="N582" t="str">
        <x:v>3-0</x:v>
      </x:c>
      <x:c r="O582" t="str">
        <x:f>IF(E582&lt;&gt;TRUE,"",IF(M582&gt;H582,"W",IF(M582&lt;H582,"L","T")))</x:f>
      </x:c>
      <x:c r="P582" s="66" t="b">
        <x:v>0</x:v>
      </x:c>
      <x:c r="Q582" s="66" t="b">
        <x:v>1</x:v>
      </x:c>
      <x:c r="R582" t="str">
        <x:v>DKR-Texas Memorial Stadium</x:v>
      </x:c>
      <x:c r="S582" t="str"/>
      <x:c r="T582"/>
      <x:c r="U582" s="70"/>
      <x:c r="V582" s="70"/>
      <x:c r="W582"/>
      <x:c r="X582" t="str">
        <x:v>https://www.espn.com/college-football/game/_/gameId/401856737</x:v>
      </x:c>
    </x:row>
    <x:row r="583">
      <x:c r="A583" t="str">
        <x:v>CFB</x:v>
      </x:c>
      <x:c r="B583" t="n">
        <x:v>9</x:v>
      </x:c>
      <x:c r="C583" s="68" t="n">
        <x:v>46326</x:v>
      </x:c>
      <x:c r="D583" s="71" t="str">
        <x:v>pre</x:v>
      </x:c>
      <x:c r="E583" s="72" t="b">
        <x:v>0</x:v>
      </x:c>
      <x:c r="F583" t="str">
        <x:v>Arizona Wildcats</x:v>
      </x:c>
      <x:c r="G583" t="str">
        <x:v>ARIZ</x:v>
      </x:c>
      <x:c r="H583" s="69" t="n">
        <x:v>0</x:v>
      </x:c>
      <x:c r="I583" t="str">
        <x:v>2-1</x:v>
      </x:c>
      <x:c r="J583" t="str">
        <x:f>IF(E583&lt;&gt;TRUE,"",IF(H583&gt;M583,"W",IF(H583&lt;M583,"L","T")))</x:f>
      </x:c>
      <x:c r="K583" t="str">
        <x:v>Texas Tech Red Raiders</x:v>
      </x:c>
      <x:c r="L583" t="str">
        <x:v>TTU</x:v>
      </x:c>
      <x:c r="M583" s="69" t="n">
        <x:v>0</x:v>
      </x:c>
      <x:c r="N583" t="str">
        <x:v>3-0</x:v>
      </x:c>
      <x:c r="O583" t="str">
        <x:f>IF(E583&lt;&gt;TRUE,"",IF(M583&gt;H583,"W",IF(M583&lt;H583,"L","T")))</x:f>
      </x:c>
      <x:c r="P583" s="66" t="b">
        <x:v>0</x:v>
      </x:c>
      <x:c r="Q583" s="66" t="b">
        <x:v>1</x:v>
      </x:c>
      <x:c r="R583" t="str">
        <x:v>Galaxy Stadium</x:v>
      </x:c>
      <x:c r="S583" t="str"/>
      <x:c r="T583"/>
      <x:c r="U583" s="70"/>
      <x:c r="V583" s="70"/>
      <x:c r="W583"/>
      <x:c r="X583" t="str">
        <x:v>https://www.espn.com/college-football/game/_/gameId/401856842</x:v>
      </x:c>
    </x:row>
    <x:row r="584">
      <x:c r="A584" t="str">
        <x:v>CFB</x:v>
      </x:c>
      <x:c r="B584" t="n">
        <x:v>9</x:v>
      </x:c>
      <x:c r="C584" s="68" t="n">
        <x:v>46326</x:v>
      </x:c>
      <x:c r="D584" s="71" t="str">
        <x:v>pre</x:v>
      </x:c>
      <x:c r="E584" s="72" t="b">
        <x:v>0</x:v>
      </x:c>
      <x:c r="F584" t="str">
        <x:v>Arizona State Sun Devils</x:v>
      </x:c>
      <x:c r="G584" t="str">
        <x:v>ASU</x:v>
      </x:c>
      <x:c r="H584" s="69" t="n">
        <x:v>0</x:v>
      </x:c>
      <x:c r="I584" t="str">
        <x:v>2-1</x:v>
      </x:c>
      <x:c r="J584" t="str">
        <x:f>IF(E584&lt;&gt;TRUE,"",IF(H584&gt;M584,"W",IF(H584&lt;M584,"L","T")))</x:f>
      </x:c>
      <x:c r="K584" t="str">
        <x:v>BYU Cougars</x:v>
      </x:c>
      <x:c r="L584" t="str">
        <x:v>BYU</x:v>
      </x:c>
      <x:c r="M584" s="69" t="n">
        <x:v>0</x:v>
      </x:c>
      <x:c r="N584" t="str">
        <x:v>3-0</x:v>
      </x:c>
      <x:c r="O584" t="str">
        <x:f>IF(E584&lt;&gt;TRUE,"",IF(M584&gt;H584,"W",IF(M584&lt;H584,"L","T")))</x:f>
      </x:c>
      <x:c r="P584" s="66" t="b">
        <x:v>0</x:v>
      </x:c>
      <x:c r="Q584" s="66" t="b">
        <x:v>1</x:v>
      </x:c>
      <x:c r="R584" t="str">
        <x:v>LaVell Edwards Stadium</x:v>
      </x:c>
      <x:c r="S584" t="str"/>
      <x:c r="T584"/>
      <x:c r="U584" s="70"/>
      <x:c r="V584" s="70"/>
      <x:c r="W584"/>
      <x:c r="X584" t="str">
        <x:v>https://www.espn.com/college-football/game/_/gameId/401856843</x:v>
      </x:c>
    </x:row>
    <x:row r="585">
      <x:c r="A585" t="str">
        <x:v>CFB</x:v>
      </x:c>
      <x:c r="B585" t="n">
        <x:v>9</x:v>
      </x:c>
      <x:c r="C585" s="68" t="n">
        <x:v>46326</x:v>
      </x:c>
      <x:c r="D585" s="71" t="str">
        <x:v>pre</x:v>
      </x:c>
      <x:c r="E585" s="72" t="b">
        <x:v>0</x:v>
      </x:c>
      <x:c r="F585" t="str">
        <x:v>Kansas Jayhawks</x:v>
      </x:c>
      <x:c r="G585" t="str">
        <x:v>KU</x:v>
      </x:c>
      <x:c r="H585" s="69" t="n">
        <x:v>0</x:v>
      </x:c>
      <x:c r="I585" t="str">
        <x:v>1-2</x:v>
      </x:c>
      <x:c r="J585" t="str">
        <x:f>IF(E585&lt;&gt;TRUE,"",IF(H585&gt;M585,"W",IF(H585&lt;M585,"L","T")))</x:f>
      </x:c>
      <x:c r="K585" t="str">
        <x:v>TCU Horned Frogs</x:v>
      </x:c>
      <x:c r="L585" t="str">
        <x:v>TCU</x:v>
      </x:c>
      <x:c r="M585" s="69" t="n">
        <x:v>0</x:v>
      </x:c>
      <x:c r="N585" t="str">
        <x:v>2-1</x:v>
      </x:c>
      <x:c r="O585" t="str">
        <x:f>IF(E585&lt;&gt;TRUE,"",IF(M585&gt;H585,"W",IF(M585&lt;H585,"L","T")))</x:f>
      </x:c>
      <x:c r="P585" s="66" t="b">
        <x:v>0</x:v>
      </x:c>
      <x:c r="Q585" s="66" t="b">
        <x:v>1</x:v>
      </x:c>
      <x:c r="R585" t="str">
        <x:v>Amon G. Carter Stadium</x:v>
      </x:c>
      <x:c r="S585" t="str"/>
      <x:c r="T585"/>
      <x:c r="U585" s="70"/>
      <x:c r="V585" s="70"/>
      <x:c r="W585"/>
      <x:c r="X585" t="str">
        <x:v>https://www.espn.com/college-football/game/_/gameId/401856845</x:v>
      </x:c>
    </x:row>
    <x:row r="586">
      <x:c r="A586" t="str">
        <x:v>CFB</x:v>
      </x:c>
      <x:c r="B586" t="n">
        <x:v>9</x:v>
      </x:c>
      <x:c r="C586" s="68" t="n">
        <x:v>46326</x:v>
      </x:c>
      <x:c r="D586" s="71" t="str">
        <x:v>pre</x:v>
      </x:c>
      <x:c r="E586" s="72" t="b">
        <x:v>0</x:v>
      </x:c>
      <x:c r="F586" t="str">
        <x:v>Kansas State Wildcats</x:v>
      </x:c>
      <x:c r="G586" t="str">
        <x:v>KSU</x:v>
      </x:c>
      <x:c r="H586" s="69" t="n">
        <x:v>0</x:v>
      </x:c>
      <x:c r="I586" t="str">
        <x:v>3-0</x:v>
      </x:c>
      <x:c r="J586" t="str">
        <x:f>IF(E586&lt;&gt;TRUE,"",IF(H586&gt;M586,"W",IF(H586&lt;M586,"L","T")))</x:f>
      </x:c>
      <x:c r="K586" t="str">
        <x:v>Colorado Buffaloes</x:v>
      </x:c>
      <x:c r="L586" t="str">
        <x:v>COLO</x:v>
      </x:c>
      <x:c r="M586" s="69" t="n">
        <x:v>0</x:v>
      </x:c>
      <x:c r="N586" t="str">
        <x:v>2-1</x:v>
      </x:c>
      <x:c r="O586" t="str">
        <x:f>IF(E586&lt;&gt;TRUE,"",IF(M586&gt;H586,"W",IF(M586&lt;H586,"L","T")))</x:f>
      </x:c>
      <x:c r="P586" s="66" t="b">
        <x:v>0</x:v>
      </x:c>
      <x:c r="Q586" s="66" t="b">
        <x:v>1</x:v>
      </x:c>
      <x:c r="R586" t="str">
        <x:v>Folsom Field</x:v>
      </x:c>
      <x:c r="S586" t="str"/>
      <x:c r="T586"/>
      <x:c r="U586" s="70"/>
      <x:c r="V586" s="70"/>
      <x:c r="W586"/>
      <x:c r="X586" t="str">
        <x:v>https://www.espn.com/college-football/game/_/gameId/401856846</x:v>
      </x:c>
    </x:row>
    <x:row r="587">
      <x:c r="A587" t="str">
        <x:v>CFB</x:v>
      </x:c>
      <x:c r="B587" t="n">
        <x:v>9</x:v>
      </x:c>
      <x:c r="C587" s="68" t="n">
        <x:v>46326</x:v>
      </x:c>
      <x:c r="D587" s="71" t="str">
        <x:v>pre</x:v>
      </x:c>
      <x:c r="E587" s="72" t="b">
        <x:v>0</x:v>
      </x:c>
      <x:c r="F587" t="str">
        <x:v>Oklahoma State Cowboys</x:v>
      </x:c>
      <x:c r="G587" t="str">
        <x:v>OKST</x:v>
      </x:c>
      <x:c r="H587" s="69" t="n">
        <x:v>0</x:v>
      </x:c>
      <x:c r="I587" t="str">
        <x:v>2-1</x:v>
      </x:c>
      <x:c r="J587" t="str">
        <x:f>IF(E587&lt;&gt;TRUE,"",IF(H587&gt;M587,"W",IF(H587&lt;M587,"L","T")))</x:f>
      </x:c>
      <x:c r="K587" t="str">
        <x:v>Iowa State Cyclones</x:v>
      </x:c>
      <x:c r="L587" t="str">
        <x:v>ISU</x:v>
      </x:c>
      <x:c r="M587" s="69" t="n">
        <x:v>0</x:v>
      </x:c>
      <x:c r="N587" t="str">
        <x:v>2-1</x:v>
      </x:c>
      <x:c r="O587" t="str">
        <x:f>IF(E587&lt;&gt;TRUE,"",IF(M587&gt;H587,"W",IF(M587&lt;H587,"L","T")))</x:f>
      </x:c>
      <x:c r="P587" s="66" t="b">
        <x:v>0</x:v>
      </x:c>
      <x:c r="Q587" s="66" t="b">
        <x:v>1</x:v>
      </x:c>
      <x:c r="R587" t="str">
        <x:v>Jack Trice Stadium</x:v>
      </x:c>
      <x:c r="S587" t="str"/>
      <x:c r="T587"/>
      <x:c r="U587" s="70"/>
      <x:c r="V587" s="70"/>
      <x:c r="W587"/>
      <x:c r="X587" t="str">
        <x:v>https://www.espn.com/college-football/game/_/gameId/401856847</x:v>
      </x:c>
    </x:row>
    <x:row r="588">
      <x:c r="A588" t="str">
        <x:v>CFB</x:v>
      </x:c>
      <x:c r="B588" t="n">
        <x:v>9</x:v>
      </x:c>
      <x:c r="C588" s="68" t="n">
        <x:v>46326</x:v>
      </x:c>
      <x:c r="D588" s="71" t="str">
        <x:v>pre</x:v>
      </x:c>
      <x:c r="E588" s="72" t="b">
        <x:v>0</x:v>
      </x:c>
      <x:c r="F588" t="str">
        <x:v>Utah Utes</x:v>
      </x:c>
      <x:c r="G588" t="str">
        <x:v>UTAH</x:v>
      </x:c>
      <x:c r="H588" s="69" t="n">
        <x:v>0</x:v>
      </x:c>
      <x:c r="I588" t="str">
        <x:v>3-0</x:v>
      </x:c>
      <x:c r="J588" t="str">
        <x:f>IF(E588&lt;&gt;TRUE,"",IF(H588&gt;M588,"W",IF(H588&lt;M588,"L","T")))</x:f>
      </x:c>
      <x:c r="K588" t="str">
        <x:v>Cincinnati Bearcats</x:v>
      </x:c>
      <x:c r="L588" t="str">
        <x:v>CIN</x:v>
      </x:c>
      <x:c r="M588" s="69" t="n">
        <x:v>0</x:v>
      </x:c>
      <x:c r="N588" t="str">
        <x:v>3-0</x:v>
      </x:c>
      <x:c r="O588" t="str">
        <x:f>IF(E588&lt;&gt;TRUE,"",IF(M588&gt;H588,"W",IF(M588&lt;H588,"L","T")))</x:f>
      </x:c>
      <x:c r="P588" s="66" t="b">
        <x:v>0</x:v>
      </x:c>
      <x:c r="Q588" s="66" t="b">
        <x:v>1</x:v>
      </x:c>
      <x:c r="R588" t="str">
        <x:v>Nippert Stadium</x:v>
      </x:c>
      <x:c r="S588" t="str"/>
      <x:c r="T588"/>
      <x:c r="U588" s="70"/>
      <x:c r="V588" s="70"/>
      <x:c r="W588"/>
      <x:c r="X588" t="str">
        <x:v>https://www.espn.com/college-football/game/_/gameId/401856848</x:v>
      </x:c>
    </x:row>
    <x:row r="589">
      <x:c r="A589" t="str">
        <x:v>CFB</x:v>
      </x:c>
      <x:c r="B589" t="n">
        <x:v>9</x:v>
      </x:c>
      <x:c r="C589" s="68" t="n">
        <x:v>46326</x:v>
      </x:c>
      <x:c r="D589" s="71" t="str">
        <x:v>pre</x:v>
      </x:c>
      <x:c r="E589" s="72" t="b">
        <x:v>0</x:v>
      </x:c>
      <x:c r="F589" t="str">
        <x:v>California Golden Bears</x:v>
      </x:c>
      <x:c r="G589" t="str">
        <x:v>CAL</x:v>
      </x:c>
      <x:c r="H589" s="69" t="n">
        <x:v>0</x:v>
      </x:c>
      <x:c r="I589" t="str">
        <x:v>2-1</x:v>
      </x:c>
      <x:c r="J589" t="str">
        <x:f>IF(E589&lt;&gt;TRUE,"",IF(H589&gt;M589,"W",IF(H589&lt;M589,"L","T")))</x:f>
      </x:c>
      <x:c r="K589" t="str">
        <x:v>NC State Wolfpack</x:v>
      </x:c>
      <x:c r="L589" t="str">
        <x:v>NCSU</x:v>
      </x:c>
      <x:c r="M589" s="69" t="n">
        <x:v>0</x:v>
      </x:c>
      <x:c r="N589" t="str">
        <x:v>1-2</x:v>
      </x:c>
      <x:c r="O589" t="str">
        <x:f>IF(E589&lt;&gt;TRUE,"",IF(M589&gt;H589,"W",IF(M589&lt;H589,"L","T")))</x:f>
      </x:c>
      <x:c r="P589" s="66" t="b">
        <x:v>0</x:v>
      </x:c>
      <x:c r="Q589" s="66" t="b">
        <x:v>1</x:v>
      </x:c>
      <x:c r="R589" t="str">
        <x:v>Carter-Finley Stadium</x:v>
      </x:c>
      <x:c r="S589" t="str"/>
      <x:c r="T589"/>
      <x:c r="U589" s="70"/>
      <x:c r="V589" s="70"/>
      <x:c r="W589"/>
      <x:c r="X589" t="str">
        <x:v>https://www.espn.com/college-football/game/_/gameId/401858277</x:v>
      </x:c>
    </x:row>
    <x:row r="590">
      <x:c r="A590" t="str">
        <x:v>CFB</x:v>
      </x:c>
      <x:c r="B590" t="n">
        <x:v>9</x:v>
      </x:c>
      <x:c r="C590" s="68" t="n">
        <x:v>46326</x:v>
      </x:c>
      <x:c r="D590" s="71" t="str">
        <x:v>pre</x:v>
      </x:c>
      <x:c r="E590" s="72" t="b">
        <x:v>0</x:v>
      </x:c>
      <x:c r="F590" t="str">
        <x:v>SMU Mustangs</x:v>
      </x:c>
      <x:c r="G590" t="str">
        <x:v>SMU</x:v>
      </x:c>
      <x:c r="H590" s="69" t="n">
        <x:v>0</x:v>
      </x:c>
      <x:c r="I590" t="str">
        <x:v>2-1</x:v>
      </x:c>
      <x:c r="J590" t="str">
        <x:f>IF(E590&lt;&gt;TRUE,"",IF(H590&gt;M590,"W",IF(H590&lt;M590,"L","T")))</x:f>
      </x:c>
      <x:c r="K590" t="str">
        <x:v>Syracuse Orange</x:v>
      </x:c>
      <x:c r="L590" t="str">
        <x:v>SYR</x:v>
      </x:c>
      <x:c r="M590" s="69" t="n">
        <x:v>0</x:v>
      </x:c>
      <x:c r="N590" t="str">
        <x:v>1-2</x:v>
      </x:c>
      <x:c r="O590" t="str">
        <x:f>IF(E590&lt;&gt;TRUE,"",IF(M590&gt;H590,"W",IF(M590&lt;H590,"L","T")))</x:f>
      </x:c>
      <x:c r="P590" s="66" t="b">
        <x:v>0</x:v>
      </x:c>
      <x:c r="Q590" s="66" t="b">
        <x:v>1</x:v>
      </x:c>
      <x:c r="R590" t="str">
        <x:v>JMA Wireless Dome</x:v>
      </x:c>
      <x:c r="S590" t="str"/>
      <x:c r="T590"/>
      <x:c r="U590" s="70"/>
      <x:c r="V590" s="70"/>
      <x:c r="W590"/>
      <x:c r="X590" t="str">
        <x:v>https://www.espn.com/college-football/game/_/gameId/401858278</x:v>
      </x:c>
    </x:row>
    <x:row r="591">
      <x:c r="A591" t="str">
        <x:v>CFB</x:v>
      </x:c>
      <x:c r="B591" t="n">
        <x:v>9</x:v>
      </x:c>
      <x:c r="C591" s="68" t="n">
        <x:v>46326</x:v>
      </x:c>
      <x:c r="D591" s="71" t="str">
        <x:v>pre</x:v>
      </x:c>
      <x:c r="E591" s="72" t="b">
        <x:v>0</x:v>
      </x:c>
      <x:c r="F591" t="str">
        <x:v>Boston College Eagles</x:v>
      </x:c>
      <x:c r="G591" t="str">
        <x:v>BC</x:v>
      </x:c>
      <x:c r="H591" s="69" t="n">
        <x:v>0</x:v>
      </x:c>
      <x:c r="I591" t="str">
        <x:v>2-1</x:v>
      </x:c>
      <x:c r="J591" t="str">
        <x:f>IF(E591&lt;&gt;TRUE,"",IF(H591&gt;M591,"W",IF(H591&lt;M591,"L","T")))</x:f>
      </x:c>
      <x:c r="K591" t="str">
        <x:v>Duke Blue Devils</x:v>
      </x:c>
      <x:c r="L591" t="str">
        <x:v>DUKE</x:v>
      </x:c>
      <x:c r="M591" s="69" t="n">
        <x:v>0</x:v>
      </x:c>
      <x:c r="N591" t="str">
        <x:v>3-0</x:v>
      </x:c>
      <x:c r="O591" t="str">
        <x:f>IF(E591&lt;&gt;TRUE,"",IF(M591&gt;H591,"W",IF(M591&lt;H591,"L","T")))</x:f>
      </x:c>
      <x:c r="P591" s="66" t="b">
        <x:v>0</x:v>
      </x:c>
      <x:c r="Q591" s="66" t="b">
        <x:v>1</x:v>
      </x:c>
      <x:c r="R591" t="str">
        <x:v>Wallace Wade Stadium</x:v>
      </x:c>
      <x:c r="S591" t="str"/>
      <x:c r="T591"/>
      <x:c r="U591" s="70"/>
      <x:c r="V591" s="70"/>
      <x:c r="W591"/>
      <x:c r="X591" t="str">
        <x:v>https://www.espn.com/college-football/game/_/gameId/401858279</x:v>
      </x:c>
    </x:row>
    <x:row r="592">
      <x:c r="A592" t="str">
        <x:v>CFB</x:v>
      </x:c>
      <x:c r="B592" t="n">
        <x:v>9</x:v>
      </x:c>
      <x:c r="C592" s="68" t="n">
        <x:v>46326</x:v>
      </x:c>
      <x:c r="D592" s="71" t="str">
        <x:v>pre</x:v>
      </x:c>
      <x:c r="E592" s="72" t="b">
        <x:v>0</x:v>
      </x:c>
      <x:c r="F592" t="str">
        <x:v>Clemson Tigers</x:v>
      </x:c>
      <x:c r="G592" t="str">
        <x:v>CLEM</x:v>
      </x:c>
      <x:c r="H592" s="69" t="n">
        <x:v>0</x:v>
      </x:c>
      <x:c r="I592" t="str">
        <x:v>2-1</x:v>
      </x:c>
      <x:c r="J592" t="str">
        <x:f>IF(E592&lt;&gt;TRUE,"",IF(H592&gt;M592,"W",IF(H592&lt;M592,"L","T")))</x:f>
      </x:c>
      <x:c r="K592" t="str">
        <x:v>Florida State Seminoles</x:v>
      </x:c>
      <x:c r="L592" t="str">
        <x:v>FSU</x:v>
      </x:c>
      <x:c r="M592" s="69" t="n">
        <x:v>0</x:v>
      </x:c>
      <x:c r="N592" t="str">
        <x:v>1-2</x:v>
      </x:c>
      <x:c r="O592" t="str">
        <x:f>IF(E592&lt;&gt;TRUE,"",IF(M592&gt;H592,"W",IF(M592&lt;H592,"L","T")))</x:f>
      </x:c>
      <x:c r="P592" s="66" t="b">
        <x:v>0</x:v>
      </x:c>
      <x:c r="Q592" s="66" t="b">
        <x:v>1</x:v>
      </x:c>
      <x:c r="R592" t="str">
        <x:v>Doak Campbell Stadium</x:v>
      </x:c>
      <x:c r="S592" t="str"/>
      <x:c r="T592" t="str">
        <x:v>CLEM -1.5</x:v>
      </x:c>
      <x:c r="U592" s="70" t="n">
        <x:v>1.5</x:v>
      </x:c>
      <x:c r="V592" s="70" t="n">
        <x:v>51.5</x:v>
      </x:c>
      <x:c r="W592" t="str">
        <x:v>DraftKings</x:v>
      </x:c>
      <x:c r="X592" t="str">
        <x:v>https://www.espn.com/college-football/game/_/gameId/401858280</x:v>
      </x:c>
    </x:row>
    <x:row r="593">
      <x:c r="A593" t="str">
        <x:v>CFB</x:v>
      </x:c>
      <x:c r="B593" t="n">
        <x:v>9</x:v>
      </x:c>
      <x:c r="C593" s="68" t="n">
        <x:v>46326</x:v>
      </x:c>
      <x:c r="D593" s="71" t="str">
        <x:v>pre</x:v>
      </x:c>
      <x:c r="E593" s="72" t="b">
        <x:v>0</x:v>
      </x:c>
      <x:c r="F593" t="str">
        <x:v>Georgia Tech Yellow Jackets</x:v>
      </x:c>
      <x:c r="G593" t="str">
        <x:v>GT</x:v>
      </x:c>
      <x:c r="H593" s="69" t="n">
        <x:v>0</x:v>
      </x:c>
      <x:c r="I593" t="str">
        <x:v>1-2</x:v>
      </x:c>
      <x:c r="J593" t="str">
        <x:f>IF(E593&lt;&gt;TRUE,"",IF(H593&gt;M593,"W",IF(H593&lt;M593,"L","T")))</x:f>
      </x:c>
      <x:c r="K593" t="str">
        <x:v>Pittsburgh Panthers</x:v>
      </x:c>
      <x:c r="L593" t="str">
        <x:v>PITT</x:v>
      </x:c>
      <x:c r="M593" s="69" t="n">
        <x:v>0</x:v>
      </x:c>
      <x:c r="N593" t="str">
        <x:v>3-0</x:v>
      </x:c>
      <x:c r="O593" t="str">
        <x:f>IF(E593&lt;&gt;TRUE,"",IF(M593&gt;H593,"W",IF(M593&lt;H593,"L","T")))</x:f>
      </x:c>
      <x:c r="P593" s="66" t="b">
        <x:v>0</x:v>
      </x:c>
      <x:c r="Q593" s="66" t="b">
        <x:v>1</x:v>
      </x:c>
      <x:c r="R593" t="str">
        <x:v>Acrisure Stadium</x:v>
      </x:c>
      <x:c r="S593" t="str"/>
      <x:c r="T593"/>
      <x:c r="U593" s="70"/>
      <x:c r="V593" s="70"/>
      <x:c r="W593"/>
      <x:c r="X593" t="str">
        <x:v>https://www.espn.com/college-football/game/_/gameId/401858281</x:v>
      </x:c>
    </x:row>
    <x:row r="594">
      <x:c r="A594" t="str">
        <x:v>CFB</x:v>
      </x:c>
      <x:c r="B594" t="n">
        <x:v>9</x:v>
      </x:c>
      <x:c r="C594" s="68" t="n">
        <x:v>46326</x:v>
      </x:c>
      <x:c r="D594" s="71" t="str">
        <x:v>pre</x:v>
      </x:c>
      <x:c r="E594" s="72" t="b">
        <x:v>0</x:v>
      </x:c>
      <x:c r="F594" t="str">
        <x:v>Miami Hurricanes</x:v>
      </x:c>
      <x:c r="G594" t="str">
        <x:v>MIA</x:v>
      </x:c>
      <x:c r="H594" s="69" t="n">
        <x:v>0</x:v>
      </x:c>
      <x:c r="I594" t="str">
        <x:v>3-0</x:v>
      </x:c>
      <x:c r="J594" t="str">
        <x:f>IF(E594&lt;&gt;TRUE,"",IF(H594&gt;M594,"W",IF(H594&lt;M594,"L","T")))</x:f>
      </x:c>
      <x:c r="K594" t="str">
        <x:v>North Carolina Tar Heels</x:v>
      </x:c>
      <x:c r="L594" t="str">
        <x:v>UNC</x:v>
      </x:c>
      <x:c r="M594" s="69" t="n">
        <x:v>0</x:v>
      </x:c>
      <x:c r="N594" t="str">
        <x:v>2-1</x:v>
      </x:c>
      <x:c r="O594" t="str">
        <x:f>IF(E594&lt;&gt;TRUE,"",IF(M594&gt;H594,"W",IF(M594&lt;H594,"L","T")))</x:f>
      </x:c>
      <x:c r="P594" s="66" t="b">
        <x:v>0</x:v>
      </x:c>
      <x:c r="Q594" s="66" t="b">
        <x:v>1</x:v>
      </x:c>
      <x:c r="R594" t="str">
        <x:v>Kenan Stadium</x:v>
      </x:c>
      <x:c r="S594" t="str"/>
      <x:c r="T594"/>
      <x:c r="U594" s="70"/>
      <x:c r="V594" s="70"/>
      <x:c r="W594"/>
      <x:c r="X594" t="str">
        <x:v>https://www.espn.com/college-football/game/_/gameId/401858282</x:v>
      </x:c>
    </x:row>
    <x:row r="595">
      <x:c r="A595" t="str">
        <x:v>CFB</x:v>
      </x:c>
      <x:c r="B595" t="n">
        <x:v>9</x:v>
      </x:c>
      <x:c r="C595" s="68" t="n">
        <x:v>46326</x:v>
      </x:c>
      <x:c r="D595" s="71" t="str">
        <x:v>pre</x:v>
      </x:c>
      <x:c r="E595" s="72" t="b">
        <x:v>0</x:v>
      </x:c>
      <x:c r="F595" t="str">
        <x:v>Stanford Cardinal</x:v>
      </x:c>
      <x:c r="G595" t="str">
        <x:v>STAN</x:v>
      </x:c>
      <x:c r="H595" s="69" t="n">
        <x:v>0</x:v>
      </x:c>
      <x:c r="I595" t="str">
        <x:v>1-2</x:v>
      </x:c>
      <x:c r="J595" t="str">
        <x:f>IF(E595&lt;&gt;TRUE,"",IF(H595&gt;M595,"W",IF(H595&lt;M595,"L","T")))</x:f>
      </x:c>
      <x:c r="K595" t="str">
        <x:v>Louisville Cardinals</x:v>
      </x:c>
      <x:c r="L595" t="str">
        <x:v>LOU</x:v>
      </x:c>
      <x:c r="M595" s="69" t="n">
        <x:v>0</x:v>
      </x:c>
      <x:c r="N595" t="str">
        <x:v>2-1</x:v>
      </x:c>
      <x:c r="O595" t="str">
        <x:f>IF(E595&lt;&gt;TRUE,"",IF(M595&gt;H595,"W",IF(M595&lt;H595,"L","T")))</x:f>
      </x:c>
      <x:c r="P595" s="66" t="b">
        <x:v>0</x:v>
      </x:c>
      <x:c r="Q595" s="66" t="b">
        <x:v>1</x:v>
      </x:c>
      <x:c r="R595" t="str">
        <x:v>L&amp;N Federal Credit Union Stadium</x:v>
      </x:c>
      <x:c r="S595" t="str"/>
      <x:c r="T595"/>
      <x:c r="U595" s="70"/>
      <x:c r="V595" s="70"/>
      <x:c r="W595"/>
      <x:c r="X595" t="str">
        <x:v>https://www.espn.com/college-football/game/_/gameId/401858283</x:v>
      </x:c>
    </x:row>
    <x:row r="596">
      <x:c r="A596" t="str">
        <x:v>CFB</x:v>
      </x:c>
      <x:c r="B596" t="n">
        <x:v>9</x:v>
      </x:c>
      <x:c r="C596" s="68" t="n">
        <x:v>46326</x:v>
      </x:c>
      <x:c r="D596" s="71" t="str">
        <x:v>pre</x:v>
      </x:c>
      <x:c r="E596" s="72" t="b">
        <x:v>0</x:v>
      </x:c>
      <x:c r="F596" t="str">
        <x:v>Virginia Cavaliers</x:v>
      </x:c>
      <x:c r="G596" t="str">
        <x:v>UVA</x:v>
      </x:c>
      <x:c r="H596" s="69" t="n">
        <x:v>0</x:v>
      </x:c>
      <x:c r="I596" t="str">
        <x:v>2-1</x:v>
      </x:c>
      <x:c r="J596" t="str">
        <x:f>IF(E596&lt;&gt;TRUE,"",IF(H596&gt;M596,"W",IF(H596&lt;M596,"L","T")))</x:f>
      </x:c>
      <x:c r="K596" t="str">
        <x:v>Wake Forest Demon Deacons</x:v>
      </x:c>
      <x:c r="L596" t="str">
        <x:v>WAKE</x:v>
      </x:c>
      <x:c r="M596" s="69" t="n">
        <x:v>0</x:v>
      </x:c>
      <x:c r="N596" t="str">
        <x:v>2-1</x:v>
      </x:c>
      <x:c r="O596" t="str">
        <x:f>IF(E596&lt;&gt;TRUE,"",IF(M596&gt;H596,"W",IF(M596&lt;H596,"L","T")))</x:f>
      </x:c>
      <x:c r="P596" s="66" t="b">
        <x:v>0</x:v>
      </x:c>
      <x:c r="Q596" s="66" t="b">
        <x:v>1</x:v>
      </x:c>
      <x:c r="R596" t="str">
        <x:v>Allegacy Federal Credit Union Stadium</x:v>
      </x:c>
      <x:c r="S596" t="str"/>
      <x:c r="T596"/>
      <x:c r="U596" s="70"/>
      <x:c r="V596" s="70"/>
      <x:c r="W596"/>
      <x:c r="X596" t="str">
        <x:v>https://www.espn.com/college-football/game/_/gameId/401858284</x:v>
      </x:c>
    </x:row>
    <x:row r="597">
      <x:c r="A597" t="str">
        <x:v>CFB</x:v>
      </x:c>
      <x:c r="B597" t="n">
        <x:v>9</x:v>
      </x:c>
      <x:c r="C597" s="68" t="n">
        <x:v>46326</x:v>
      </x:c>
      <x:c r="D597" s="71" t="str">
        <x:v>pre</x:v>
      </x:c>
      <x:c r="E597" s="72" t="b">
        <x:v>0</x:v>
      </x:c>
      <x:c r="F597" t="str">
        <x:v>Minnesota Golden Gophers</x:v>
      </x:c>
      <x:c r="G597" t="str">
        <x:v>MINN</x:v>
      </x:c>
      <x:c r="H597" s="69" t="n">
        <x:v>0</x:v>
      </x:c>
      <x:c r="I597" t="str">
        <x:v>2-1</x:v>
      </x:c>
      <x:c r="J597" t="str">
        <x:f>IF(E597&lt;&gt;TRUE,"",IF(H597&gt;M597,"W",IF(H597&lt;M597,"L","T")))</x:f>
      </x:c>
      <x:c r="K597" t="str">
        <x:v>Indiana Hoosiers</x:v>
      </x:c>
      <x:c r="L597" t="str">
        <x:v>IU</x:v>
      </x:c>
      <x:c r="M597" s="69" t="n">
        <x:v>0</x:v>
      </x:c>
      <x:c r="N597" t="str">
        <x:v>3-0</x:v>
      </x:c>
      <x:c r="O597" t="str">
        <x:f>IF(E597&lt;&gt;TRUE,"",IF(M597&gt;H597,"W",IF(M597&lt;H597,"L","T")))</x:f>
      </x:c>
      <x:c r="P597" s="66" t="b">
        <x:v>0</x:v>
      </x:c>
      <x:c r="Q597" s="66" t="b">
        <x:v>1</x:v>
      </x:c>
      <x:c r="R597" t="str">
        <x:v>Memorial Stadium (Bloomington, IN)</x:v>
      </x:c>
      <x:c r="S597" t="str"/>
      <x:c r="T597"/>
      <x:c r="U597" s="70"/>
      <x:c r="V597" s="70"/>
      <x:c r="W597"/>
      <x:c r="X597" t="str">
        <x:v>https://www.espn.com/college-football/game/_/gameId/401858501</x:v>
      </x:c>
    </x:row>
    <x:row r="598">
      <x:c r="A598" t="str">
        <x:v>CFB</x:v>
      </x:c>
      <x:c r="B598" t="n">
        <x:v>9</x:v>
      </x:c>
      <x:c r="C598" s="68" t="n">
        <x:v>46326</x:v>
      </x:c>
      <x:c r="D598" s="71" t="str">
        <x:v>pre</x:v>
      </x:c>
      <x:c r="E598" s="72" t="b">
        <x:v>0</x:v>
      </x:c>
      <x:c r="F598" t="str">
        <x:v>Wisconsin Badgers</x:v>
      </x:c>
      <x:c r="G598" t="str">
        <x:v>WIS</x:v>
      </x:c>
      <x:c r="H598" s="69" t="n">
        <x:v>0</x:v>
      </x:c>
      <x:c r="I598" t="str">
        <x:v>2-1</x:v>
      </x:c>
      <x:c r="J598" t="str">
        <x:f>IF(E598&lt;&gt;TRUE,"",IF(H598&gt;M598,"W",IF(H598&lt;M598,"L","T")))</x:f>
      </x:c>
      <x:c r="K598" t="str">
        <x:v>Iowa Hawkeyes</x:v>
      </x:c>
      <x:c r="L598" t="str">
        <x:v>IOWA</x:v>
      </x:c>
      <x:c r="M598" s="69" t="n">
        <x:v>0</x:v>
      </x:c>
      <x:c r="N598" t="str">
        <x:v>3-0</x:v>
      </x:c>
      <x:c r="O598" t="str">
        <x:f>IF(E598&lt;&gt;TRUE,"",IF(M598&gt;H598,"W",IF(M598&lt;H598,"L","T")))</x:f>
      </x:c>
      <x:c r="P598" s="66" t="b">
        <x:v>0</x:v>
      </x:c>
      <x:c r="Q598" s="66" t="b">
        <x:v>1</x:v>
      </x:c>
      <x:c r="R598" t="str">
        <x:v>Kinnick Stadium</x:v>
      </x:c>
      <x:c r="S598" t="str"/>
      <x:c r="T598"/>
      <x:c r="U598" s="70"/>
      <x:c r="V598" s="70"/>
      <x:c r="W598"/>
      <x:c r="X598" t="str">
        <x:v>https://www.espn.com/college-football/game/_/gameId/401858502</x:v>
      </x:c>
    </x:row>
    <x:row r="599">
      <x:c r="A599" t="str">
        <x:v>CFB</x:v>
      </x:c>
      <x:c r="B599" t="n">
        <x:v>9</x:v>
      </x:c>
      <x:c r="C599" s="68" t="n">
        <x:v>46326</x:v>
      </x:c>
      <x:c r="D599" s="71" t="str">
        <x:v>pre</x:v>
      </x:c>
      <x:c r="E599" s="72" t="b">
        <x:v>0</x:v>
      </x:c>
      <x:c r="F599" t="str">
        <x:v>Illinois Fighting Illini</x:v>
      </x:c>
      <x:c r="G599" t="str">
        <x:v>ILL</x:v>
      </x:c>
      <x:c r="H599" s="69" t="n">
        <x:v>0</x:v>
      </x:c>
      <x:c r="I599" t="str">
        <x:v>2-1</x:v>
      </x:c>
      <x:c r="J599" t="str">
        <x:f>IF(E599&lt;&gt;TRUE,"",IF(H599&gt;M599,"W",IF(H599&lt;M599,"L","T")))</x:f>
      </x:c>
      <x:c r="K599" t="str">
        <x:v>Maryland Terrapins</x:v>
      </x:c>
      <x:c r="L599" t="str">
        <x:v>MD</x:v>
      </x:c>
      <x:c r="M599" s="69" t="n">
        <x:v>0</x:v>
      </x:c>
      <x:c r="N599" t="str">
        <x:v>2-1</x:v>
      </x:c>
      <x:c r="O599" t="str">
        <x:f>IF(E599&lt;&gt;TRUE,"",IF(M599&gt;H599,"W",IF(M599&lt;H599,"L","T")))</x:f>
      </x:c>
      <x:c r="P599" s="66" t="b">
        <x:v>0</x:v>
      </x:c>
      <x:c r="Q599" s="66" t="b">
        <x:v>1</x:v>
      </x:c>
      <x:c r="R599" t="str">
        <x:v>SECU Stadium</x:v>
      </x:c>
      <x:c r="S599" t="str"/>
      <x:c r="T599"/>
      <x:c r="U599" s="70"/>
      <x:c r="V599" s="70"/>
      <x:c r="W599"/>
      <x:c r="X599" t="str">
        <x:v>https://www.espn.com/college-football/game/_/gameId/401858503</x:v>
      </x:c>
    </x:row>
    <x:row r="600">
      <x:c r="A600" t="str">
        <x:v>CFB</x:v>
      </x:c>
      <x:c r="B600" t="n">
        <x:v>9</x:v>
      </x:c>
      <x:c r="C600" s="68" t="n">
        <x:v>46326</x:v>
      </x:c>
      <x:c r="D600" s="71" t="str">
        <x:v>pre</x:v>
      </x:c>
      <x:c r="E600" s="72" t="b">
        <x:v>0</x:v>
      </x:c>
      <x:c r="F600" t="str">
        <x:v>Washington Huskies</x:v>
      </x:c>
      <x:c r="G600" t="str">
        <x:v>WASH</x:v>
      </x:c>
      <x:c r="H600" s="69" t="n">
        <x:v>0</x:v>
      </x:c>
      <x:c r="I600" t="str">
        <x:v>3-0</x:v>
      </x:c>
      <x:c r="J600" t="str">
        <x:f>IF(E600&lt;&gt;TRUE,"",IF(H600&gt;M600,"W",IF(H600&lt;M600,"L","T")))</x:f>
      </x:c>
      <x:c r="K600" t="str">
        <x:v>Nebraska Cornhuskers</x:v>
      </x:c>
      <x:c r="L600" t="str">
        <x:v>NEB</x:v>
      </x:c>
      <x:c r="M600" s="69" t="n">
        <x:v>0</x:v>
      </x:c>
      <x:c r="N600" t="str">
        <x:v>3-0</x:v>
      </x:c>
      <x:c r="O600" t="str">
        <x:f>IF(E600&lt;&gt;TRUE,"",IF(M600&gt;H600,"W",IF(M600&lt;H600,"L","T")))</x:f>
      </x:c>
      <x:c r="P600" s="66" t="b">
        <x:v>0</x:v>
      </x:c>
      <x:c r="Q600" s="66" t="b">
        <x:v>1</x:v>
      </x:c>
      <x:c r="R600" t="str">
        <x:v>Memorial Stadium (Lincoln, NE)</x:v>
      </x:c>
      <x:c r="S600" t="str"/>
      <x:c r="T600"/>
      <x:c r="U600" s="70"/>
      <x:c r="V600" s="70"/>
      <x:c r="W600"/>
      <x:c r="X600" t="str">
        <x:v>https://www.espn.com/college-football/game/_/gameId/401858504</x:v>
      </x:c>
    </x:row>
    <x:row r="601">
      <x:c r="A601" t="str">
        <x:v>CFB</x:v>
      </x:c>
      <x:c r="B601" t="n">
        <x:v>9</x:v>
      </x:c>
      <x:c r="C601" s="68" t="n">
        <x:v>46326</x:v>
      </x:c>
      <x:c r="D601" s="71" t="str">
        <x:v>pre</x:v>
      </x:c>
      <x:c r="E601" s="72" t="b">
        <x:v>0</x:v>
      </x:c>
      <x:c r="F601" t="str">
        <x:v>Northwestern Wildcats</x:v>
      </x:c>
      <x:c r="G601" t="str">
        <x:v>NU</x:v>
      </x:c>
      <x:c r="H601" s="69" t="n">
        <x:v>0</x:v>
      </x:c>
      <x:c r="I601" t="str">
        <x:v>2-0</x:v>
      </x:c>
      <x:c r="J601" t="str">
        <x:f>IF(E601&lt;&gt;TRUE,"",IF(H601&gt;M601,"W",IF(H601&lt;M601,"L","T")))</x:f>
      </x:c>
      <x:c r="K601" t="str">
        <x:v>Oregon Ducks</x:v>
      </x:c>
      <x:c r="L601" t="str">
        <x:v>ORE</x:v>
      </x:c>
      <x:c r="M601" s="69" t="n">
        <x:v>0</x:v>
      </x:c>
      <x:c r="N601" t="str">
        <x:v>2-1</x:v>
      </x:c>
      <x:c r="O601" t="str">
        <x:f>IF(E601&lt;&gt;TRUE,"",IF(M601&gt;H601,"W",IF(M601&lt;H601,"L","T")))</x:f>
      </x:c>
      <x:c r="P601" s="66" t="b">
        <x:v>0</x:v>
      </x:c>
      <x:c r="Q601" s="66" t="b">
        <x:v>1</x:v>
      </x:c>
      <x:c r="R601" t="str">
        <x:v>Autzen Stadium</x:v>
      </x:c>
      <x:c r="S601" t="str"/>
      <x:c r="T601"/>
      <x:c r="U601" s="70"/>
      <x:c r="V601" s="70"/>
      <x:c r="W601"/>
      <x:c r="X601" t="str">
        <x:v>https://www.espn.com/college-football/game/_/gameId/401858505</x:v>
      </x:c>
    </x:row>
    <x:row r="602">
      <x:c r="A602" t="str">
        <x:v>CFB</x:v>
      </x:c>
      <x:c r="B602" t="n">
        <x:v>9</x:v>
      </x:c>
      <x:c r="C602" s="68" t="n">
        <x:v>46326</x:v>
      </x:c>
      <x:c r="D602" s="71" t="str">
        <x:v>pre</x:v>
      </x:c>
      <x:c r="E602" s="72" t="b">
        <x:v>0</x:v>
      </x:c>
      <x:c r="F602" t="str">
        <x:v>Purdue Boilermakers</x:v>
      </x:c>
      <x:c r="G602" t="str">
        <x:v>PUR</x:v>
      </x:c>
      <x:c r="H602" s="69" t="n">
        <x:v>0</x:v>
      </x:c>
      <x:c r="I602" t="str">
        <x:v>1-2</x:v>
      </x:c>
      <x:c r="J602" t="str">
        <x:f>IF(E602&lt;&gt;TRUE,"",IF(H602&gt;M602,"W",IF(H602&lt;M602,"L","T")))</x:f>
      </x:c>
      <x:c r="K602" t="str">
        <x:v>Penn State Nittany Lions</x:v>
      </x:c>
      <x:c r="L602" t="str">
        <x:v>PSU</x:v>
      </x:c>
      <x:c r="M602" s="69" t="n">
        <x:v>0</x:v>
      </x:c>
      <x:c r="N602" t="str">
        <x:v>3-0</x:v>
      </x:c>
      <x:c r="O602" t="str">
        <x:f>IF(E602&lt;&gt;TRUE,"",IF(M602&gt;H602,"W",IF(M602&lt;H602,"L","T")))</x:f>
      </x:c>
      <x:c r="P602" s="66" t="b">
        <x:v>0</x:v>
      </x:c>
      <x:c r="Q602" s="66" t="b">
        <x:v>1</x:v>
      </x:c>
      <x:c r="R602" t="str">
        <x:v>Beaver Stadium</x:v>
      </x:c>
      <x:c r="S602" t="str"/>
      <x:c r="T602"/>
      <x:c r="U602" s="70"/>
      <x:c r="V602" s="70"/>
      <x:c r="W602"/>
      <x:c r="X602" t="str">
        <x:v>https://www.espn.com/college-football/game/_/gameId/401858506</x:v>
      </x:c>
    </x:row>
    <x:row r="603">
      <x:c r="A603" t="str">
        <x:v>CFB</x:v>
      </x:c>
      <x:c r="B603" t="n">
        <x:v>9</x:v>
      </x:c>
      <x:c r="C603" s="68" t="n">
        <x:v>46326</x:v>
      </x:c>
      <x:c r="D603" s="71" t="str">
        <x:v>pre</x:v>
      </x:c>
      <x:c r="E603" s="72" t="b">
        <x:v>0</x:v>
      </x:c>
      <x:c r="F603" t="str">
        <x:v>Michigan Wolverines</x:v>
      </x:c>
      <x:c r="G603" t="str">
        <x:v>MICH</x:v>
      </x:c>
      <x:c r="H603" s="69" t="n">
        <x:v>0</x:v>
      </x:c>
      <x:c r="I603" t="str">
        <x:v>3-0</x:v>
      </x:c>
      <x:c r="J603" t="str">
        <x:f>IF(E603&lt;&gt;TRUE,"",IF(H603&gt;M603,"W",IF(H603&lt;M603,"L","T")))</x:f>
      </x:c>
      <x:c r="K603" t="str">
        <x:v>Rutgers Scarlet Knights</x:v>
      </x:c>
      <x:c r="L603" t="str">
        <x:v>RUTG</x:v>
      </x:c>
      <x:c r="M603" s="69" t="n">
        <x:v>0</x:v>
      </x:c>
      <x:c r="N603" t="str">
        <x:v>0-3</x:v>
      </x:c>
      <x:c r="O603" t="str">
        <x:f>IF(E603&lt;&gt;TRUE,"",IF(M603&gt;H603,"W",IF(M603&lt;H603,"L","T")))</x:f>
      </x:c>
      <x:c r="P603" s="66" t="b">
        <x:v>0</x:v>
      </x:c>
      <x:c r="Q603" s="66" t="b">
        <x:v>1</x:v>
      </x:c>
      <x:c r="R603" t="str">
        <x:v>SHI Stadium</x:v>
      </x:c>
      <x:c r="S603" t="str"/>
      <x:c r="T603"/>
      <x:c r="U603" s="70"/>
      <x:c r="V603" s="70"/>
      <x:c r="W603"/>
      <x:c r="X603" t="str">
        <x:v>https://www.espn.com/college-football/game/_/gameId/401858507</x:v>
      </x:c>
    </x:row>
    <x:row r="604">
      <x:c r="A604" t="str">
        <x:v>CFB</x:v>
      </x:c>
      <x:c r="B604" t="n">
        <x:v>9</x:v>
      </x:c>
      <x:c r="C604" s="68" t="n">
        <x:v>46326</x:v>
      </x:c>
      <x:c r="D604" s="71" t="str">
        <x:v>pre</x:v>
      </x:c>
      <x:c r="E604" s="72" t="b">
        <x:v>0</x:v>
      </x:c>
      <x:c r="F604" t="str">
        <x:v>Nevada Wolf Pack</x:v>
      </x:c>
      <x:c r="G604" t="str">
        <x:v>NEV</x:v>
      </x:c>
      <x:c r="H604" s="69" t="n">
        <x:v>0</x:v>
      </x:c>
      <x:c r="I604" t="str">
        <x:v>1-2</x:v>
      </x:c>
      <x:c r="J604" t="str">
        <x:f>IF(E604&lt;&gt;TRUE,"",IF(H604&gt;M604,"W",IF(H604&lt;M604,"L","T")))</x:f>
      </x:c>
      <x:c r="K604" t="str">
        <x:v>UCLA Bruins</x:v>
      </x:c>
      <x:c r="L604" t="str">
        <x:v>UCLA</x:v>
      </x:c>
      <x:c r="M604" s="69" t="n">
        <x:v>0</x:v>
      </x:c>
      <x:c r="N604" t="str">
        <x:v>3-0</x:v>
      </x:c>
      <x:c r="O604" t="str">
        <x:f>IF(E604&lt;&gt;TRUE,"",IF(M604&gt;H604,"W",IF(M604&lt;H604,"L","T")))</x:f>
      </x:c>
      <x:c r="P604" s="66" t="b">
        <x:v>0</x:v>
      </x:c>
      <x:c r="Q604" s="66" t="b">
        <x:v>0</x:v>
      </x:c>
      <x:c r="R604" t="str">
        <x:v>Rose Bowl</x:v>
      </x:c>
      <x:c r="S604" t="str"/>
      <x:c r="T604"/>
      <x:c r="U604" s="70"/>
      <x:c r="V604" s="70"/>
      <x:c r="W604"/>
      <x:c r="X604" t="str">
        <x:v>https://www.espn.com/college-football/game/_/gameId/401858508</x:v>
      </x:c>
    </x:row>
    <x:row r="605">
      <x:c r="A605" t="str">
        <x:v>CFB</x:v>
      </x:c>
      <x:c r="B605" t="n">
        <x:v>9</x:v>
      </x:c>
      <x:c r="C605" s="68" t="n">
        <x:v>46326</x:v>
      </x:c>
      <x:c r="D605" s="71" t="str">
        <x:v>pre</x:v>
      </x:c>
      <x:c r="E605" s="72" t="b">
        <x:v>0</x:v>
      </x:c>
      <x:c r="F605" t="str">
        <x:v>Ohio State Buckeyes</x:v>
      </x:c>
      <x:c r="G605" t="str">
        <x:v>OSU</x:v>
      </x:c>
      <x:c r="H605" s="69" t="n">
        <x:v>0</x:v>
      </x:c>
      <x:c r="I605" t="str">
        <x:v>2-1</x:v>
      </x:c>
      <x:c r="J605" t="str">
        <x:f>IF(E605&lt;&gt;TRUE,"",IF(H605&gt;M605,"W",IF(H605&lt;M605,"L","T")))</x:f>
      </x:c>
      <x:c r="K605" t="str">
        <x:v>USC Trojans</x:v>
      </x:c>
      <x:c r="L605" t="str">
        <x:v>USC</x:v>
      </x:c>
      <x:c r="M605" s="69" t="n">
        <x:v>0</x:v>
      </x:c>
      <x:c r="N605" t="str">
        <x:v>4-0</x:v>
      </x:c>
      <x:c r="O605" t="str">
        <x:f>IF(E605&lt;&gt;TRUE,"",IF(M605&gt;H605,"W",IF(M605&lt;H605,"L","T")))</x:f>
      </x:c>
      <x:c r="P605" s="66" t="b">
        <x:v>0</x:v>
      </x:c>
      <x:c r="Q605" s="66" t="b">
        <x:v>1</x:v>
      </x:c>
      <x:c r="R605" t="str">
        <x:v>Los Angeles Memorial Coliseum</x:v>
      </x:c>
      <x:c r="S605" t="str"/>
      <x:c r="T605" t="str">
        <x:v>OSU -7.5</x:v>
      </x:c>
      <x:c r="U605" s="70" t="n">
        <x:v>7.5</x:v>
      </x:c>
      <x:c r="V605" s="70" t="n">
        <x:v>54.5</x:v>
      </x:c>
      <x:c r="W605" t="str">
        <x:v>DraftKings</x:v>
      </x:c>
      <x:c r="X605" t="str">
        <x:v>https://www.espn.com/college-football/game/_/gameId/401858509</x:v>
      </x:c>
    </x:row>
    <x:row r="606">
      <x:c r="A606" t="str">
        <x:v>CFB</x:v>
      </x:c>
      <x:c r="B606" t="n">
        <x:v>9</x:v>
      </x:c>
      <x:c r="C606" s="68" t="n">
        <x:v>46326</x:v>
      </x:c>
      <x:c r="D606" s="71" t="str">
        <x:v>pre</x:v>
      </x:c>
      <x:c r="E606" s="72" t="b">
        <x:v>0</x:v>
      </x:c>
      <x:c r="F606" t="str">
        <x:v>Oregon State Beavers</x:v>
      </x:c>
      <x:c r="G606" t="str">
        <x:v>ORST</x:v>
      </x:c>
      <x:c r="H606" s="69" t="n">
        <x:v>0</x:v>
      </x:c>
      <x:c r="I606" t="str">
        <x:v>1-2</x:v>
      </x:c>
      <x:c r="J606" t="str">
        <x:f>IF(E606&lt;&gt;TRUE,"",IF(H606&gt;M606,"W",IF(H606&lt;M606,"L","T")))</x:f>
      </x:c>
      <x:c r="K606" t="str">
        <x:v>Fresno State Bulldogs</x:v>
      </x:c>
      <x:c r="L606" t="str">
        <x:v>FRES</x:v>
      </x:c>
      <x:c r="M606" s="69" t="n">
        <x:v>0</x:v>
      </x:c>
      <x:c r="N606" t="str">
        <x:v>2-1</x:v>
      </x:c>
      <x:c r="O606" t="str">
        <x:f>IF(E606&lt;&gt;TRUE,"",IF(M606&gt;H606,"W",IF(M606&lt;H606,"L","T")))</x:f>
      </x:c>
      <x:c r="P606" s="66" t="b">
        <x:v>0</x:v>
      </x:c>
      <x:c r="Q606" s="66" t="b">
        <x:v>1</x:v>
      </x:c>
      <x:c r="R606" t="str">
        <x:v>Valley Children's Stadium</x:v>
      </x:c>
      <x:c r="S606" t="str">
        <x:v>USA Net</x:v>
      </x:c>
      <x:c r="T606"/>
      <x:c r="U606" s="70"/>
      <x:c r="V606" s="70"/>
      <x:c r="W606"/>
      <x:c r="X606" t="str">
        <x:v>https://www.espn.com/college-football/game/_/gameId/401860924</x:v>
      </x:c>
    </x:row>
    <x:row r="607">
      <x:c r="A607" t="str">
        <x:v>CFB</x:v>
      </x:c>
      <x:c r="B607" t="n">
        <x:v>9</x:v>
      </x:c>
      <x:c r="C607" s="68" t="n">
        <x:v>46326</x:v>
      </x:c>
      <x:c r="D607" s="71" t="str">
        <x:v>pre</x:v>
      </x:c>
      <x:c r="E607" s="72" t="b">
        <x:v>0</x:v>
      </x:c>
      <x:c r="F607" t="str">
        <x:v>Army Black Knights</x:v>
      </x:c>
      <x:c r="G607" t="str">
        <x:v>ARMY</x:v>
      </x:c>
      <x:c r="H607" s="69" t="n">
        <x:v>0</x:v>
      </x:c>
      <x:c r="I607" t="str">
        <x:v>1-1</x:v>
      </x:c>
      <x:c r="J607" t="str">
        <x:f>IF(E607&lt;&gt;TRUE,"",IF(H607&gt;M607,"W",IF(H607&lt;M607,"L","T")))</x:f>
      </x:c>
      <x:c r="K607" t="str">
        <x:v>Memphis Tigers</x:v>
      </x:c>
      <x:c r="L607" t="str">
        <x:v>MEM</x:v>
      </x:c>
      <x:c r="M607" s="69" t="n">
        <x:v>0</x:v>
      </x:c>
      <x:c r="N607" t="str">
        <x:v>3-1</x:v>
      </x:c>
      <x:c r="O607" t="str">
        <x:f>IF(E607&lt;&gt;TRUE,"",IF(M607&gt;H607,"W",IF(M607&lt;H607,"L","T")))</x:f>
      </x:c>
      <x:c r="P607" s="66" t="b">
        <x:v>0</x:v>
      </x:c>
      <x:c r="Q607" s="66" t="b">
        <x:v>1</x:v>
      </x:c>
      <x:c r="R607" t="str">
        <x:v>Simmons Bank Liberty Stadium</x:v>
      </x:c>
      <x:c r="S607" t="str"/>
      <x:c r="T607"/>
      <x:c r="U607" s="70"/>
      <x:c r="V607" s="70"/>
      <x:c r="W607"/>
      <x:c r="X607" t="str">
        <x:v>https://www.espn.com/college-football/game/_/gameId/401862814</x:v>
      </x:c>
    </x:row>
    <x:row r="608">
      <x:c r="A608" t="str">
        <x:v>CFB</x:v>
      </x:c>
      <x:c r="B608" t="n">
        <x:v>9</x:v>
      </x:c>
      <x:c r="C608" s="68" t="n">
        <x:v>46326</x:v>
      </x:c>
      <x:c r="D608" s="71" t="str">
        <x:v>pre</x:v>
      </x:c>
      <x:c r="E608" s="72" t="b">
        <x:v>0</x:v>
      </x:c>
      <x:c r="F608" t="str">
        <x:v>Temple Owls</x:v>
      </x:c>
      <x:c r="G608" t="str">
        <x:v>TEM</x:v>
      </x:c>
      <x:c r="H608" s="69" t="n">
        <x:v>0</x:v>
      </x:c>
      <x:c r="I608" t="str">
        <x:v>1-2</x:v>
      </x:c>
      <x:c r="J608" t="str">
        <x:f>IF(E608&lt;&gt;TRUE,"",IF(H608&gt;M608,"W",IF(H608&lt;M608,"L","T")))</x:f>
      </x:c>
      <x:c r="K608" t="str">
        <x:v>East Carolina Pirates</x:v>
      </x:c>
      <x:c r="L608" t="str">
        <x:v>ECU</x:v>
      </x:c>
      <x:c r="M608" s="69" t="n">
        <x:v>0</x:v>
      </x:c>
      <x:c r="N608" t="str">
        <x:v>1-2</x:v>
      </x:c>
      <x:c r="O608" t="str">
        <x:f>IF(E608&lt;&gt;TRUE,"",IF(M608&gt;H608,"W",IF(M608&lt;H608,"L","T")))</x:f>
      </x:c>
      <x:c r="P608" s="66" t="b">
        <x:v>0</x:v>
      </x:c>
      <x:c r="Q608" s="66" t="b">
        <x:v>1</x:v>
      </x:c>
      <x:c r="R608" t="str">
        <x:v>Dowdy-Ficklen Stadium</x:v>
      </x:c>
      <x:c r="S608" t="str"/>
      <x:c r="T608"/>
      <x:c r="U608" s="70"/>
      <x:c r="V608" s="70"/>
      <x:c r="W608"/>
      <x:c r="X608" t="str">
        <x:v>https://www.espn.com/college-football/game/_/gameId/401862815</x:v>
      </x:c>
    </x:row>
    <x:row r="609">
      <x:c r="A609" t="str">
        <x:v>CFB</x:v>
      </x:c>
      <x:c r="B609" t="n">
        <x:v>9</x:v>
      </x:c>
      <x:c r="C609" s="68" t="n">
        <x:v>46326</x:v>
      </x:c>
      <x:c r="D609" s="71" t="str">
        <x:v>pre</x:v>
      </x:c>
      <x:c r="E609" s="72" t="b">
        <x:v>0</x:v>
      </x:c>
      <x:c r="F609" t="str">
        <x:v>UAB Blazers</x:v>
      </x:c>
      <x:c r="G609" t="str">
        <x:v>UAB</x:v>
      </x:c>
      <x:c r="H609" s="69" t="n">
        <x:v>0</x:v>
      </x:c>
      <x:c r="I609" t="str">
        <x:v>1-2</x:v>
      </x:c>
      <x:c r="J609" t="str">
        <x:f>IF(E609&lt;&gt;TRUE,"",IF(H609&gt;M609,"W",IF(H609&lt;M609,"L","T")))</x:f>
      </x:c>
      <x:c r="K609" t="str">
        <x:v>South Florida Bulls</x:v>
      </x:c>
      <x:c r="L609" t="str">
        <x:v>USF</x:v>
      </x:c>
      <x:c r="M609" s="69" t="n">
        <x:v>0</x:v>
      </x:c>
      <x:c r="N609" t="str">
        <x:v>3-0</x:v>
      </x:c>
      <x:c r="O609" t="str">
        <x:f>IF(E609&lt;&gt;TRUE,"",IF(M609&gt;H609,"W",IF(M609&lt;H609,"L","T")))</x:f>
      </x:c>
      <x:c r="P609" s="66" t="b">
        <x:v>0</x:v>
      </x:c>
      <x:c r="Q609" s="66" t="b">
        <x:v>1</x:v>
      </x:c>
      <x:c r="R609" t="str">
        <x:v>Raymond James Stadium</x:v>
      </x:c>
      <x:c r="S609" t="str"/>
      <x:c r="T609"/>
      <x:c r="U609" s="70"/>
      <x:c r="V609" s="70"/>
      <x:c r="W609"/>
      <x:c r="X609" t="str">
        <x:v>https://www.espn.com/college-football/game/_/gameId/401862816</x:v>
      </x:c>
    </x:row>
    <x:row r="610">
      <x:c r="A610" t="str">
        <x:v>CFB</x:v>
      </x:c>
      <x:c r="B610" t="n">
        <x:v>9</x:v>
      </x:c>
      <x:c r="C610" s="68" t="n">
        <x:v>46326</x:v>
      </x:c>
      <x:c r="D610" s="71" t="str">
        <x:v>pre</x:v>
      </x:c>
      <x:c r="E610" s="72" t="b">
        <x:v>0</x:v>
      </x:c>
      <x:c r="F610" t="str">
        <x:v>New Mexico Lobos</x:v>
      </x:c>
      <x:c r="G610" t="str">
        <x:v>UNM</x:v>
      </x:c>
      <x:c r="H610" s="69" t="n">
        <x:v>0</x:v>
      </x:c>
      <x:c r="I610" t="str">
        <x:v>2-1</x:v>
      </x:c>
      <x:c r="J610" t="str">
        <x:f>IF(E610&lt;&gt;TRUE,"",IF(H610&gt;M610,"W",IF(H610&lt;M610,"L","T")))</x:f>
      </x:c>
      <x:c r="K610" t="str">
        <x:v>San José State Spartans</x:v>
      </x:c>
      <x:c r="L610" t="str">
        <x:v>SJSU</x:v>
      </x:c>
      <x:c r="M610" s="69" t="n">
        <x:v>0</x:v>
      </x:c>
      <x:c r="N610" t="str">
        <x:v>2-2</x:v>
      </x:c>
      <x:c r="O610" t="str">
        <x:f>IF(E610&lt;&gt;TRUE,"",IF(M610&gt;H610,"W",IF(M610&lt;H610,"L","T")))</x:f>
      </x:c>
      <x:c r="P610" s="66" t="b">
        <x:v>0</x:v>
      </x:c>
      <x:c r="Q610" s="66" t="b">
        <x:v>1</x:v>
      </x:c>
      <x:c r="R610" t="str">
        <x:v>CEFCU Stadium</x:v>
      </x:c>
      <x:c r="S610" t="str">
        <x:v>MW+</x:v>
      </x:c>
      <x:c r="T610"/>
      <x:c r="U610" s="70"/>
      <x:c r="V610" s="70"/>
      <x:c r="W610"/>
      <x:c r="X610" t="str">
        <x:v>https://www.espn.com/college-football/game/_/gameId/401864529</x:v>
      </x:c>
    </x:row>
    <x:row r="611">
      <x:c r="A611" t="str">
        <x:v>CFB</x:v>
      </x:c>
      <x:c r="B611" t="n">
        <x:v>9</x:v>
      </x:c>
      <x:c r="C611" s="68" t="n">
        <x:v>46326</x:v>
      </x:c>
      <x:c r="D611" s="71" t="str">
        <x:v>pre</x:v>
      </x:c>
      <x:c r="E611" s="72" t="b">
        <x:v>0</x:v>
      </x:c>
      <x:c r="F611" t="str">
        <x:v>App State Mountaineers</x:v>
      </x:c>
      <x:c r="G611" t="str">
        <x:v>APP</x:v>
      </x:c>
      <x:c r="H611" s="69" t="n">
        <x:v>0</x:v>
      </x:c>
      <x:c r="I611" t="str">
        <x:v>3-0</x:v>
      </x:c>
      <x:c r="J611" t="str">
        <x:f>IF(E611&lt;&gt;TRUE,"",IF(H611&gt;M611,"W",IF(H611&lt;M611,"L","T")))</x:f>
      </x:c>
      <x:c r="K611" t="str">
        <x:v>Georgia Southern Eagles</x:v>
      </x:c>
      <x:c r="L611" t="str">
        <x:v>GASO</x:v>
      </x:c>
      <x:c r="M611" s="69" t="n">
        <x:v>0</x:v>
      </x:c>
      <x:c r="N611" t="str">
        <x:v>1-2</x:v>
      </x:c>
      <x:c r="O611" t="str">
        <x:f>IF(E611&lt;&gt;TRUE,"",IF(M611&gt;H611,"W",IF(M611&lt;H611,"L","T")))</x:f>
      </x:c>
      <x:c r="P611" s="66" t="b">
        <x:v>0</x:v>
      </x:c>
      <x:c r="Q611" s="66" t="b">
        <x:v>1</x:v>
      </x:c>
      <x:c r="R611" t="str">
        <x:v>Allen E. Paulson Stadium</x:v>
      </x:c>
      <x:c r="S611" t="str"/>
      <x:c r="T611"/>
      <x:c r="U611" s="70"/>
      <x:c r="V611" s="70"/>
      <x:c r="W611"/>
      <x:c r="X611" t="str">
        <x:v>https://www.espn.com/college-football/game/_/gameId/401869846</x:v>
      </x:c>
    </x:row>
    <x:row r="612">
      <x:c r="A612" t="str">
        <x:v>CFB</x:v>
      </x:c>
      <x:c r="B612" t="n">
        <x:v>9</x:v>
      </x:c>
      <x:c r="C612" s="68" t="n">
        <x:v>46326</x:v>
      </x:c>
      <x:c r="D612" s="71" t="str">
        <x:v>pre</x:v>
      </x:c>
      <x:c r="E612" s="72" t="b">
        <x:v>0</x:v>
      </x:c>
      <x:c r="F612" t="str">
        <x:v>Coastal Carolina Chanticleers</x:v>
      </x:c>
      <x:c r="G612" t="str">
        <x:v>CCU</x:v>
      </x:c>
      <x:c r="H612" s="69" t="n">
        <x:v>0</x:v>
      </x:c>
      <x:c r="I612" t="str">
        <x:v>1-2</x:v>
      </x:c>
      <x:c r="J612" t="str">
        <x:f>IF(E612&lt;&gt;TRUE,"",IF(H612&gt;M612,"W",IF(H612&lt;M612,"L","T")))</x:f>
      </x:c>
      <x:c r="K612" t="str">
        <x:v>Georgia State Panthers</x:v>
      </x:c>
      <x:c r="L612" t="str">
        <x:v>GAST</x:v>
      </x:c>
      <x:c r="M612" s="69" t="n">
        <x:v>0</x:v>
      </x:c>
      <x:c r="N612" t="str">
        <x:v>2-1</x:v>
      </x:c>
      <x:c r="O612" t="str">
        <x:f>IF(E612&lt;&gt;TRUE,"",IF(M612&gt;H612,"W",IF(M612&lt;H612,"L","T")))</x:f>
      </x:c>
      <x:c r="P612" s="66" t="b">
        <x:v>0</x:v>
      </x:c>
      <x:c r="Q612" s="66" t="b">
        <x:v>1</x:v>
      </x:c>
      <x:c r="R612" t="str">
        <x:v>Center Parc Stadium</x:v>
      </x:c>
      <x:c r="S612" t="str"/>
      <x:c r="T612"/>
      <x:c r="U612" s="70"/>
      <x:c r="V612" s="70"/>
      <x:c r="W612"/>
      <x:c r="X612" t="str">
        <x:v>https://www.espn.com/college-football/game/_/gameId/401869944</x:v>
      </x:c>
    </x:row>
    <x:row r="613">
      <x:c r="A613" t="str">
        <x:v>CFB</x:v>
      </x:c>
      <x:c r="B613" t="n">
        <x:v>9</x:v>
      </x:c>
      <x:c r="C613" s="68" t="n">
        <x:v>46326</x:v>
      </x:c>
      <x:c r="D613" s="71" t="str">
        <x:v>pre</x:v>
      </x:c>
      <x:c r="E613" s="72" t="b">
        <x:v>0</x:v>
      </x:c>
      <x:c r="F613" t="str">
        <x:v>Southern Miss Golden Eagles</x:v>
      </x:c>
      <x:c r="G613" t="str">
        <x:v>USM</x:v>
      </x:c>
      <x:c r="H613" s="69" t="n">
        <x:v>0</x:v>
      </x:c>
      <x:c r="I613" t="str">
        <x:v>1-2</x:v>
      </x:c>
      <x:c r="J613" t="str">
        <x:f>IF(E613&lt;&gt;TRUE,"",IF(H613&gt;M613,"W",IF(H613&lt;M613,"L","T")))</x:f>
      </x:c>
      <x:c r="K613" t="str">
        <x:v>UL Monroe Warhawks</x:v>
      </x:c>
      <x:c r="L613" t="str">
        <x:v>ULM</x:v>
      </x:c>
      <x:c r="M613" s="69" t="n">
        <x:v>0</x:v>
      </x:c>
      <x:c r="N613" t="str">
        <x:v>0-3</x:v>
      </x:c>
      <x:c r="O613" t="str">
        <x:f>IF(E613&lt;&gt;TRUE,"",IF(M613&gt;H613,"W",IF(M613&lt;H613,"L","T")))</x:f>
      </x:c>
      <x:c r="P613" s="66" t="b">
        <x:v>0</x:v>
      </x:c>
      <x:c r="Q613" s="66" t="b">
        <x:v>1</x:v>
      </x:c>
      <x:c r="R613" t="str">
        <x:v>Malone Stadium</x:v>
      </x:c>
      <x:c r="S613" t="str"/>
      <x:c r="T613"/>
      <x:c r="U613" s="70"/>
      <x:c r="V613" s="70"/>
      <x:c r="W613"/>
      <x:c r="X613" t="str">
        <x:v>https://www.espn.com/college-football/game/_/gameId/401871095</x:v>
      </x:c>
    </x:row>
    <x:row r="614">
      <x:c r="A614" t="str">
        <x:v>CFB</x:v>
      </x:c>
      <x:c r="B614" t="n">
        <x:v>9</x:v>
      </x:c>
      <x:c r="C614" s="68" t="n">
        <x:v>46326</x:v>
      </x:c>
      <x:c r="D614" s="71" t="str">
        <x:v>pre</x:v>
      </x:c>
      <x:c r="E614" s="72" t="b">
        <x:v>0</x:v>
      </x:c>
      <x:c r="F614" t="str">
        <x:v>Marshall Thundering Herd</x:v>
      </x:c>
      <x:c r="G614" t="str">
        <x:v>MRSH</x:v>
      </x:c>
      <x:c r="H614" s="69" t="n">
        <x:v>0</x:v>
      </x:c>
      <x:c r="I614" t="str">
        <x:v>2-1</x:v>
      </x:c>
      <x:c r="J614" t="str">
        <x:f>IF(E614&lt;&gt;TRUE,"",IF(H614&gt;M614,"W",IF(H614&lt;M614,"L","T")))</x:f>
      </x:c>
      <x:c r="K614" t="str">
        <x:v>Old Dominion Monarchs</x:v>
      </x:c>
      <x:c r="L614" t="str">
        <x:v>ODU</x:v>
      </x:c>
      <x:c r="M614" s="69" t="n">
        <x:v>0</x:v>
      </x:c>
      <x:c r="N614" t="str">
        <x:v>1-2</x:v>
      </x:c>
      <x:c r="O614" t="str">
        <x:f>IF(E614&lt;&gt;TRUE,"",IF(M614&gt;H614,"W",IF(M614&lt;H614,"L","T")))</x:f>
      </x:c>
      <x:c r="P614" s="66" t="b">
        <x:v>0</x:v>
      </x:c>
      <x:c r="Q614" s="66" t="b">
        <x:v>1</x:v>
      </x:c>
      <x:c r="R614" t="str">
        <x:v>S.B. Ballard Stadium</x:v>
      </x:c>
      <x:c r="S614" t="str"/>
      <x:c r="T614"/>
      <x:c r="U614" s="70"/>
      <x:c r="V614" s="70"/>
      <x:c r="W614"/>
      <x:c r="X614" t="str">
        <x:v>https://www.espn.com/college-football/game/_/gameId/401871096</x:v>
      </x:c>
    </x:row>
    <x:row r="615">
      <x:c r="A615" t="str">
        <x:v>CFB</x:v>
      </x:c>
      <x:c r="B615" t="n">
        <x:v>9</x:v>
      </x:c>
      <x:c r="C615" s="68" t="n">
        <x:v>46326</x:v>
      </x:c>
      <x:c r="D615" s="71" t="str">
        <x:v>pre</x:v>
      </x:c>
      <x:c r="E615" s="72" t="b">
        <x:v>0</x:v>
      </x:c>
      <x:c r="F615" t="str">
        <x:v>Louisiana Tech Bulldogs</x:v>
      </x:c>
      <x:c r="G615" t="str">
        <x:v>LT</x:v>
      </x:c>
      <x:c r="H615" s="69" t="n">
        <x:v>0</x:v>
      </x:c>
      <x:c r="I615" t="str">
        <x:v>1-2</x:v>
      </x:c>
      <x:c r="J615" t="str">
        <x:f>IF(E615&lt;&gt;TRUE,"",IF(H615&gt;M615,"W",IF(H615&lt;M615,"L","T")))</x:f>
      </x:c>
      <x:c r="K615" t="str">
        <x:v>South Alabama Jaguars</x:v>
      </x:c>
      <x:c r="L615" t="str">
        <x:v>USA</x:v>
      </x:c>
      <x:c r="M615" s="69" t="n">
        <x:v>0</x:v>
      </x:c>
      <x:c r="N615" t="str">
        <x:v>2-1</x:v>
      </x:c>
      <x:c r="O615" t="str">
        <x:f>IF(E615&lt;&gt;TRUE,"",IF(M615&gt;H615,"W",IF(M615&lt;H615,"L","T")))</x:f>
      </x:c>
      <x:c r="P615" s="66" t="b">
        <x:v>0</x:v>
      </x:c>
      <x:c r="Q615" s="66" t="b">
        <x:v>1</x:v>
      </x:c>
      <x:c r="R615" t="str">
        <x:v>Hancock Whitney Stadium</x:v>
      </x:c>
      <x:c r="S615" t="str"/>
      <x:c r="T615"/>
      <x:c r="U615" s="70"/>
      <x:c r="V615" s="70"/>
      <x:c r="W615"/>
      <x:c r="X615" t="str">
        <x:v>https://www.espn.com/college-football/game/_/gameId/401871097</x:v>
      </x:c>
    </x:row>
    <x:row r="616">
      <x:c r="A616" t="str">
        <x:v>CFB</x:v>
      </x:c>
      <x:c r="B616" t="n">
        <x:v>9</x:v>
      </x:c>
      <x:c r="C616" s="68" t="n">
        <x:v>46326.666666666664</x:v>
      </x:c>
      <x:c r="D616" s="71" t="str">
        <x:v>pre</x:v>
      </x:c>
      <x:c r="E616" s="72" t="b">
        <x:v>0</x:v>
      </x:c>
      <x:c r="F616" t="str">
        <x:v>Notre Dame Fighting Irish</x:v>
      </x:c>
      <x:c r="G616" t="str">
        <x:v>ND</x:v>
      </x:c>
      <x:c r="H616" s="69" t="n">
        <x:v>0</x:v>
      </x:c>
      <x:c r="I616" t="str">
        <x:v>3-0</x:v>
      </x:c>
      <x:c r="J616" t="str">
        <x:f>IF(E616&lt;&gt;TRUE,"",IF(H616&gt;M616,"W",IF(H616&lt;M616,"L","T")))</x:f>
      </x:c>
      <x:c r="K616" t="str">
        <x:v>Navy Midshipmen</x:v>
      </x:c>
      <x:c r="L616" t="str">
        <x:v>NAVY</x:v>
      </x:c>
      <x:c r="M616" s="69" t="n">
        <x:v>0</x:v>
      </x:c>
      <x:c r="N616" t="str">
        <x:v>1-1</x:v>
      </x:c>
      <x:c r="O616" t="str">
        <x:f>IF(E616&lt;&gt;TRUE,"",IF(M616&gt;H616,"W",IF(M616&lt;H616,"L","T")))</x:f>
      </x:c>
      <x:c r="P616" s="66" t="b">
        <x:v>1</x:v>
      </x:c>
      <x:c r="Q616" s="66" t="b">
        <x:v>0</x:v>
      </x:c>
      <x:c r="R616" t="str">
        <x:v>Gillette Stadium</x:v>
      </x:c>
      <x:c r="S616" t="str"/>
      <x:c r="T616"/>
      <x:c r="U616" s="70"/>
      <x:c r="V616" s="70"/>
      <x:c r="W616"/>
      <x:c r="X616" t="str">
        <x:v>https://www.espn.com/college-football/game/_/gameId/401859185</x:v>
      </x:c>
    </x:row>
    <x:row r="617">
      <x:c r="A617" t="str">
        <x:v>CFB</x:v>
      </x:c>
      <x:c r="B617" t="n">
        <x:v>9</x:v>
      </x:c>
      <x:c r="C617" s="68" t="n">
        <x:v>46326.666666666664</x:v>
      </x:c>
      <x:c r="D617" s="71" t="str">
        <x:v>pre</x:v>
      </x:c>
      <x:c r="E617" s="72" t="b">
        <x:v>0</x:v>
      </x:c>
      <x:c r="F617" t="str">
        <x:v>Bowling Green Falcons</x:v>
      </x:c>
      <x:c r="G617" t="str">
        <x:v>BGSU</x:v>
      </x:c>
      <x:c r="H617" s="69" t="n">
        <x:v>0</x:v>
      </x:c>
      <x:c r="I617" t="str">
        <x:v>0-3</x:v>
      </x:c>
      <x:c r="J617" t="str">
        <x:f>IF(E617&lt;&gt;TRUE,"",IF(H617&gt;M617,"W",IF(H617&lt;M617,"L","T")))</x:f>
      </x:c>
      <x:c r="K617" t="str">
        <x:v>Western Michigan Broncos</x:v>
      </x:c>
      <x:c r="L617" t="str">
        <x:v>WMU</x:v>
      </x:c>
      <x:c r="M617" s="69" t="n">
        <x:v>0</x:v>
      </x:c>
      <x:c r="N617" t="str">
        <x:v>2-1</x:v>
      </x:c>
      <x:c r="O617" t="str">
        <x:f>IF(E617&lt;&gt;TRUE,"",IF(M617&gt;H617,"W",IF(M617&lt;H617,"L","T")))</x:f>
      </x:c>
      <x:c r="P617" s="66" t="b">
        <x:v>0</x:v>
      </x:c>
      <x:c r="Q617" s="66" t="b">
        <x:v>1</x:v>
      </x:c>
      <x:c r="R617" t="str">
        <x:v>Waldo Stadium</x:v>
      </x:c>
      <x:c r="S617" t="str">
        <x:v>CBSSN</x:v>
      </x:c>
      <x:c r="T617"/>
      <x:c r="U617" s="70"/>
      <x:c r="V617" s="70"/>
      <x:c r="W617"/>
      <x:c r="X617" t="str">
        <x:v>https://www.espn.com/college-football/game/_/gameId/401866452</x:v>
      </x:c>
    </x:row>
    <x:row r="618">
      <x:c r="A618" t="str">
        <x:v>CFB</x:v>
      </x:c>
      <x:c r="B618" t="n">
        <x:v>9</x:v>
      </x:c>
      <x:c r="C618" s="68" t="n">
        <x:v>46326.791666666664</x:v>
      </x:c>
      <x:c r="D618" s="71" t="str">
        <x:v>pre</x:v>
      </x:c>
      <x:c r="E618" s="72" t="b">
        <x:v>0</x:v>
      </x:c>
      <x:c r="F618" t="str">
        <x:v>UConn Huskies</x:v>
      </x:c>
      <x:c r="G618" t="str">
        <x:v>CONN</x:v>
      </x:c>
      <x:c r="H618" s="69" t="n">
        <x:v>0</x:v>
      </x:c>
      <x:c r="I618" t="str">
        <x:v>2-1</x:v>
      </x:c>
      <x:c r="J618" t="str">
        <x:f>IF(E618&lt;&gt;TRUE,"",IF(H618&gt;M618,"W",IF(H618&lt;M618,"L","T")))</x:f>
      </x:c>
      <x:c r="K618" t="str">
        <x:v>Air Force Falcons</x:v>
      </x:c>
      <x:c r="L618" t="str">
        <x:v>AFA</x:v>
      </x:c>
      <x:c r="M618" s="69" t="n">
        <x:v>0</x:v>
      </x:c>
      <x:c r="N618" t="str">
        <x:v>1-1</x:v>
      </x:c>
      <x:c r="O618" t="str">
        <x:f>IF(E618&lt;&gt;TRUE,"",IF(M618&gt;H618,"W",IF(M618&lt;H618,"L","T")))</x:f>
      </x:c>
      <x:c r="P618" s="66" t="b">
        <x:v>0</x:v>
      </x:c>
      <x:c r="Q618" s="66" t="b">
        <x:v>0</x:v>
      </x:c>
      <x:c r="R618" t="str">
        <x:v>Falcon Stadium</x:v>
      </x:c>
      <x:c r="S618" t="str">
        <x:v>MW+</x:v>
      </x:c>
      <x:c r="T618"/>
      <x:c r="U618" s="70"/>
      <x:c r="V618" s="70"/>
      <x:c r="W618"/>
      <x:c r="X618" t="str">
        <x:v>https://www.espn.com/college-football/game/_/gameId/401861966</x:v>
      </x:c>
    </x:row>
    <x:row r="619">
      <x:c r="A619" t="str">
        <x:v>CFB</x:v>
      </x:c>
      <x:c r="B619" t="n">
        <x:v>9</x:v>
      </x:c>
      <x:c r="C619" s="68" t="n">
        <x:v>46326.8125</x:v>
      </x:c>
      <x:c r="D619" s="71" t="str">
        <x:v>pre</x:v>
      </x:c>
      <x:c r="E619" s="72" t="b">
        <x:v>0</x:v>
      </x:c>
      <x:c r="F619" t="str">
        <x:v>Florida Gators</x:v>
      </x:c>
      <x:c r="G619" t="str">
        <x:v>FLA</x:v>
      </x:c>
      <x:c r="H619" s="69" t="n">
        <x:v>0</x:v>
      </x:c>
      <x:c r="I619" t="str">
        <x:v>3-0</x:v>
      </x:c>
      <x:c r="J619" t="str">
        <x:f>IF(E619&lt;&gt;TRUE,"",IF(H619&gt;M619,"W",IF(H619&lt;M619,"L","T")))</x:f>
      </x:c>
      <x:c r="K619" t="str">
        <x:v>Georgia Bulldogs</x:v>
      </x:c>
      <x:c r="L619" t="str">
        <x:v>UGA</x:v>
      </x:c>
      <x:c r="M619" s="69" t="n">
        <x:v>0</x:v>
      </x:c>
      <x:c r="N619" t="str">
        <x:v>3-0</x:v>
      </x:c>
      <x:c r="O619" t="str">
        <x:f>IF(E619&lt;&gt;TRUE,"",IF(M619&gt;H619,"W",IF(M619&lt;H619,"L","T")))</x:f>
      </x:c>
      <x:c r="P619" s="66" t="b">
        <x:v>1</x:v>
      </x:c>
      <x:c r="Q619" s="66" t="b">
        <x:v>1</x:v>
      </x:c>
      <x:c r="R619" t="str">
        <x:v>Mercedes-Benz Stadium</x:v>
      </x:c>
      <x:c r="S619" t="str">
        <x:v>ABC</x:v>
      </x:c>
      <x:c r="T619" t="str">
        <x:v>UGA -12.5</x:v>
      </x:c>
      <x:c r="U619" s="70" t="n">
        <x:v>-12.5</x:v>
      </x:c>
      <x:c r="V619" s="70" t="n">
        <x:v>53.5</x:v>
      </x:c>
      <x:c r="W619" t="str">
        <x:v>DraftKings</x:v>
      </x:c>
      <x:c r="X619" t="str">
        <x:v>https://www.espn.com/college-football/game/_/gameId/401856734</x:v>
      </x:c>
    </x:row>
    <x:row r="620">
      <x:c r="A620" t="str">
        <x:v>CFB</x:v>
      </x:c>
      <x:c r="B620" t="n">
        <x:v>9</x:v>
      </x:c>
      <x:c r="C620" s="68" t="n">
        <x:v>46326.8125</x:v>
      </x:c>
      <x:c r="D620" s="71" t="str">
        <x:v>pre</x:v>
      </x:c>
      <x:c r="E620" s="72" t="b">
        <x:v>0</x:v>
      </x:c>
      <x:c r="F620" t="str">
        <x:v>Colorado State Rams</x:v>
      </x:c>
      <x:c r="G620" t="str">
        <x:v>CSU</x:v>
      </x:c>
      <x:c r="H620" s="69" t="n">
        <x:v>0</x:v>
      </x:c>
      <x:c r="I620" t="str">
        <x:v>2-1</x:v>
      </x:c>
      <x:c r="J620" t="str">
        <x:f>IF(E620&lt;&gt;TRUE,"",IF(H620&gt;M620,"W",IF(H620&lt;M620,"L","T")))</x:f>
      </x:c>
      <x:c r="K620" t="str">
        <x:v>Utah State Aggies</x:v>
      </x:c>
      <x:c r="L620" t="str">
        <x:v>USU</x:v>
      </x:c>
      <x:c r="M620" s="69" t="n">
        <x:v>0</x:v>
      </x:c>
      <x:c r="N620" t="str">
        <x:v>0-3</x:v>
      </x:c>
      <x:c r="O620" t="str">
        <x:f>IF(E620&lt;&gt;TRUE,"",IF(M620&gt;H620,"W",IF(M620&lt;H620,"L","T")))</x:f>
      </x:c>
      <x:c r="P620" s="66" t="b">
        <x:v>0</x:v>
      </x:c>
      <x:c r="Q620" s="66" t="b">
        <x:v>1</x:v>
      </x:c>
      <x:c r="R620" t="str">
        <x:v>Maverik Stadium</x:v>
      </x:c>
      <x:c r="S620" t="str">
        <x:v>USA Net</x:v>
      </x:c>
      <x:c r="T620"/>
      <x:c r="U620" s="70"/>
      <x:c r="V620" s="70"/>
      <x:c r="W620"/>
      <x:c r="X620" t="str">
        <x:v>https://www.espn.com/college-football/game/_/gameId/401860910</x:v>
      </x:c>
    </x:row>
    <x:row r="621">
      <x:c r="A621" t="str">
        <x:v>CFB</x:v>
      </x:c>
      <x:c r="B621" t="n">
        <x:v>9</x:v>
      </x:c>
      <x:c r="C621" s="68" t="n">
        <x:v>46326.8125</x:v>
      </x:c>
      <x:c r="D621" s="71" t="str">
        <x:v>pre</x:v>
      </x:c>
      <x:c r="E621" s="72" t="b">
        <x:v>0</x:v>
      </x:c>
      <x:c r="F621" t="str">
        <x:v>UTEP Miners</x:v>
      </x:c>
      <x:c r="G621" t="str">
        <x:v>UTEP</x:v>
      </x:c>
      <x:c r="H621" s="69" t="n">
        <x:v>0</x:v>
      </x:c>
      <x:c r="I621" t="str">
        <x:v>1-2</x:v>
      </x:c>
      <x:c r="J621" t="str">
        <x:f>IF(E621&lt;&gt;TRUE,"",IF(H621&gt;M621,"W",IF(H621&lt;M621,"L","T")))</x:f>
      </x:c>
      <x:c r="K621" t="str">
        <x:v>North Dakota State Bison</x:v>
      </x:c>
      <x:c r="L621" t="str">
        <x:v>NDSU</x:v>
      </x:c>
      <x:c r="M621" s="69" t="n">
        <x:v>0</x:v>
      </x:c>
      <x:c r="N621" t="str">
        <x:v>4-0</x:v>
      </x:c>
      <x:c r="O621" t="str">
        <x:f>IF(E621&lt;&gt;TRUE,"",IF(M621&gt;H621,"W",IF(M621&lt;H621,"L","T")))</x:f>
      </x:c>
      <x:c r="P621" s="66" t="b">
        <x:v>0</x:v>
      </x:c>
      <x:c r="Q621" s="66" t="b">
        <x:v>1</x:v>
      </x:c>
      <x:c r="R621" t="str">
        <x:v>Fargodome</x:v>
      </x:c>
      <x:c r="S621" t="str">
        <x:v>MW+</x:v>
      </x:c>
      <x:c r="T621"/>
      <x:c r="U621" s="70"/>
      <x:c r="V621" s="70"/>
      <x:c r="W621"/>
      <x:c r="X621" t="str">
        <x:v>https://www.espn.com/college-football/game/_/gameId/401864531</x:v>
      </x:c>
    </x:row>
    <x:row r="622">
      <x:c r="A622" t="str">
        <x:v>CFB</x:v>
      </x:c>
      <x:c r="B622" t="n">
        <x:v>9</x:v>
      </x:c>
      <x:c r="C622" s="68" t="n">
        <x:v>46326.8125</x:v>
      </x:c>
      <x:c r="D622" s="71" t="str">
        <x:v>pre</x:v>
      </x:c>
      <x:c r="E622" s="72" t="b">
        <x:v>0</x:v>
      </x:c>
      <x:c r="F622" t="str">
        <x:v>Florida International Panthers</x:v>
      </x:c>
      <x:c r="G622" t="str">
        <x:v>FIU</x:v>
      </x:c>
      <x:c r="H622" s="69" t="n">
        <x:v>0</x:v>
      </x:c>
      <x:c r="I622" t="str">
        <x:v>1-2</x:v>
      </x:c>
      <x:c r="J622" t="str">
        <x:f>IF(E622&lt;&gt;TRUE,"",IF(H622&gt;M622,"W",IF(H622&lt;M622,"L","T")))</x:f>
      </x:c>
      <x:c r="K622" t="str">
        <x:v>Liberty Flames</x:v>
      </x:c>
      <x:c r="L622" t="str">
        <x:v>LIB</x:v>
      </x:c>
      <x:c r="M622" s="69" t="n">
        <x:v>0</x:v>
      </x:c>
      <x:c r="N622" t="str">
        <x:v>2-1</x:v>
      </x:c>
      <x:c r="O622" t="str">
        <x:f>IF(E622&lt;&gt;TRUE,"",IF(M622&gt;H622,"W",IF(M622&lt;H622,"L","T")))</x:f>
      </x:c>
      <x:c r="P622" s="66" t="b">
        <x:v>0</x:v>
      </x:c>
      <x:c r="Q622" s="66" t="b">
        <x:v>1</x:v>
      </x:c>
      <x:c r="R622" t="str">
        <x:v>Williams Stadium (VA)</x:v>
      </x:c>
      <x:c r="S622" t="str">
        <x:v>CBSSN</x:v>
      </x:c>
      <x:c r="T622"/>
      <x:c r="U622" s="70"/>
      <x:c r="V622" s="70"/>
      <x:c r="W622"/>
      <x:c r="X622" t="str">
        <x:v>https://www.espn.com/college-football/game/_/gameId/401871059</x:v>
      </x:c>
    </x:row>
    <x:row r="623">
      <x:c r="A623" t="str">
        <x:v>CFB</x:v>
      </x:c>
      <x:c r="B623" t="n">
        <x:v>9</x:v>
      </x:c>
      <x:c r="C623" s="68" t="n">
        <x:v>46326.958333333336</x:v>
      </x:c>
      <x:c r="D623" s="71" t="str">
        <x:v>pre</x:v>
      </x:c>
      <x:c r="E623" s="72" t="b">
        <x:v>0</x:v>
      </x:c>
      <x:c r="F623" t="str">
        <x:v>Washington State Cougars</x:v>
      </x:c>
      <x:c r="G623" t="str">
        <x:v>WSU</x:v>
      </x:c>
      <x:c r="H623" s="69" t="n">
        <x:v>0</x:v>
      </x:c>
      <x:c r="I623" t="str">
        <x:v>1-2</x:v>
      </x:c>
      <x:c r="J623" t="str">
        <x:f>IF(E623&lt;&gt;TRUE,"",IF(H623&gt;M623,"W",IF(H623&lt;M623,"L","T")))</x:f>
      </x:c>
      <x:c r="K623" t="str">
        <x:v>San Diego State Aztecs</x:v>
      </x:c>
      <x:c r="L623" t="str">
        <x:v>SDSU</x:v>
      </x:c>
      <x:c r="M623" s="69" t="n">
        <x:v>0</x:v>
      </x:c>
      <x:c r="N623" t="str">
        <x:v>1-2</x:v>
      </x:c>
      <x:c r="O623" t="str">
        <x:f>IF(E623&lt;&gt;TRUE,"",IF(M623&gt;H623,"W",IF(M623&lt;H623,"L","T")))</x:f>
      </x:c>
      <x:c r="P623" s="66" t="b">
        <x:v>0</x:v>
      </x:c>
      <x:c r="Q623" s="66" t="b">
        <x:v>1</x:v>
      </x:c>
      <x:c r="R623" t="str">
        <x:v>Snapdragon Stadium</x:v>
      </x:c>
      <x:c r="S623" t="str">
        <x:v>CBSSN</x:v>
      </x:c>
      <x:c r="T623"/>
      <x:c r="U623" s="70"/>
      <x:c r="V623" s="70"/>
      <x:c r="W623"/>
      <x:c r="X623" t="str">
        <x:v>https://www.espn.com/college-football/game/_/gameId/401860909</x:v>
      </x:c>
    </x:row>
    <x:row r="624">
      <x:c r="A624" t="str">
        <x:v>CFB</x:v>
      </x:c>
      <x:c r="B624" t="n">
        <x:v>9</x:v>
      </x:c>
      <x:c r="C624" s="68" t="n">
        <x:v>46327.083333333336</x:v>
      </x:c>
      <x:c r="D624" s="71" t="str">
        <x:v>pre</x:v>
      </x:c>
      <x:c r="E624" s="72" t="b">
        <x:v>0</x:v>
      </x:c>
      <x:c r="F624" t="str">
        <x:v>Texas State Bobcats</x:v>
      </x:c>
      <x:c r="G624" t="str">
        <x:v>TXST</x:v>
      </x:c>
      <x:c r="H624" s="69" t="n">
        <x:v>0</x:v>
      </x:c>
      <x:c r="I624" t="str">
        <x:v>1-2</x:v>
      </x:c>
      <x:c r="J624" t="str">
        <x:f>IF(E624&lt;&gt;TRUE,"",IF(H624&gt;M624,"W",IF(H624&lt;M624,"L","T")))</x:f>
      </x:c>
      <x:c r="K624" t="str">
        <x:v>Boise State Broncos</x:v>
      </x:c>
      <x:c r="L624" t="str">
        <x:v>BOIS</x:v>
      </x:c>
      <x:c r="M624" s="69" t="n">
        <x:v>0</x:v>
      </x:c>
      <x:c r="N624" t="str">
        <x:v>2-1</x:v>
      </x:c>
      <x:c r="O624" t="str">
        <x:f>IF(E624&lt;&gt;TRUE,"",IF(M624&gt;H624,"W",IF(M624&lt;H624,"L","T")))</x:f>
      </x:c>
      <x:c r="P624" s="66" t="b">
        <x:v>0</x:v>
      </x:c>
      <x:c r="Q624" s="66" t="b">
        <x:v>1</x:v>
      </x:c>
      <x:c r="R624" t="str">
        <x:v>Albertsons Stadium</x:v>
      </x:c>
      <x:c r="S624" t="str">
        <x:v>CW</x:v>
      </x:c>
      <x:c r="T624"/>
      <x:c r="U624" s="70"/>
      <x:c r="V624" s="70"/>
      <x:c r="W624"/>
      <x:c r="X624" t="str">
        <x:v>https://www.espn.com/college-football/game/_/gameId/401860908</x:v>
      </x:c>
    </x:row>
    <x:row r="625">
      <x:c r="A625" t="str">
        <x:v>CFB</x:v>
      </x:c>
      <x:c r="B625" t="n">
        <x:v>9</x:v>
      </x:c>
      <x:c r="C625" s="68" t="n">
        <x:v>46327.104166666664</x:v>
      </x:c>
      <x:c r="D625" s="71" t="str">
        <x:v>pre</x:v>
      </x:c>
      <x:c r="E625" s="72" t="b">
        <x:v>0</x:v>
      </x:c>
      <x:c r="F625" t="str">
        <x:v>Northern Illinois Huskies</x:v>
      </x:c>
      <x:c r="G625" t="str">
        <x:v>NIU</x:v>
      </x:c>
      <x:c r="H625" s="69" t="n">
        <x:v>0</x:v>
      </x:c>
      <x:c r="I625" t="str">
        <x:v>0-3</x:v>
      </x:c>
      <x:c r="J625" t="str">
        <x:f>IF(E625&lt;&gt;TRUE,"",IF(H625&gt;M625,"W",IF(H625&lt;M625,"L","T")))</x:f>
      </x:c>
      <x:c r="K625" t="str">
        <x:v>UNLV Rebels</x:v>
      </x:c>
      <x:c r="L625" t="str">
        <x:v>UNLV</x:v>
      </x:c>
      <x:c r="M625" s="69" t="n">
        <x:v>0</x:v>
      </x:c>
      <x:c r="N625" t="str">
        <x:v>1-2</x:v>
      </x:c>
      <x:c r="O625" t="str">
        <x:f>IF(E625&lt;&gt;TRUE,"",IF(M625&gt;H625,"W",IF(M625&lt;H625,"L","T")))</x:f>
      </x:c>
      <x:c r="P625" s="66" t="b">
        <x:v>0</x:v>
      </x:c>
      <x:c r="Q625" s="66" t="b">
        <x:v>1</x:v>
      </x:c>
      <x:c r="R625" t="str">
        <x:v>Allegiant Stadium</x:v>
      </x:c>
      <x:c r="S625" t="str">
        <x:v>CBSSN</x:v>
      </x:c>
      <x:c r="T625"/>
      <x:c r="U625" s="70"/>
      <x:c r="V625" s="70"/>
      <x:c r="W625"/>
      <x:c r="X625" t="str">
        <x:v>https://www.espn.com/college-football/game/_/gameId/401864530</x:v>
      </x:c>
    </x:row>
    <x:row r="626">
      <x:c r="A626" t="str">
        <x:v>CFB</x:v>
      </x:c>
      <x:c r="B626" t="n">
        <x:v>10</x:v>
      </x:c>
      <x:c r="C626" s="68" t="n">
        <x:v>46330</x:v>
      </x:c>
      <x:c r="D626" s="71" t="str">
        <x:v>pre</x:v>
      </x:c>
      <x:c r="E626" s="72" t="b">
        <x:v>0</x:v>
      </x:c>
      <x:c r="F626" t="str">
        <x:v>Ohio Bobcats</x:v>
      </x:c>
      <x:c r="G626" t="str">
        <x:v>OHIO</x:v>
      </x:c>
      <x:c r="H626" s="69" t="n">
        <x:v>0</x:v>
      </x:c>
      <x:c r="I626" t="str">
        <x:v>1-2</x:v>
      </x:c>
      <x:c r="J626" t="str">
        <x:f>IF(E626&lt;&gt;TRUE,"",IF(H626&gt;M626,"W",IF(H626&lt;M626,"L","T")))</x:f>
      </x:c>
      <x:c r="K626" t="str">
        <x:v>Akron Zips</x:v>
      </x:c>
      <x:c r="L626" t="str">
        <x:v>AKR</x:v>
      </x:c>
      <x:c r="M626" s="69" t="n">
        <x:v>0</x:v>
      </x:c>
      <x:c r="N626" t="str">
        <x:v>1-2</x:v>
      </x:c>
      <x:c r="O626" t="str">
        <x:f>IF(E626&lt;&gt;TRUE,"",IF(M626&gt;H626,"W",IF(M626&lt;H626,"L","T")))</x:f>
      </x:c>
      <x:c r="P626" s="66" t="b">
        <x:v>0</x:v>
      </x:c>
      <x:c r="Q626" s="66" t="b">
        <x:v>1</x:v>
      </x:c>
      <x:c r="R626" t="str">
        <x:v>InfoCision Stadium</x:v>
      </x:c>
      <x:c r="S626" t="str"/>
      <x:c r="T626"/>
      <x:c r="U626" s="70"/>
      <x:c r="V626" s="70"/>
      <x:c r="W626"/>
      <x:c r="X626" t="str">
        <x:v>https://www.espn.com/college-football/game/_/gameId/401866453</x:v>
      </x:c>
    </x:row>
    <x:row r="627">
      <x:c r="A627" t="str">
        <x:v>CFB</x:v>
      </x:c>
      <x:c r="B627" t="n">
        <x:v>10</x:v>
      </x:c>
      <x:c r="C627" s="68" t="n">
        <x:v>46330</x:v>
      </x:c>
      <x:c r="D627" s="71" t="str">
        <x:v>pre</x:v>
      </x:c>
      <x:c r="E627" s="72" t="b">
        <x:v>0</x:v>
      </x:c>
      <x:c r="F627" t="str">
        <x:v>Buffalo Bulls</x:v>
      </x:c>
      <x:c r="G627" t="str">
        <x:v>BUFF</x:v>
      </x:c>
      <x:c r="H627" s="69" t="n">
        <x:v>0</x:v>
      </x:c>
      <x:c r="I627" t="str">
        <x:v>1-2</x:v>
      </x:c>
      <x:c r="J627" t="str">
        <x:f>IF(E627&lt;&gt;TRUE,"",IF(H627&gt;M627,"W",IF(H627&lt;M627,"L","T")))</x:f>
      </x:c>
      <x:c r="K627" t="str">
        <x:v>Miami (OH) RedHawks</x:v>
      </x:c>
      <x:c r="L627" t="str">
        <x:v>M-OH</x:v>
      </x:c>
      <x:c r="M627" s="69" t="n">
        <x:v>0</x:v>
      </x:c>
      <x:c r="N627" t="str">
        <x:v>1-2</x:v>
      </x:c>
      <x:c r="O627" t="str">
        <x:f>IF(E627&lt;&gt;TRUE,"",IF(M627&gt;H627,"W",IF(M627&lt;H627,"L","T")))</x:f>
      </x:c>
      <x:c r="P627" s="66" t="b">
        <x:v>0</x:v>
      </x:c>
      <x:c r="Q627" s="66" t="b">
        <x:v>1</x:v>
      </x:c>
      <x:c r="R627" t="str">
        <x:v>Yager Stadium</x:v>
      </x:c>
      <x:c r="S627" t="str"/>
      <x:c r="T627"/>
      <x:c r="U627" s="70"/>
      <x:c r="V627" s="70"/>
      <x:c r="W627"/>
      <x:c r="X627" t="str">
        <x:v>https://www.espn.com/college-football/game/_/gameId/401866454</x:v>
      </x:c>
    </x:row>
    <x:row r="628">
      <x:c r="A628" t="str">
        <x:v>CFB</x:v>
      </x:c>
      <x:c r="B628" t="n">
        <x:v>10</x:v>
      </x:c>
      <x:c r="C628" s="68" t="n">
        <x:v>46330.208333333336</x:v>
      </x:c>
      <x:c r="D628" s="71" t="str">
        <x:v>pre</x:v>
      </x:c>
      <x:c r="E628" s="72" t="b">
        <x:v>0</x:v>
      </x:c>
      <x:c r="F628" t="str">
        <x:v>Ball State Cardinals</x:v>
      </x:c>
      <x:c r="G628" t="str">
        <x:v>BALL</x:v>
      </x:c>
      <x:c r="H628" s="69" t="n">
        <x:v>0</x:v>
      </x:c>
      <x:c r="I628" t="str">
        <x:v>1-2</x:v>
      </x:c>
      <x:c r="J628" t="str">
        <x:f>IF(E628&lt;&gt;TRUE,"",IF(H628&gt;M628,"W",IF(H628&lt;M628,"L","T")))</x:f>
      </x:c>
      <x:c r="K628" t="str">
        <x:v>Massachusetts Minutemen</x:v>
      </x:c>
      <x:c r="L628" t="str">
        <x:v>MASS</x:v>
      </x:c>
      <x:c r="M628" s="69" t="n">
        <x:v>0</x:v>
      </x:c>
      <x:c r="N628" t="str">
        <x:v>3-0</x:v>
      </x:c>
      <x:c r="O628" t="str">
        <x:f>IF(E628&lt;&gt;TRUE,"",IF(M628&gt;H628,"W",IF(M628&lt;H628,"L","T")))</x:f>
      </x:c>
      <x:c r="P628" s="66" t="b">
        <x:v>0</x:v>
      </x:c>
      <x:c r="Q628" s="66" t="b">
        <x:v>1</x:v>
      </x:c>
      <x:c r="R628" t="str">
        <x:v>Warren McGuirk Alumni Stadium</x:v>
      </x:c>
      <x:c r="S628" t="str"/>
      <x:c r="T628"/>
      <x:c r="U628" s="70"/>
      <x:c r="V628" s="70"/>
      <x:c r="W628"/>
      <x:c r="X628" t="str">
        <x:v>https://www.espn.com/college-football/game/_/gameId/401866455</x:v>
      </x:c>
    </x:row>
    <x:row r="629">
      <x:c r="A629" t="str">
        <x:v>CFB</x:v>
      </x:c>
      <x:c r="B629" t="n">
        <x:v>10</x:v>
      </x:c>
      <x:c r="C629" s="68" t="n">
        <x:v>46330.208333333336</x:v>
      </x:c>
      <x:c r="D629" s="71" t="str">
        <x:v>pre</x:v>
      </x:c>
      <x:c r="E629" s="72" t="b">
        <x:v>0</x:v>
      </x:c>
      <x:c r="F629" t="str">
        <x:v>Central Michigan Chippewas</x:v>
      </x:c>
      <x:c r="G629" t="str">
        <x:v>CMU</x:v>
      </x:c>
      <x:c r="H629" s="69" t="n">
        <x:v>0</x:v>
      </x:c>
      <x:c r="I629" t="str">
        <x:v>2-1</x:v>
      </x:c>
      <x:c r="J629" t="str">
        <x:f>IF(E629&lt;&gt;TRUE,"",IF(H629&gt;M629,"W",IF(H629&lt;M629,"L","T")))</x:f>
      </x:c>
      <x:c r="K629" t="str">
        <x:v>Eastern Michigan Eagles</x:v>
      </x:c>
      <x:c r="L629" t="str">
        <x:v>EMU</x:v>
      </x:c>
      <x:c r="M629" s="69" t="n">
        <x:v>0</x:v>
      </x:c>
      <x:c r="N629" t="str">
        <x:v>1-3</x:v>
      </x:c>
      <x:c r="O629" t="str">
        <x:f>IF(E629&lt;&gt;TRUE,"",IF(M629&gt;H629,"W",IF(M629&lt;H629,"L","T")))</x:f>
      </x:c>
      <x:c r="P629" s="66" t="b">
        <x:v>1</x:v>
      </x:c>
      <x:c r="Q629" s="66" t="b">
        <x:v>1</x:v>
      </x:c>
      <x:c r="R629" t="str">
        <x:v>Ford Field</x:v>
      </x:c>
      <x:c r="S629" t="str"/>
      <x:c r="T629"/>
      <x:c r="U629" s="70"/>
      <x:c r="V629" s="70"/>
      <x:c r="W629"/>
      <x:c r="X629" t="str">
        <x:v>https://www.espn.com/college-football/game/_/gameId/401866456</x:v>
      </x:c>
    </x:row>
    <x:row r="630">
      <x:c r="A630" t="str">
        <x:v>CFB</x:v>
      </x:c>
      <x:c r="B630" t="n">
        <x:v>10</x:v>
      </x:c>
      <x:c r="C630" s="68" t="n">
        <x:v>46330.208333333336</x:v>
      </x:c>
      <x:c r="D630" s="71" t="str">
        <x:v>pre</x:v>
      </x:c>
      <x:c r="E630" s="72" t="b">
        <x:v>0</x:v>
      </x:c>
      <x:c r="F630" t="str">
        <x:v>Toledo Rockets</x:v>
      </x:c>
      <x:c r="G630" t="str">
        <x:v>TOL</x:v>
      </x:c>
      <x:c r="H630" s="69" t="n">
        <x:v>0</x:v>
      </x:c>
      <x:c r="I630" t="str">
        <x:v>2-1</x:v>
      </x:c>
      <x:c r="J630" t="str">
        <x:f>IF(E630&lt;&gt;TRUE,"",IF(H630&gt;M630,"W",IF(H630&lt;M630,"L","T")))</x:f>
      </x:c>
      <x:c r="K630" t="str">
        <x:v>Sacramento State Hornets</x:v>
      </x:c>
      <x:c r="L630" t="str">
        <x:v>SAC</x:v>
      </x:c>
      <x:c r="M630" s="69" t="n">
        <x:v>0</x:v>
      </x:c>
      <x:c r="N630" t="str">
        <x:v>1-3</x:v>
      </x:c>
      <x:c r="O630" t="str">
        <x:f>IF(E630&lt;&gt;TRUE,"",IF(M630&gt;H630,"W",IF(M630&lt;H630,"L","T")))</x:f>
      </x:c>
      <x:c r="P630" s="66" t="b">
        <x:v>0</x:v>
      </x:c>
      <x:c r="Q630" s="66" t="b">
        <x:v>1</x:v>
      </x:c>
      <x:c r="R630" t="str">
        <x:v>Hornet Stadium</x:v>
      </x:c>
      <x:c r="S630" t="str"/>
      <x:c r="T630"/>
      <x:c r="U630" s="70"/>
      <x:c r="V630" s="70"/>
      <x:c r="W630"/>
      <x:c r="X630" t="str">
        <x:v>https://www.espn.com/college-football/game/_/gameId/401866457</x:v>
      </x:c>
    </x:row>
    <x:row r="631">
      <x:c r="A631" t="str">
        <x:v>CFB</x:v>
      </x:c>
      <x:c r="B631" t="n">
        <x:v>10</x:v>
      </x:c>
      <x:c r="C631" s="68" t="n">
        <x:v>46332.041666666664</x:v>
      </x:c>
      <x:c r="D631" s="71" t="str">
        <x:v>pre</x:v>
      </x:c>
      <x:c r="E631" s="72" t="b">
        <x:v>0</x:v>
      </x:c>
      <x:c r="F631" t="str">
        <x:v>UTSA Roadrunners</x:v>
      </x:c>
      <x:c r="G631" t="str">
        <x:v>UTSA</x:v>
      </x:c>
      <x:c r="H631" s="69" t="n">
        <x:v>0</x:v>
      </x:c>
      <x:c r="I631" t="str">
        <x:v>2-1</x:v>
      </x:c>
      <x:c r="J631" t="str">
        <x:f>IF(E631&lt;&gt;TRUE,"",IF(H631&gt;M631,"W",IF(H631&lt;M631,"L","T")))</x:f>
      </x:c>
      <x:c r="K631" t="str">
        <x:v>Florida Atlantic Owls</x:v>
      </x:c>
      <x:c r="L631" t="str">
        <x:v>FAU</x:v>
      </x:c>
      <x:c r="M631" s="69" t="n">
        <x:v>0</x:v>
      </x:c>
      <x:c r="N631" t="str">
        <x:v>2-1</x:v>
      </x:c>
      <x:c r="O631" t="str">
        <x:f>IF(E631&lt;&gt;TRUE,"",IF(M631&gt;H631,"W",IF(M631&lt;H631,"L","T")))</x:f>
      </x:c>
      <x:c r="P631" s="66" t="b">
        <x:v>0</x:v>
      </x:c>
      <x:c r="Q631" s="66" t="b">
        <x:v>1</x:v>
      </x:c>
      <x:c r="R631" t="str">
        <x:v>Flagler Credit Union Stadium</x:v>
      </x:c>
      <x:c r="S631" t="str"/>
      <x:c r="T631"/>
      <x:c r="U631" s="70"/>
      <x:c r="V631" s="70"/>
      <x:c r="W631"/>
      <x:c r="X631" t="str">
        <x:v>https://www.espn.com/college-football/game/_/gameId/401862817</x:v>
      </x:c>
    </x:row>
    <x:row r="632">
      <x:c r="A632" t="str">
        <x:v>CFB</x:v>
      </x:c>
      <x:c r="B632" t="n">
        <x:v>10</x:v>
      </x:c>
      <x:c r="C632" s="68" t="n">
        <x:v>46332.041666666664</x:v>
      </x:c>
      <x:c r="D632" s="71" t="str">
        <x:v>pre</x:v>
      </x:c>
      <x:c r="E632" s="72" t="b">
        <x:v>0</x:v>
      </x:c>
      <x:c r="F632" t="str">
        <x:v>James Madison Dukes</x:v>
      </x:c>
      <x:c r="G632" t="str">
        <x:v>JMU</x:v>
      </x:c>
      <x:c r="H632" s="69" t="n">
        <x:v>0</x:v>
      </x:c>
      <x:c r="I632" t="str">
        <x:v>3-0</x:v>
      </x:c>
      <x:c r="J632" t="str">
        <x:f>IF(E632&lt;&gt;TRUE,"",IF(H632&gt;M632,"W",IF(H632&lt;M632,"L","T")))</x:f>
      </x:c>
      <x:c r="K632" t="str">
        <x:v>Southern Miss Golden Eagles</x:v>
      </x:c>
      <x:c r="L632" t="str">
        <x:v>USM</x:v>
      </x:c>
      <x:c r="M632" s="69" t="n">
        <x:v>0</x:v>
      </x:c>
      <x:c r="N632" t="str">
        <x:v>1-2</x:v>
      </x:c>
      <x:c r="O632" t="str">
        <x:f>IF(E632&lt;&gt;TRUE,"",IF(M632&gt;H632,"W",IF(M632&lt;H632,"L","T")))</x:f>
      </x:c>
      <x:c r="P632" s="66" t="b">
        <x:v>0</x:v>
      </x:c>
      <x:c r="Q632" s="66" t="b">
        <x:v>1</x:v>
      </x:c>
      <x:c r="R632" t="str">
        <x:v>M. M. Roberts Stadium</x:v>
      </x:c>
      <x:c r="S632" t="str"/>
      <x:c r="T632"/>
      <x:c r="U632" s="70"/>
      <x:c r="V632" s="70"/>
      <x:c r="W632"/>
      <x:c r="X632" t="str">
        <x:v>https://www.espn.com/college-football/game/_/gameId/401869964</x:v>
      </x:c>
    </x:row>
    <x:row r="633">
      <x:c r="A633" t="str">
        <x:v>CFB</x:v>
      </x:c>
      <x:c r="B633" t="n">
        <x:v>10</x:v>
      </x:c>
      <x:c r="C633" s="68" t="n">
        <x:v>46333</x:v>
      </x:c>
      <x:c r="D633" s="71" t="str">
        <x:v>pre</x:v>
      </x:c>
      <x:c r="E633" s="72" t="b">
        <x:v>0</x:v>
      </x:c>
      <x:c r="F633" t="str">
        <x:v>Virginia Tech Hokies</x:v>
      </x:c>
      <x:c r="G633" t="str">
        <x:v>VT</x:v>
      </x:c>
      <x:c r="H633" s="69" t="n">
        <x:v>0</x:v>
      </x:c>
      <x:c r="I633" t="str">
        <x:v>3-0</x:v>
      </x:c>
      <x:c r="J633" t="str">
        <x:f>IF(E633&lt;&gt;TRUE,"",IF(H633&gt;M633,"W",IF(H633&lt;M633,"L","T")))</x:f>
      </x:c>
      <x:c r="K633" t="str">
        <x:v>SMU Mustangs</x:v>
      </x:c>
      <x:c r="L633" t="str">
        <x:v>SMU</x:v>
      </x:c>
      <x:c r="M633" s="69" t="n">
        <x:v>0</x:v>
      </x:c>
      <x:c r="N633" t="str">
        <x:v>2-1</x:v>
      </x:c>
      <x:c r="O633" t="str">
        <x:f>IF(E633&lt;&gt;TRUE,"",IF(M633&gt;H633,"W",IF(M633&lt;H633,"L","T")))</x:f>
      </x:c>
      <x:c r="P633" s="66" t="b">
        <x:v>0</x:v>
      </x:c>
      <x:c r="Q633" s="66" t="b">
        <x:v>1</x:v>
      </x:c>
      <x:c r="R633" t="str">
        <x:v>Gerald J. Ford Stadium</x:v>
      </x:c>
      <x:c r="S633" t="str">
        <x:v>ESPN</x:v>
      </x:c>
      <x:c r="T633"/>
      <x:c r="U633" s="70"/>
      <x:c r="V633" s="70"/>
      <x:c r="W633"/>
      <x:c r="X633" t="str">
        <x:v>https://www.espn.com/college-football/game/_/gameId/401858288</x:v>
      </x:c>
    </x:row>
    <x:row r="634">
      <x:c r="A634" t="str">
        <x:v>CFB</x:v>
      </x:c>
      <x:c r="B634" t="n">
        <x:v>10</x:v>
      </x:c>
      <x:c r="C634" s="68" t="n">
        <x:v>46333.020833333336</x:v>
      </x:c>
      <x:c r="D634" s="71" t="str">
        <x:v>pre</x:v>
      </x:c>
      <x:c r="E634" s="72" t="b">
        <x:v>0</x:v>
      </x:c>
      <x:c r="F634" t="str">
        <x:v>South Florida Bulls</x:v>
      </x:c>
      <x:c r="G634" t="str">
        <x:v>USF</x:v>
      </x:c>
      <x:c r="H634" s="69" t="n">
        <x:v>0</x:v>
      </x:c>
      <x:c r="I634" t="str">
        <x:v>3-0</x:v>
      </x:c>
      <x:c r="J634" t="str">
        <x:f>IF(E634&lt;&gt;TRUE,"",IF(H634&gt;M634,"W",IF(H634&lt;M634,"L","T")))</x:f>
      </x:c>
      <x:c r="K634" t="str">
        <x:v>East Carolina Pirates</x:v>
      </x:c>
      <x:c r="L634" t="str">
        <x:v>ECU</x:v>
      </x:c>
      <x:c r="M634" s="69" t="n">
        <x:v>0</x:v>
      </x:c>
      <x:c r="N634" t="str">
        <x:v>1-2</x:v>
      </x:c>
      <x:c r="O634" t="str">
        <x:f>IF(E634&lt;&gt;TRUE,"",IF(M634&gt;H634,"W",IF(M634&lt;H634,"L","T")))</x:f>
      </x:c>
      <x:c r="P634" s="66" t="b">
        <x:v>0</x:v>
      </x:c>
      <x:c r="Q634" s="66" t="b">
        <x:v>1</x:v>
      </x:c>
      <x:c r="R634" t="str">
        <x:v>Dowdy-Ficklen Stadium</x:v>
      </x:c>
      <x:c r="S634" t="str">
        <x:v>ESPN2</x:v>
      </x:c>
      <x:c r="T634"/>
      <x:c r="U634" s="70"/>
      <x:c r="V634" s="70"/>
      <x:c r="W634"/>
      <x:c r="X634" t="str">
        <x:v>https://www.espn.com/college-football/game/_/gameId/401862818</x:v>
      </x:c>
    </x:row>
    <x:row r="635">
      <x:c r="A635" t="str">
        <x:v>CFB</x:v>
      </x:c>
      <x:c r="B635" t="n">
        <x:v>10</x:v>
      </x:c>
      <x:c r="C635" s="68" t="n">
        <x:v>46333.041666666664</x:v>
      </x:c>
      <x:c r="D635" s="71" t="str">
        <x:v>pre</x:v>
      </x:c>
      <x:c r="E635" s="72" t="b">
        <x:v>0</x:v>
      </x:c>
      <x:c r="F635" t="str">
        <x:v>Nebraska Cornhuskers</x:v>
      </x:c>
      <x:c r="G635" t="str">
        <x:v>NEB</x:v>
      </x:c>
      <x:c r="H635" s="69" t="n">
        <x:v>0</x:v>
      </x:c>
      <x:c r="I635" t="str">
        <x:v>3-0</x:v>
      </x:c>
      <x:c r="J635" t="str">
        <x:f>IF(E635&lt;&gt;TRUE,"",IF(H635&gt;M635,"W",IF(H635&lt;M635,"L","T")))</x:f>
      </x:c>
      <x:c r="K635" t="str">
        <x:v>Illinois Fighting Illini</x:v>
      </x:c>
      <x:c r="L635" t="str">
        <x:v>ILL</x:v>
      </x:c>
      <x:c r="M635" s="69" t="n">
        <x:v>0</x:v>
      </x:c>
      <x:c r="N635" t="str">
        <x:v>2-1</x:v>
      </x:c>
      <x:c r="O635" t="str">
        <x:f>IF(E635&lt;&gt;TRUE,"",IF(M635&gt;H635,"W",IF(M635&lt;H635,"L","T")))</x:f>
      </x:c>
      <x:c r="P635" s="66" t="b">
        <x:v>0</x:v>
      </x:c>
      <x:c r="Q635" s="66" t="b">
        <x:v>1</x:v>
      </x:c>
      <x:c r="R635" t="str">
        <x:v>Gies Memorial Stadium</x:v>
      </x:c>
      <x:c r="S635" t="str">
        <x:v>FOX</x:v>
      </x:c>
      <x:c r="T635"/>
      <x:c r="U635" s="70"/>
      <x:c r="V635" s="70"/>
      <x:c r="W635"/>
      <x:c r="X635" t="str">
        <x:v>https://www.espn.com/college-football/game/_/gameId/401858510</x:v>
      </x:c>
    </x:row>
    <x:row r="636">
      <x:c r="A636" t="str">
        <x:v>CFB</x:v>
      </x:c>
      <x:c r="B636" t="n">
        <x:v>10</x:v>
      </x:c>
      <x:c r="C636" s="68" t="n">
        <x:v>46333.083333333336</x:v>
      </x:c>
      <x:c r="D636" s="71" t="str">
        <x:v>pre</x:v>
      </x:c>
      <x:c r="E636" s="72" t="b">
        <x:v>0</x:v>
      </x:c>
      <x:c r="F636" t="str">
        <x:v>New Mexico Lobos</x:v>
      </x:c>
      <x:c r="G636" t="str">
        <x:v>UNM</x:v>
      </x:c>
      <x:c r="H636" s="69" t="n">
        <x:v>0</x:v>
      </x:c>
      <x:c r="I636" t="str">
        <x:v>2-1</x:v>
      </x:c>
      <x:c r="J636" t="str">
        <x:f>IF(E636&lt;&gt;TRUE,"",IF(H636&gt;M636,"W",IF(H636&lt;M636,"L","T")))</x:f>
      </x:c>
      <x:c r="K636" t="str">
        <x:v>Nevada Wolf Pack</x:v>
      </x:c>
      <x:c r="L636" t="str">
        <x:v>NEV</x:v>
      </x:c>
      <x:c r="M636" s="69" t="n">
        <x:v>0</x:v>
      </x:c>
      <x:c r="N636" t="str">
        <x:v>1-2</x:v>
      </x:c>
      <x:c r="O636" t="str">
        <x:f>IF(E636&lt;&gt;TRUE,"",IF(M636&gt;H636,"W",IF(M636&lt;H636,"L","T")))</x:f>
      </x:c>
      <x:c r="P636" s="66" t="b">
        <x:v>0</x:v>
      </x:c>
      <x:c r="Q636" s="66" t="b">
        <x:v>1</x:v>
      </x:c>
      <x:c r="R636" t="str">
        <x:v>Mackay Stadium</x:v>
      </x:c>
      <x:c r="S636" t="str">
        <x:v>CBSSN</x:v>
      </x:c>
      <x:c r="T636"/>
      <x:c r="U636" s="70"/>
      <x:c r="V636" s="70"/>
      <x:c r="W636"/>
      <x:c r="X636" t="str">
        <x:v>https://www.espn.com/college-football/game/_/gameId/401864533</x:v>
      </x:c>
    </x:row>
    <x:row r="637">
      <x:c r="A637" t="str">
        <x:v>CFB</x:v>
      </x:c>
      <x:c r="B637" t="n">
        <x:v>10</x:v>
      </x:c>
      <x:c r="C637" s="68" t="n">
        <x:v>46333.135416666664</x:v>
      </x:c>
      <x:c r="D637" s="71" t="str">
        <x:v>pre</x:v>
      </x:c>
      <x:c r="E637" s="72" t="b">
        <x:v>0</x:v>
      </x:c>
      <x:c r="F637" t="str">
        <x:v>TCU Horned Frogs</x:v>
      </x:c>
      <x:c r="G637" t="str">
        <x:v>TCU</x:v>
      </x:c>
      <x:c r="H637" s="69" t="n">
        <x:v>0</x:v>
      </x:c>
      <x:c r="I637" t="str">
        <x:v>2-1</x:v>
      </x:c>
      <x:c r="J637" t="str">
        <x:f>IF(E637&lt;&gt;TRUE,"",IF(H637&gt;M637,"W",IF(H637&lt;M637,"L","T")))</x:f>
      </x:c>
      <x:c r="K637" t="str">
        <x:v>Arizona Wildcats</x:v>
      </x:c>
      <x:c r="L637" t="str">
        <x:v>ARIZ</x:v>
      </x:c>
      <x:c r="M637" s="69" t="n">
        <x:v>0</x:v>
      </x:c>
      <x:c r="N637" t="str">
        <x:v>2-1</x:v>
      </x:c>
      <x:c r="O637" t="str">
        <x:f>IF(E637&lt;&gt;TRUE,"",IF(M637&gt;H637,"W",IF(M637&lt;H637,"L","T")))</x:f>
      </x:c>
      <x:c r="P637" s="66" t="b">
        <x:v>0</x:v>
      </x:c>
      <x:c r="Q637" s="66" t="b">
        <x:v>1</x:v>
      </x:c>
      <x:c r="R637" t="str">
        <x:v>Casino Del Sol Stadium</x:v>
      </x:c>
      <x:c r="S637" t="str">
        <x:v>ESPN</x:v>
      </x:c>
      <x:c r="T637"/>
      <x:c r="U637" s="70"/>
      <x:c r="V637" s="70"/>
      <x:c r="W637"/>
      <x:c r="X637" t="str">
        <x:v>https://www.espn.com/college-football/game/_/gameId/401856855</x:v>
      </x:c>
    </x:row>
    <x:row r="638">
      <x:c r="A638" t="str">
        <x:v>CFB</x:v>
      </x:c>
      <x:c r="B638" t="n">
        <x:v>10</x:v>
      </x:c>
      <x:c r="C638" s="68" t="n">
        <x:v>46333.208333333336</x:v>
      </x:c>
      <x:c r="D638" s="71" t="str">
        <x:v>pre</x:v>
      </x:c>
      <x:c r="E638" s="72" t="b">
        <x:v>0</x:v>
      </x:c>
      <x:c r="F638" t="str">
        <x:v>Arkansas Razorbacks</x:v>
      </x:c>
      <x:c r="G638" t="str">
        <x:v>ARK</x:v>
      </x:c>
      <x:c r="H638" s="69" t="n">
        <x:v>0</x:v>
      </x:c>
      <x:c r="I638" t="str">
        <x:v>1-2</x:v>
      </x:c>
      <x:c r="J638" t="str">
        <x:f>IF(E638&lt;&gt;TRUE,"",IF(H638&gt;M638,"W",IF(H638&lt;M638,"L","T")))</x:f>
      </x:c>
      <x:c r="K638" t="str">
        <x:v>Auburn Tigers</x:v>
      </x:c>
      <x:c r="L638" t="str">
        <x:v>AUB</x:v>
      </x:c>
      <x:c r="M638" s="69" t="n">
        <x:v>0</x:v>
      </x:c>
      <x:c r="N638" t="str">
        <x:v>2-1</x:v>
      </x:c>
      <x:c r="O638" t="str">
        <x:f>IF(E638&lt;&gt;TRUE,"",IF(M638&gt;H638,"W",IF(M638&lt;H638,"L","T")))</x:f>
      </x:c>
      <x:c r="P638" s="66" t="b">
        <x:v>0</x:v>
      </x:c>
      <x:c r="Q638" s="66" t="b">
        <x:v>1</x:v>
      </x:c>
      <x:c r="R638" t="str">
        <x:v>Jordan-Hare Stadium</x:v>
      </x:c>
      <x:c r="S638" t="str"/>
      <x:c r="T638"/>
      <x:c r="U638" s="70"/>
      <x:c r="V638" s="70"/>
      <x:c r="W638"/>
      <x:c r="X638" t="str">
        <x:v>https://www.espn.com/college-football/game/_/gameId/401856738</x:v>
      </x:c>
    </x:row>
    <x:row r="639">
      <x:c r="A639" t="str">
        <x:v>CFB</x:v>
      </x:c>
      <x:c r="B639" t="n">
        <x:v>10</x:v>
      </x:c>
      <x:c r="C639" s="68" t="n">
        <x:v>46333.208333333336</x:v>
      </x:c>
      <x:c r="D639" s="71" t="str">
        <x:v>pre</x:v>
      </x:c>
      <x:c r="E639" s="72" t="b">
        <x:v>0</x:v>
      </x:c>
      <x:c r="F639" t="str">
        <x:v>Oklahoma Sooners</x:v>
      </x:c>
      <x:c r="G639" t="str">
        <x:v>OU</x:v>
      </x:c>
      <x:c r="H639" s="69" t="n">
        <x:v>0</x:v>
      </x:c>
      <x:c r="I639" t="str">
        <x:v>2-1</x:v>
      </x:c>
      <x:c r="J639" t="str">
        <x:f>IF(E639&lt;&gt;TRUE,"",IF(H639&gt;M639,"W",IF(H639&lt;M639,"L","T")))</x:f>
      </x:c>
      <x:c r="K639" t="str">
        <x:v>Florida Gators</x:v>
      </x:c>
      <x:c r="L639" t="str">
        <x:v>FLA</x:v>
      </x:c>
      <x:c r="M639" s="69" t="n">
        <x:v>0</x:v>
      </x:c>
      <x:c r="N639" t="str">
        <x:v>3-0</x:v>
      </x:c>
      <x:c r="O639" t="str">
        <x:f>IF(E639&lt;&gt;TRUE,"",IF(M639&gt;H639,"W",IF(M639&lt;H639,"L","T")))</x:f>
      </x:c>
      <x:c r="P639" s="66" t="b">
        <x:v>0</x:v>
      </x:c>
      <x:c r="Q639" s="66" t="b">
        <x:v>1</x:v>
      </x:c>
      <x:c r="R639" t="str">
        <x:v>Ben Hill Griffin Stadium</x:v>
      </x:c>
      <x:c r="S639" t="str"/>
      <x:c r="T639"/>
      <x:c r="U639" s="70"/>
      <x:c r="V639" s="70"/>
      <x:c r="W639"/>
      <x:c r="X639" t="str">
        <x:v>https://www.espn.com/college-football/game/_/gameId/401856739</x:v>
      </x:c>
    </x:row>
    <x:row r="640">
      <x:c r="A640" t="str">
        <x:v>CFB</x:v>
      </x:c>
      <x:c r="B640" t="n">
        <x:v>10</x:v>
      </x:c>
      <x:c r="C640" s="68" t="n">
        <x:v>46333.208333333336</x:v>
      </x:c>
      <x:c r="D640" s="71" t="str">
        <x:v>pre</x:v>
      </x:c>
      <x:c r="E640" s="72" t="b">
        <x:v>0</x:v>
      </x:c>
      <x:c r="F640" t="str">
        <x:v>Alabama Crimson Tide</x:v>
      </x:c>
      <x:c r="G640" t="str">
        <x:v>ALA</x:v>
      </x:c>
      <x:c r="H640" s="69" t="n">
        <x:v>0</x:v>
      </x:c>
      <x:c r="I640" t="str">
        <x:v>3-0</x:v>
      </x:c>
      <x:c r="J640" t="str">
        <x:f>IF(E640&lt;&gt;TRUE,"",IF(H640&gt;M640,"W",IF(H640&lt;M640,"L","T")))</x:f>
      </x:c>
      <x:c r="K640" t="str">
        <x:v>LSU Tigers</x:v>
      </x:c>
      <x:c r="L640" t="str">
        <x:v>LSU</x:v>
      </x:c>
      <x:c r="M640" s="69" t="n">
        <x:v>0</x:v>
      </x:c>
      <x:c r="N640" t="str">
        <x:v>2-1</x:v>
      </x:c>
      <x:c r="O640" t="str">
        <x:f>IF(E640&lt;&gt;TRUE,"",IF(M640&gt;H640,"W",IF(M640&lt;H640,"L","T")))</x:f>
      </x:c>
      <x:c r="P640" s="66" t="b">
        <x:v>0</x:v>
      </x:c>
      <x:c r="Q640" s="66" t="b">
        <x:v>1</x:v>
      </x:c>
      <x:c r="R640" t="str">
        <x:v>Tiger Stadium (LA)</x:v>
      </x:c>
      <x:c r="S640" t="str"/>
      <x:c r="T640" t="str">
        <x:v>LSU -3.5</x:v>
      </x:c>
      <x:c r="U640" s="70" t="n">
        <x:v>-3.5</x:v>
      </x:c>
      <x:c r="V640" s="70" t="n">
        <x:v>54.5</x:v>
      </x:c>
      <x:c r="W640" t="str">
        <x:v>DraftKings</x:v>
      </x:c>
      <x:c r="X640" t="str">
        <x:v>https://www.espn.com/college-football/game/_/gameId/401856740</x:v>
      </x:c>
    </x:row>
    <x:row r="641">
      <x:c r="A641" t="str">
        <x:v>CFB</x:v>
      </x:c>
      <x:c r="B641" t="n">
        <x:v>10</x:v>
      </x:c>
      <x:c r="C641" s="68" t="n">
        <x:v>46333.208333333336</x:v>
      </x:c>
      <x:c r="D641" s="71" t="str">
        <x:v>pre</x:v>
      </x:c>
      <x:c r="E641" s="72" t="b">
        <x:v>0</x:v>
      </x:c>
      <x:c r="F641" t="str">
        <x:v>Georgia Bulldogs</x:v>
      </x:c>
      <x:c r="G641" t="str">
        <x:v>UGA</x:v>
      </x:c>
      <x:c r="H641" s="69" t="n">
        <x:v>0</x:v>
      </x:c>
      <x:c r="I641" t="str">
        <x:v>3-0</x:v>
      </x:c>
      <x:c r="J641" t="str">
        <x:f>IF(E641&lt;&gt;TRUE,"",IF(H641&gt;M641,"W",IF(H641&lt;M641,"L","T")))</x:f>
      </x:c>
      <x:c r="K641" t="str">
        <x:v>Ole Miss Rebels</x:v>
      </x:c>
      <x:c r="L641" t="str">
        <x:v>MISS</x:v>
      </x:c>
      <x:c r="M641" s="69" t="n">
        <x:v>0</x:v>
      </x:c>
      <x:c r="N641" t="str">
        <x:v>3-0</x:v>
      </x:c>
      <x:c r="O641" t="str">
        <x:f>IF(E641&lt;&gt;TRUE,"",IF(M641&gt;H641,"W",IF(M641&lt;H641,"L","T")))</x:f>
      </x:c>
      <x:c r="P641" s="66" t="b">
        <x:v>0</x:v>
      </x:c>
      <x:c r="Q641" s="66" t="b">
        <x:v>1</x:v>
      </x:c>
      <x:c r="R641" t="str">
        <x:v>Vaught-Hemingway Stadium</x:v>
      </x:c>
      <x:c r="S641" t="str"/>
      <x:c r="T641" t="str">
        <x:v>UGA -4.5</x:v>
      </x:c>
      <x:c r="U641" s="70" t="n">
        <x:v>4.5</x:v>
      </x:c>
      <x:c r="V641" s="70" t="n">
        <x:v>55.5</x:v>
      </x:c>
      <x:c r="W641" t="str">
        <x:v>DraftKings</x:v>
      </x:c>
      <x:c r="X641" t="str">
        <x:v>https://www.espn.com/college-football/game/_/gameId/401856741</x:v>
      </x:c>
    </x:row>
    <x:row r="642">
      <x:c r="A642" t="str">
        <x:v>CFB</x:v>
      </x:c>
      <x:c r="B642" t="n">
        <x:v>10</x:v>
      </x:c>
      <x:c r="C642" s="68" t="n">
        <x:v>46333.208333333336</x:v>
      </x:c>
      <x:c r="D642" s="71" t="str">
        <x:v>pre</x:v>
      </x:c>
      <x:c r="E642" s="72" t="b">
        <x:v>0</x:v>
      </x:c>
      <x:c r="F642" t="str">
        <x:v>Vanderbilt Commodores</x:v>
      </x:c>
      <x:c r="G642" t="str">
        <x:v>VAN</x:v>
      </x:c>
      <x:c r="H642" s="69" t="n">
        <x:v>0</x:v>
      </x:c>
      <x:c r="I642" t="str">
        <x:v>3-0</x:v>
      </x:c>
      <x:c r="J642" t="str">
        <x:f>IF(E642&lt;&gt;TRUE,"",IF(H642&gt;M642,"W",IF(H642&lt;M642,"L","T")))</x:f>
      </x:c>
      <x:c r="K642" t="str">
        <x:v>Mississippi State Bulldogs</x:v>
      </x:c>
      <x:c r="L642" t="str">
        <x:v>MSST</x:v>
      </x:c>
      <x:c r="M642" s="69" t="n">
        <x:v>0</x:v>
      </x:c>
      <x:c r="N642" t="str">
        <x:v>3-0</x:v>
      </x:c>
      <x:c r="O642" t="str">
        <x:f>IF(E642&lt;&gt;TRUE,"",IF(M642&gt;H642,"W",IF(M642&lt;H642,"L","T")))</x:f>
      </x:c>
      <x:c r="P642" s="66" t="b">
        <x:v>0</x:v>
      </x:c>
      <x:c r="Q642" s="66" t="b">
        <x:v>1</x:v>
      </x:c>
      <x:c r="R642" t="str">
        <x:v>Davis Wade Stadium</x:v>
      </x:c>
      <x:c r="S642" t="str"/>
      <x:c r="T642"/>
      <x:c r="U642" s="70"/>
      <x:c r="V642" s="70"/>
      <x:c r="W642"/>
      <x:c r="X642" t="str">
        <x:v>https://www.espn.com/college-football/game/_/gameId/401856742</x:v>
      </x:c>
    </x:row>
    <x:row r="643">
      <x:c r="A643" t="str">
        <x:v>CFB</x:v>
      </x:c>
      <x:c r="B643" t="n">
        <x:v>10</x:v>
      </x:c>
      <x:c r="C643" s="68" t="n">
        <x:v>46333.208333333336</x:v>
      </x:c>
      <x:c r="D643" s="71" t="str">
        <x:v>pre</x:v>
      </x:c>
      <x:c r="E643" s="72" t="b">
        <x:v>0</x:v>
      </x:c>
      <x:c r="F643" t="str">
        <x:v>Texas Longhorns</x:v>
      </x:c>
      <x:c r="G643" t="str">
        <x:v>TEX</x:v>
      </x:c>
      <x:c r="H643" s="69" t="n">
        <x:v>0</x:v>
      </x:c>
      <x:c r="I643" t="str">
        <x:v>3-0</x:v>
      </x:c>
      <x:c r="J643" t="str">
        <x:f>IF(E643&lt;&gt;TRUE,"",IF(H643&gt;M643,"W",IF(H643&lt;M643,"L","T")))</x:f>
      </x:c>
      <x:c r="K643" t="str">
        <x:v>Missouri Tigers</x:v>
      </x:c>
      <x:c r="L643" t="str">
        <x:v>MIZ</x:v>
      </x:c>
      <x:c r="M643" s="69" t="n">
        <x:v>0</x:v>
      </x:c>
      <x:c r="N643" t="str">
        <x:v>3-0</x:v>
      </x:c>
      <x:c r="O643" t="str">
        <x:f>IF(E643&lt;&gt;TRUE,"",IF(M643&gt;H643,"W",IF(M643&lt;H643,"L","T")))</x:f>
      </x:c>
      <x:c r="P643" s="66" t="b">
        <x:v>0</x:v>
      </x:c>
      <x:c r="Q643" s="66" t="b">
        <x:v>1</x:v>
      </x:c>
      <x:c r="R643" t="str">
        <x:v>Memorial Stadium</x:v>
      </x:c>
      <x:c r="S643" t="str"/>
      <x:c r="T643"/>
      <x:c r="U643" s="70"/>
      <x:c r="V643" s="70"/>
      <x:c r="W643"/>
      <x:c r="X643" t="str">
        <x:v>https://www.espn.com/college-football/game/_/gameId/401856743</x:v>
      </x:c>
    </x:row>
    <x:row r="644">
      <x:c r="A644" t="str">
        <x:v>CFB</x:v>
      </x:c>
      <x:c r="B644" t="n">
        <x:v>10</x:v>
      </x:c>
      <x:c r="C644" s="68" t="n">
        <x:v>46333.208333333336</x:v>
      </x:c>
      <x:c r="D644" s="71" t="str">
        <x:v>pre</x:v>
      </x:c>
      <x:c r="E644" s="72" t="b">
        <x:v>0</x:v>
      </x:c>
      <x:c r="F644" t="str">
        <x:v>Texas A&amp;M Aggies</x:v>
      </x:c>
      <x:c r="G644" t="str">
        <x:v>TA&amp;M</x:v>
      </x:c>
      <x:c r="H644" s="69" t="n">
        <x:v>0</x:v>
      </x:c>
      <x:c r="I644" t="str">
        <x:v>2-1</x:v>
      </x:c>
      <x:c r="J644" t="str">
        <x:f>IF(E644&lt;&gt;TRUE,"",IF(H644&gt;M644,"W",IF(H644&lt;M644,"L","T")))</x:f>
      </x:c>
      <x:c r="K644" t="str">
        <x:v>South Carolina Gamecocks</x:v>
      </x:c>
      <x:c r="L644" t="str">
        <x:v>SC</x:v>
      </x:c>
      <x:c r="M644" s="69" t="n">
        <x:v>0</x:v>
      </x:c>
      <x:c r="N644" t="str">
        <x:v>2-1</x:v>
      </x:c>
      <x:c r="O644" t="str">
        <x:f>IF(E644&lt;&gt;TRUE,"",IF(M644&gt;H644,"W",IF(M644&lt;H644,"L","T")))</x:f>
      </x:c>
      <x:c r="P644" s="66" t="b">
        <x:v>0</x:v>
      </x:c>
      <x:c r="Q644" s="66" t="b">
        <x:v>1</x:v>
      </x:c>
      <x:c r="R644" t="str">
        <x:v>Williams-Brice Stadium</x:v>
      </x:c>
      <x:c r="S644" t="str"/>
      <x:c r="T644"/>
      <x:c r="U644" s="70"/>
      <x:c r="V644" s="70"/>
      <x:c r="W644"/>
      <x:c r="X644" t="str">
        <x:v>https://www.espn.com/college-football/game/_/gameId/401856744</x:v>
      </x:c>
    </x:row>
    <x:row r="645">
      <x:c r="A645" t="str">
        <x:v>CFB</x:v>
      </x:c>
      <x:c r="B645" t="n">
        <x:v>10</x:v>
      </x:c>
      <x:c r="C645" s="68" t="n">
        <x:v>46333.208333333336</x:v>
      </x:c>
      <x:c r="D645" s="71" t="str">
        <x:v>pre</x:v>
      </x:c>
      <x:c r="E645" s="72" t="b">
        <x:v>0</x:v>
      </x:c>
      <x:c r="F645" t="str">
        <x:v>Kentucky Wildcats</x:v>
      </x:c>
      <x:c r="G645" t="str">
        <x:v>UK</x:v>
      </x:c>
      <x:c r="H645" s="69" t="n">
        <x:v>0</x:v>
      </x:c>
      <x:c r="I645" t="str">
        <x:v>2-1</x:v>
      </x:c>
      <x:c r="J645" t="str">
        <x:f>IF(E645&lt;&gt;TRUE,"",IF(H645&gt;M645,"W",IF(H645&lt;M645,"L","T")))</x:f>
      </x:c>
      <x:c r="K645" t="str">
        <x:v>Tennessee Volunteers</x:v>
      </x:c>
      <x:c r="L645" t="str">
        <x:v>TENN</x:v>
      </x:c>
      <x:c r="M645" s="69" t="n">
        <x:v>0</x:v>
      </x:c>
      <x:c r="N645" t="str">
        <x:v>3-0</x:v>
      </x:c>
      <x:c r="O645" t="str">
        <x:f>IF(E645&lt;&gt;TRUE,"",IF(M645&gt;H645,"W",IF(M645&lt;H645,"L","T")))</x:f>
      </x:c>
      <x:c r="P645" s="66" t="b">
        <x:v>0</x:v>
      </x:c>
      <x:c r="Q645" s="66" t="b">
        <x:v>1</x:v>
      </x:c>
      <x:c r="R645" t="str">
        <x:v>Neyland Stadium</x:v>
      </x:c>
      <x:c r="S645" t="str"/>
      <x:c r="T645"/>
      <x:c r="U645" s="70"/>
      <x:c r="V645" s="70"/>
      <x:c r="W645"/>
      <x:c r="X645" t="str">
        <x:v>https://www.espn.com/college-football/game/_/gameId/401856745</x:v>
      </x:c>
    </x:row>
    <x:row r="646">
      <x:c r="A646" t="str">
        <x:v>CFB</x:v>
      </x:c>
      <x:c r="B646" t="n">
        <x:v>10</x:v>
      </x:c>
      <x:c r="C646" s="68" t="n">
        <x:v>46333.208333333336</x:v>
      </x:c>
      <x:c r="D646" s="71" t="str">
        <x:v>pre</x:v>
      </x:c>
      <x:c r="E646" s="72" t="b">
        <x:v>0</x:v>
      </x:c>
      <x:c r="F646" t="str">
        <x:v>BYU Cougars</x:v>
      </x:c>
      <x:c r="G646" t="str">
        <x:v>BYU</x:v>
      </x:c>
      <x:c r="H646" s="69" t="n">
        <x:v>0</x:v>
      </x:c>
      <x:c r="I646" t="str">
        <x:v>3-0</x:v>
      </x:c>
      <x:c r="J646" t="str">
        <x:f>IF(E646&lt;&gt;TRUE,"",IF(H646&gt;M646,"W",IF(H646&lt;M646,"L","T")))</x:f>
      </x:c>
      <x:c r="K646" t="str">
        <x:v>Utah Utes</x:v>
      </x:c>
      <x:c r="L646" t="str">
        <x:v>UTAH</x:v>
      </x:c>
      <x:c r="M646" s="69" t="n">
        <x:v>0</x:v>
      </x:c>
      <x:c r="N646" t="str">
        <x:v>3-0</x:v>
      </x:c>
      <x:c r="O646" t="str">
        <x:f>IF(E646&lt;&gt;TRUE,"",IF(M646&gt;H646,"W",IF(M646&lt;H646,"L","T")))</x:f>
      </x:c>
      <x:c r="P646" s="66" t="b">
        <x:v>0</x:v>
      </x:c>
      <x:c r="Q646" s="66" t="b">
        <x:v>1</x:v>
      </x:c>
      <x:c r="R646" t="str">
        <x:v>Rice-Eccles Stadium</x:v>
      </x:c>
      <x:c r="S646" t="str"/>
      <x:c r="T646" t="str">
        <x:v>UTAH -3</x:v>
      </x:c>
      <x:c r="U646" s="70" t="n">
        <x:v>-3</x:v>
      </x:c>
      <x:c r="V646" s="70" t="n">
        <x:v>51.5</x:v>
      </x:c>
      <x:c r="W646" t="str">
        <x:v>DraftKings</x:v>
      </x:c>
      <x:c r="X646" t="str">
        <x:v>https://www.espn.com/college-football/game/_/gameId/401856849</x:v>
      </x:c>
    </x:row>
    <x:row r="647">
      <x:c r="A647" t="str">
        <x:v>CFB</x:v>
      </x:c>
      <x:c r="B647" t="n">
        <x:v>10</x:v>
      </x:c>
      <x:c r="C647" s="68" t="n">
        <x:v>46333.208333333336</x:v>
      </x:c>
      <x:c r="D647" s="71" t="str">
        <x:v>pre</x:v>
      </x:c>
      <x:c r="E647" s="72" t="b">
        <x:v>0</x:v>
      </x:c>
      <x:c r="F647" t="str">
        <x:v>UCF Knights</x:v>
      </x:c>
      <x:c r="G647" t="str">
        <x:v>UCF</x:v>
      </x:c>
      <x:c r="H647" s="69" t="n">
        <x:v>0</x:v>
      </x:c>
      <x:c r="I647" t="str">
        <x:v>2-1</x:v>
      </x:c>
      <x:c r="J647" t="str">
        <x:f>IF(E647&lt;&gt;TRUE,"",IF(H647&gt;M647,"W",IF(H647&lt;M647,"L","T")))</x:f>
      </x:c>
      <x:c r="K647" t="str">
        <x:v>Kansas Jayhawks</x:v>
      </x:c>
      <x:c r="L647" t="str">
        <x:v>KU</x:v>
      </x:c>
      <x:c r="M647" s="69" t="n">
        <x:v>0</x:v>
      </x:c>
      <x:c r="N647" t="str">
        <x:v>1-2</x:v>
      </x:c>
      <x:c r="O647" t="str">
        <x:f>IF(E647&lt;&gt;TRUE,"",IF(M647&gt;H647,"W",IF(M647&lt;H647,"L","T")))</x:f>
      </x:c>
      <x:c r="P647" s="66" t="b">
        <x:v>0</x:v>
      </x:c>
      <x:c r="Q647" s="66" t="b">
        <x:v>1</x:v>
      </x:c>
      <x:c r="R647" t="str">
        <x:v>David Booth Kansas Memorial Stadium</x:v>
      </x:c>
      <x:c r="S647" t="str"/>
      <x:c r="T647"/>
      <x:c r="U647" s="70"/>
      <x:c r="V647" s="70"/>
      <x:c r="W647"/>
      <x:c r="X647" t="str">
        <x:v>https://www.espn.com/college-football/game/_/gameId/401856850</x:v>
      </x:c>
    </x:row>
    <x:row r="648">
      <x:c r="A648" t="str">
        <x:v>CFB</x:v>
      </x:c>
      <x:c r="B648" t="n">
        <x:v>10</x:v>
      </x:c>
      <x:c r="C648" s="68" t="n">
        <x:v>46333.208333333336</x:v>
      </x:c>
      <x:c r="D648" s="71" t="str">
        <x:v>pre</x:v>
      </x:c>
      <x:c r="E648" s="72" t="b">
        <x:v>0</x:v>
      </x:c>
      <x:c r="F648" t="str">
        <x:v>Cincinnati Bearcats</x:v>
      </x:c>
      <x:c r="G648" t="str">
        <x:v>CIN</x:v>
      </x:c>
      <x:c r="H648" s="69" t="n">
        <x:v>0</x:v>
      </x:c>
      <x:c r="I648" t="str">
        <x:v>3-0</x:v>
      </x:c>
      <x:c r="J648" t="str">
        <x:f>IF(E648&lt;&gt;TRUE,"",IF(H648&gt;M648,"W",IF(H648&lt;M648,"L","T")))</x:f>
      </x:c>
      <x:c r="K648" t="str">
        <x:v>Houston Cougars</x:v>
      </x:c>
      <x:c r="L648" t="str">
        <x:v>HOU</x:v>
      </x:c>
      <x:c r="M648" s="69" t="n">
        <x:v>0</x:v>
      </x:c>
      <x:c r="N648" t="str">
        <x:v>2-1</x:v>
      </x:c>
      <x:c r="O648" t="str">
        <x:f>IF(E648&lt;&gt;TRUE,"",IF(M648&gt;H648,"W",IF(M648&lt;H648,"L","T")))</x:f>
      </x:c>
      <x:c r="P648" s="66" t="b">
        <x:v>0</x:v>
      </x:c>
      <x:c r="Q648" s="66" t="b">
        <x:v>1</x:v>
      </x:c>
      <x:c r="R648" t="str">
        <x:v>TDECU Stadium</x:v>
      </x:c>
      <x:c r="S648" t="str"/>
      <x:c r="T648"/>
      <x:c r="U648" s="70"/>
      <x:c r="V648" s="70"/>
      <x:c r="W648"/>
      <x:c r="X648" t="str">
        <x:v>https://www.espn.com/college-football/game/_/gameId/401856851</x:v>
      </x:c>
    </x:row>
    <x:row r="649">
      <x:c r="A649" t="str">
        <x:v>CFB</x:v>
      </x:c>
      <x:c r="B649" t="n">
        <x:v>10</x:v>
      </x:c>
      <x:c r="C649" s="68" t="n">
        <x:v>46333.208333333336</x:v>
      </x:c>
      <x:c r="D649" s="71" t="str">
        <x:v>pre</x:v>
      </x:c>
      <x:c r="E649" s="72" t="b">
        <x:v>0</x:v>
      </x:c>
      <x:c r="F649" t="str">
        <x:v>Colorado Buffaloes</x:v>
      </x:c>
      <x:c r="G649" t="str">
        <x:v>COLO</x:v>
      </x:c>
      <x:c r="H649" s="69" t="n">
        <x:v>0</x:v>
      </x:c>
      <x:c r="I649" t="str">
        <x:v>2-1</x:v>
      </x:c>
      <x:c r="J649" t="str">
        <x:f>IF(E649&lt;&gt;TRUE,"",IF(H649&gt;M649,"W",IF(H649&lt;M649,"L","T")))</x:f>
      </x:c>
      <x:c r="K649" t="str">
        <x:v>Arizona State Sun Devils</x:v>
      </x:c>
      <x:c r="L649" t="str">
        <x:v>ASU</x:v>
      </x:c>
      <x:c r="M649" s="69" t="n">
        <x:v>0</x:v>
      </x:c>
      <x:c r="N649" t="str">
        <x:v>2-1</x:v>
      </x:c>
      <x:c r="O649" t="str">
        <x:f>IF(E649&lt;&gt;TRUE,"",IF(M649&gt;H649,"W",IF(M649&lt;H649,"L","T")))</x:f>
      </x:c>
      <x:c r="P649" s="66" t="b">
        <x:v>0</x:v>
      </x:c>
      <x:c r="Q649" s="66" t="b">
        <x:v>1</x:v>
      </x:c>
      <x:c r="R649" t="str">
        <x:v>Mountain America Stadium</x:v>
      </x:c>
      <x:c r="S649" t="str"/>
      <x:c r="T649"/>
      <x:c r="U649" s="70"/>
      <x:c r="V649" s="70"/>
      <x:c r="W649"/>
      <x:c r="X649" t="str">
        <x:v>https://www.espn.com/college-football/game/_/gameId/401856852</x:v>
      </x:c>
    </x:row>
    <x:row r="650">
      <x:c r="A650" t="str">
        <x:v>CFB</x:v>
      </x:c>
      <x:c r="B650" t="n">
        <x:v>10</x:v>
      </x:c>
      <x:c r="C650" s="68" t="n">
        <x:v>46333.208333333336</x:v>
      </x:c>
      <x:c r="D650" s="71" t="str">
        <x:v>pre</x:v>
      </x:c>
      <x:c r="E650" s="72" t="b">
        <x:v>0</x:v>
      </x:c>
      <x:c r="F650" t="str">
        <x:v>Iowa State Cyclones</x:v>
      </x:c>
      <x:c r="G650" t="str">
        <x:v>ISU</x:v>
      </x:c>
      <x:c r="H650" s="69" t="n">
        <x:v>0</x:v>
      </x:c>
      <x:c r="I650" t="str">
        <x:v>2-1</x:v>
      </x:c>
      <x:c r="J650" t="str">
        <x:f>IF(E650&lt;&gt;TRUE,"",IF(H650&gt;M650,"W",IF(H650&lt;M650,"L","T")))</x:f>
      </x:c>
      <x:c r="K650" t="str">
        <x:v>Baylor Bears</x:v>
      </x:c>
      <x:c r="L650" t="str">
        <x:v>BAY</x:v>
      </x:c>
      <x:c r="M650" s="69" t="n">
        <x:v>0</x:v>
      </x:c>
      <x:c r="N650" t="str">
        <x:v>2-1</x:v>
      </x:c>
      <x:c r="O650" t="str">
        <x:f>IF(E650&lt;&gt;TRUE,"",IF(M650&gt;H650,"W",IF(M650&lt;H650,"L","T")))</x:f>
      </x:c>
      <x:c r="P650" s="66" t="b">
        <x:v>0</x:v>
      </x:c>
      <x:c r="Q650" s="66" t="b">
        <x:v>1</x:v>
      </x:c>
      <x:c r="R650" t="str">
        <x:v>McLane Stadium</x:v>
      </x:c>
      <x:c r="S650" t="str"/>
      <x:c r="T650"/>
      <x:c r="U650" s="70"/>
      <x:c r="V650" s="70"/>
      <x:c r="W650"/>
      <x:c r="X650" t="str">
        <x:v>https://www.espn.com/college-football/game/_/gameId/401856853</x:v>
      </x:c>
    </x:row>
    <x:row r="651">
      <x:c r="A651" t="str">
        <x:v>CFB</x:v>
      </x:c>
      <x:c r="B651" t="n">
        <x:v>10</x:v>
      </x:c>
      <x:c r="C651" s="68" t="n">
        <x:v>46333.208333333336</x:v>
      </x:c>
      <x:c r="D651" s="71" t="str">
        <x:v>pre</x:v>
      </x:c>
      <x:c r="E651" s="72" t="b">
        <x:v>0</x:v>
      </x:c>
      <x:c r="F651" t="str">
        <x:v>Oklahoma State Cowboys</x:v>
      </x:c>
      <x:c r="G651" t="str">
        <x:v>OKST</x:v>
      </x:c>
      <x:c r="H651" s="69" t="n">
        <x:v>0</x:v>
      </x:c>
      <x:c r="I651" t="str">
        <x:v>2-1</x:v>
      </x:c>
      <x:c r="J651" t="str">
        <x:f>IF(E651&lt;&gt;TRUE,"",IF(H651&gt;M651,"W",IF(H651&lt;M651,"L","T")))</x:f>
      </x:c>
      <x:c r="K651" t="str">
        <x:v>Kansas State Wildcats</x:v>
      </x:c>
      <x:c r="L651" t="str">
        <x:v>KSU</x:v>
      </x:c>
      <x:c r="M651" s="69" t="n">
        <x:v>0</x:v>
      </x:c>
      <x:c r="N651" t="str">
        <x:v>3-0</x:v>
      </x:c>
      <x:c r="O651" t="str">
        <x:f>IF(E651&lt;&gt;TRUE,"",IF(M651&gt;H651,"W",IF(M651&lt;H651,"L","T")))</x:f>
      </x:c>
      <x:c r="P651" s="66" t="b">
        <x:v>0</x:v>
      </x:c>
      <x:c r="Q651" s="66" t="b">
        <x:v>1</x:v>
      </x:c>
      <x:c r="R651" t="str">
        <x:v>Bill Snyder Family Stadium</x:v>
      </x:c>
      <x:c r="S651" t="str"/>
      <x:c r="T651"/>
      <x:c r="U651" s="70"/>
      <x:c r="V651" s="70"/>
      <x:c r="W651"/>
      <x:c r="X651" t="str">
        <x:v>https://www.espn.com/college-football/game/_/gameId/401856854</x:v>
      </x:c>
    </x:row>
    <x:row r="652">
      <x:c r="A652" t="str">
        <x:v>CFB</x:v>
      </x:c>
      <x:c r="B652" t="n">
        <x:v>10</x:v>
      </x:c>
      <x:c r="C652" s="68" t="n">
        <x:v>46333.208333333336</x:v>
      </x:c>
      <x:c r="D652" s="71" t="str">
        <x:v>pre</x:v>
      </x:c>
      <x:c r="E652" s="72" t="b">
        <x:v>0</x:v>
      </x:c>
      <x:c r="F652" t="str">
        <x:v>West Virginia Mountaineers</x:v>
      </x:c>
      <x:c r="G652" t="str">
        <x:v>WVU</x:v>
      </x:c>
      <x:c r="H652" s="69" t="n">
        <x:v>0</x:v>
      </x:c>
      <x:c r="I652" t="str">
        <x:v>3-0</x:v>
      </x:c>
      <x:c r="J652" t="str">
        <x:f>IF(E652&lt;&gt;TRUE,"",IF(H652&gt;M652,"W",IF(H652&lt;M652,"L","T")))</x:f>
      </x:c>
      <x:c r="K652" t="str">
        <x:v>Texas Tech Red Raiders</x:v>
      </x:c>
      <x:c r="L652" t="str">
        <x:v>TTU</x:v>
      </x:c>
      <x:c r="M652" s="69" t="n">
        <x:v>0</x:v>
      </x:c>
      <x:c r="N652" t="str">
        <x:v>3-0</x:v>
      </x:c>
      <x:c r="O652" t="str">
        <x:f>IF(E652&lt;&gt;TRUE,"",IF(M652&gt;H652,"W",IF(M652&lt;H652,"L","T")))</x:f>
      </x:c>
      <x:c r="P652" s="66" t="b">
        <x:v>0</x:v>
      </x:c>
      <x:c r="Q652" s="66" t="b">
        <x:v>1</x:v>
      </x:c>
      <x:c r="R652" t="str">
        <x:v>Galaxy Stadium</x:v>
      </x:c>
      <x:c r="S652" t="str"/>
      <x:c r="T652"/>
      <x:c r="U652" s="70"/>
      <x:c r="V652" s="70"/>
      <x:c r="W652"/>
      <x:c r="X652" t="str">
        <x:v>https://www.espn.com/college-football/game/_/gameId/401856856</x:v>
      </x:c>
    </x:row>
    <x:row r="653">
      <x:c r="A653" t="str">
        <x:v>CFB</x:v>
      </x:c>
      <x:c r="B653" t="n">
        <x:v>10</x:v>
      </x:c>
      <x:c r="C653" s="68" t="n">
        <x:v>46333.208333333336</x:v>
      </x:c>
      <x:c r="D653" s="71" t="str">
        <x:v>pre</x:v>
      </x:c>
      <x:c r="E653" s="72" t="b">
        <x:v>0</x:v>
      </x:c>
      <x:c r="F653" t="str">
        <x:v>Clemson Tigers</x:v>
      </x:c>
      <x:c r="G653" t="str">
        <x:v>CLEM</x:v>
      </x:c>
      <x:c r="H653" s="69" t="n">
        <x:v>0</x:v>
      </x:c>
      <x:c r="I653" t="str">
        <x:v>2-1</x:v>
      </x:c>
      <x:c r="J653" t="str">
        <x:f>IF(E653&lt;&gt;TRUE,"",IF(H653&gt;M653,"W",IF(H653&lt;M653,"L","T")))</x:f>
      </x:c>
      <x:c r="K653" t="str">
        <x:v>Syracuse Orange</x:v>
      </x:c>
      <x:c r="L653" t="str">
        <x:v>SYR</x:v>
      </x:c>
      <x:c r="M653" s="69" t="n">
        <x:v>0</x:v>
      </x:c>
      <x:c r="N653" t="str">
        <x:v>1-2</x:v>
      </x:c>
      <x:c r="O653" t="str">
        <x:f>IF(E653&lt;&gt;TRUE,"",IF(M653&gt;H653,"W",IF(M653&lt;H653,"L","T")))</x:f>
      </x:c>
      <x:c r="P653" s="66" t="b">
        <x:v>0</x:v>
      </x:c>
      <x:c r="Q653" s="66" t="b">
        <x:v>1</x:v>
      </x:c>
      <x:c r="R653" t="str">
        <x:v>JMA Wireless Dome</x:v>
      </x:c>
      <x:c r="S653" t="str"/>
      <x:c r="T653"/>
      <x:c r="U653" s="70"/>
      <x:c r="V653" s="70"/>
      <x:c r="W653"/>
      <x:c r="X653" t="str">
        <x:v>https://www.espn.com/college-football/game/_/gameId/401858285</x:v>
      </x:c>
    </x:row>
    <x:row r="654">
      <x:c r="A654" t="str">
        <x:v>CFB</x:v>
      </x:c>
      <x:c r="B654" t="n">
        <x:v>10</x:v>
      </x:c>
      <x:c r="C654" s="68" t="n">
        <x:v>46333.208333333336</x:v>
      </x:c>
      <x:c r="D654" s="71" t="str">
        <x:v>pre</x:v>
      </x:c>
      <x:c r="E654" s="72" t="b">
        <x:v>0</x:v>
      </x:c>
      <x:c r="F654" t="str">
        <x:v>Duke Blue Devils</x:v>
      </x:c>
      <x:c r="G654" t="str">
        <x:v>DUKE</x:v>
      </x:c>
      <x:c r="H654" s="69" t="n">
        <x:v>0</x:v>
      </x:c>
      <x:c r="I654" t="str">
        <x:v>3-0</x:v>
      </x:c>
      <x:c r="J654" t="str">
        <x:f>IF(E654&lt;&gt;TRUE,"",IF(H654&gt;M654,"W",IF(H654&lt;M654,"L","T")))</x:f>
      </x:c>
      <x:c r="K654" t="str">
        <x:v>NC State Wolfpack</x:v>
      </x:c>
      <x:c r="L654" t="str">
        <x:v>NCSU</x:v>
      </x:c>
      <x:c r="M654" s="69" t="n">
        <x:v>0</x:v>
      </x:c>
      <x:c r="N654" t="str">
        <x:v>1-2</x:v>
      </x:c>
      <x:c r="O654" t="str">
        <x:f>IF(E654&lt;&gt;TRUE,"",IF(M654&gt;H654,"W",IF(M654&lt;H654,"L","T")))</x:f>
      </x:c>
      <x:c r="P654" s="66" t="b">
        <x:v>0</x:v>
      </x:c>
      <x:c r="Q654" s="66" t="b">
        <x:v>1</x:v>
      </x:c>
      <x:c r="R654" t="str">
        <x:v>Carter-Finley Stadium</x:v>
      </x:c>
      <x:c r="S654" t="str"/>
      <x:c r="T654"/>
      <x:c r="U654" s="70"/>
      <x:c r="V654" s="70"/>
      <x:c r="W654"/>
      <x:c r="X654" t="str">
        <x:v>https://www.espn.com/college-football/game/_/gameId/401858286</x:v>
      </x:c>
    </x:row>
    <x:row r="655">
      <x:c r="A655" t="str">
        <x:v>CFB</x:v>
      </x:c>
      <x:c r="B655" t="n">
        <x:v>10</x:v>
      </x:c>
      <x:c r="C655" s="68" t="n">
        <x:v>46333.208333333336</x:v>
      </x:c>
      <x:c r="D655" s="71" t="str">
        <x:v>pre</x:v>
      </x:c>
      <x:c r="E655" s="72" t="b">
        <x:v>0</x:v>
      </x:c>
      <x:c r="F655" t="str">
        <x:v>Louisville Cardinals</x:v>
      </x:c>
      <x:c r="G655" t="str">
        <x:v>LOU</x:v>
      </x:c>
      <x:c r="H655" s="69" t="n">
        <x:v>0</x:v>
      </x:c>
      <x:c r="I655" t="str">
        <x:v>2-1</x:v>
      </x:c>
      <x:c r="J655" t="str">
        <x:f>IF(E655&lt;&gt;TRUE,"",IF(H655&gt;M655,"W",IF(H655&lt;M655,"L","T")))</x:f>
      </x:c>
      <x:c r="K655" t="str">
        <x:v>Georgia Tech Yellow Jackets</x:v>
      </x:c>
      <x:c r="L655" t="str">
        <x:v>GT</x:v>
      </x:c>
      <x:c r="M655" s="69" t="n">
        <x:v>0</x:v>
      </x:c>
      <x:c r="N655" t="str">
        <x:v>1-2</x:v>
      </x:c>
      <x:c r="O655" t="str">
        <x:f>IF(E655&lt;&gt;TRUE,"",IF(M655&gt;H655,"W",IF(M655&lt;H655,"L","T")))</x:f>
      </x:c>
      <x:c r="P655" s="66" t="b">
        <x:v>0</x:v>
      </x:c>
      <x:c r="Q655" s="66" t="b">
        <x:v>1</x:v>
      </x:c>
      <x:c r="R655" t="str">
        <x:v>Bobby Dodd Stadium</x:v>
      </x:c>
      <x:c r="S655" t="str"/>
      <x:c r="T655"/>
      <x:c r="U655" s="70"/>
      <x:c r="V655" s="70"/>
      <x:c r="W655"/>
      <x:c r="X655" t="str">
        <x:v>https://www.espn.com/college-football/game/_/gameId/401858287</x:v>
      </x:c>
    </x:row>
    <x:row r="656">
      <x:c r="A656" t="str">
        <x:v>CFB</x:v>
      </x:c>
      <x:c r="B656" t="n">
        <x:v>10</x:v>
      </x:c>
      <x:c r="C656" s="68" t="n">
        <x:v>46333.208333333336</x:v>
      </x:c>
      <x:c r="D656" s="71" t="str">
        <x:v>pre</x:v>
      </x:c>
      <x:c r="E656" s="72" t="b">
        <x:v>0</x:v>
      </x:c>
      <x:c r="F656" t="str">
        <x:v>Florida State Seminoles</x:v>
      </x:c>
      <x:c r="G656" t="str">
        <x:v>FSU</x:v>
      </x:c>
      <x:c r="H656" s="69" t="n">
        <x:v>0</x:v>
      </x:c>
      <x:c r="I656" t="str">
        <x:v>1-2</x:v>
      </x:c>
      <x:c r="J656" t="str">
        <x:f>IF(E656&lt;&gt;TRUE,"",IF(H656&gt;M656,"W",IF(H656&lt;M656,"L","T")))</x:f>
      </x:c>
      <x:c r="K656" t="str">
        <x:v>Boston College Eagles</x:v>
      </x:c>
      <x:c r="L656" t="str">
        <x:v>BC</x:v>
      </x:c>
      <x:c r="M656" s="69" t="n">
        <x:v>0</x:v>
      </x:c>
      <x:c r="N656" t="str">
        <x:v>2-1</x:v>
      </x:c>
      <x:c r="O656" t="str">
        <x:f>IF(E656&lt;&gt;TRUE,"",IF(M656&gt;H656,"W",IF(M656&lt;H656,"L","T")))</x:f>
      </x:c>
      <x:c r="P656" s="66" t="b">
        <x:v>0</x:v>
      </x:c>
      <x:c r="Q656" s="66" t="b">
        <x:v>1</x:v>
      </x:c>
      <x:c r="R656" t="str">
        <x:v>Alumni Stadium (Chestnut Hill, MA)</x:v>
      </x:c>
      <x:c r="S656" t="str"/>
      <x:c r="T656"/>
      <x:c r="U656" s="70"/>
      <x:c r="V656" s="70"/>
      <x:c r="W656"/>
      <x:c r="X656" t="str">
        <x:v>https://www.espn.com/college-football/game/_/gameId/401858289</x:v>
      </x:c>
    </x:row>
    <x:row r="657">
      <x:c r="A657" t="str">
        <x:v>CFB</x:v>
      </x:c>
      <x:c r="B657" t="n">
        <x:v>10</x:v>
      </x:c>
      <x:c r="C657" s="68" t="n">
        <x:v>46333.208333333336</x:v>
      </x:c>
      <x:c r="D657" s="71" t="str">
        <x:v>pre</x:v>
      </x:c>
      <x:c r="E657" s="72" t="b">
        <x:v>0</x:v>
      </x:c>
      <x:c r="F657" t="str">
        <x:v>Merrimack Warriors</x:v>
      </x:c>
      <x:c r="G657" t="str">
        <x:v>MRMK</x:v>
      </x:c>
      <x:c r="H657" s="69" t="n">
        <x:v>0</x:v>
      </x:c>
      <x:c r="I657" t="str">
        <x:v>1-3</x:v>
      </x:c>
      <x:c r="J657" t="str">
        <x:f>IF(E657&lt;&gt;TRUE,"",IF(H657&gt;M657,"W",IF(H657&lt;M657,"L","T")))</x:f>
      </x:c>
      <x:c r="K657" t="str">
        <x:v>Wake Forest Demon Deacons</x:v>
      </x:c>
      <x:c r="L657" t="str">
        <x:v>WAKE</x:v>
      </x:c>
      <x:c r="M657" s="69" t="n">
        <x:v>0</x:v>
      </x:c>
      <x:c r="N657" t="str">
        <x:v>2-1</x:v>
      </x:c>
      <x:c r="O657" t="str">
        <x:f>IF(E657&lt;&gt;TRUE,"",IF(M657&gt;H657,"W",IF(M657&lt;H657,"L","T")))</x:f>
      </x:c>
      <x:c r="P657" s="66" t="b">
        <x:v>0</x:v>
      </x:c>
      <x:c r="Q657" s="66" t="b">
        <x:v>0</x:v>
      </x:c>
      <x:c r="R657" t="str">
        <x:v>Allegacy Federal Credit Union Stadium</x:v>
      </x:c>
      <x:c r="S657" t="str"/>
      <x:c r="T657"/>
      <x:c r="U657" s="70"/>
      <x:c r="V657" s="70"/>
      <x:c r="W657"/>
      <x:c r="X657" t="str">
        <x:v>https://www.espn.com/college-football/game/_/gameId/401858290</x:v>
      </x:c>
    </x:row>
    <x:row r="658">
      <x:c r="A658" t="str">
        <x:v>CFB</x:v>
      </x:c>
      <x:c r="B658" t="n">
        <x:v>10</x:v>
      </x:c>
      <x:c r="C658" s="68" t="n">
        <x:v>46333.208333333336</x:v>
      </x:c>
      <x:c r="D658" s="71" t="str">
        <x:v>pre</x:v>
      </x:c>
      <x:c r="E658" s="72" t="b">
        <x:v>0</x:v>
      </x:c>
      <x:c r="F658" t="str">
        <x:v>Michigan State Spartans</x:v>
      </x:c>
      <x:c r="G658" t="str">
        <x:v>MSU</x:v>
      </x:c>
      <x:c r="H658" s="69" t="n">
        <x:v>0</x:v>
      </x:c>
      <x:c r="I658" t="str">
        <x:v>2-1</x:v>
      </x:c>
      <x:c r="J658" t="str">
        <x:f>IF(E658&lt;&gt;TRUE,"",IF(H658&gt;M658,"W",IF(H658&lt;M658,"L","T")))</x:f>
      </x:c>
      <x:c r="K658" t="str">
        <x:v>Michigan Wolverines</x:v>
      </x:c>
      <x:c r="L658" t="str">
        <x:v>MICH</x:v>
      </x:c>
      <x:c r="M658" s="69" t="n">
        <x:v>0</x:v>
      </x:c>
      <x:c r="N658" t="str">
        <x:v>3-0</x:v>
      </x:c>
      <x:c r="O658" t="str">
        <x:f>IF(E658&lt;&gt;TRUE,"",IF(M658&gt;H658,"W",IF(M658&lt;H658,"L","T")))</x:f>
      </x:c>
      <x:c r="P658" s="66" t="b">
        <x:v>0</x:v>
      </x:c>
      <x:c r="Q658" s="66" t="b">
        <x:v>1</x:v>
      </x:c>
      <x:c r="R658" t="str">
        <x:v>Michigan Stadium</x:v>
      </x:c>
      <x:c r="S658" t="str"/>
      <x:c r="T658" t="str">
        <x:v>MICH -16.5</x:v>
      </x:c>
      <x:c r="U658" s="70" t="n">
        <x:v>-16.5</x:v>
      </x:c>
      <x:c r="V658" s="70" t="n">
        <x:v>50.5</x:v>
      </x:c>
      <x:c r="W658" t="str">
        <x:v>DraftKings</x:v>
      </x:c>
      <x:c r="X658" t="str">
        <x:v>https://www.espn.com/college-football/game/_/gameId/401858511</x:v>
      </x:c>
    </x:row>
    <x:row r="659">
      <x:c r="A659" t="str">
        <x:v>CFB</x:v>
      </x:c>
      <x:c r="B659" t="n">
        <x:v>10</x:v>
      </x:c>
      <x:c r="C659" s="68" t="n">
        <x:v>46333.208333333336</x:v>
      </x:c>
      <x:c r="D659" s="71" t="str">
        <x:v>pre</x:v>
      </x:c>
      <x:c r="E659" s="72" t="b">
        <x:v>0</x:v>
      </x:c>
      <x:c r="F659" t="str">
        <x:v>UCLA Bruins</x:v>
      </x:c>
      <x:c r="G659" t="str">
        <x:v>UCLA</x:v>
      </x:c>
      <x:c r="H659" s="69" t="n">
        <x:v>0</x:v>
      </x:c>
      <x:c r="I659" t="str">
        <x:v>3-0</x:v>
      </x:c>
      <x:c r="J659" t="str">
        <x:f>IF(E659&lt;&gt;TRUE,"",IF(H659&gt;M659,"W",IF(H659&lt;M659,"L","T")))</x:f>
      </x:c>
      <x:c r="K659" t="str">
        <x:v>Minnesota Golden Gophers</x:v>
      </x:c>
      <x:c r="L659" t="str">
        <x:v>MINN</x:v>
      </x:c>
      <x:c r="M659" s="69" t="n">
        <x:v>0</x:v>
      </x:c>
      <x:c r="N659" t="str">
        <x:v>2-1</x:v>
      </x:c>
      <x:c r="O659" t="str">
        <x:f>IF(E659&lt;&gt;TRUE,"",IF(M659&gt;H659,"W",IF(M659&lt;H659,"L","T")))</x:f>
      </x:c>
      <x:c r="P659" s="66" t="b">
        <x:v>0</x:v>
      </x:c>
      <x:c r="Q659" s="66" t="b">
        <x:v>1</x:v>
      </x:c>
      <x:c r="R659" t="str">
        <x:v>Huntington Bank Stadium</x:v>
      </x:c>
      <x:c r="S659" t="str"/>
      <x:c r="T659"/>
      <x:c r="U659" s="70"/>
      <x:c r="V659" s="70"/>
      <x:c r="W659"/>
      <x:c r="X659" t="str">
        <x:v>https://www.espn.com/college-football/game/_/gameId/401858512</x:v>
      </x:c>
    </x:row>
    <x:row r="660">
      <x:c r="A660" t="str">
        <x:v>CFB</x:v>
      </x:c>
      <x:c r="B660" t="n">
        <x:v>10</x:v>
      </x:c>
      <x:c r="C660" s="68" t="n">
        <x:v>46333.208333333336</x:v>
      </x:c>
      <x:c r="D660" s="71" t="str">
        <x:v>pre</x:v>
      </x:c>
      <x:c r="E660" s="72" t="b">
        <x:v>0</x:v>
      </x:c>
      <x:c r="F660" t="str">
        <x:v>Iowa Hawkeyes</x:v>
      </x:c>
      <x:c r="G660" t="str">
        <x:v>IOWA</x:v>
      </x:c>
      <x:c r="H660" s="69" t="n">
        <x:v>0</x:v>
      </x:c>
      <x:c r="I660" t="str">
        <x:v>3-0</x:v>
      </x:c>
      <x:c r="J660" t="str">
        <x:f>IF(E660&lt;&gt;TRUE,"",IF(H660&gt;M660,"W",IF(H660&lt;M660,"L","T")))</x:f>
      </x:c>
      <x:c r="K660" t="str">
        <x:v>Northwestern Wildcats</x:v>
      </x:c>
      <x:c r="L660" t="str">
        <x:v>NU</x:v>
      </x:c>
      <x:c r="M660" s="69" t="n">
        <x:v>0</x:v>
      </x:c>
      <x:c r="N660" t="str">
        <x:v>2-0</x:v>
      </x:c>
      <x:c r="O660" t="str">
        <x:f>IF(E660&lt;&gt;TRUE,"",IF(M660&gt;H660,"W",IF(M660&lt;H660,"L","T")))</x:f>
      </x:c>
      <x:c r="P660" s="66" t="b">
        <x:v>0</x:v>
      </x:c>
      <x:c r="Q660" s="66" t="b">
        <x:v>1</x:v>
      </x:c>
      <x:c r="R660" t="str">
        <x:v>Ryan Field</x:v>
      </x:c>
      <x:c r="S660" t="str"/>
      <x:c r="T660"/>
      <x:c r="U660" s="70"/>
      <x:c r="V660" s="70"/>
      <x:c r="W660"/>
      <x:c r="X660" t="str">
        <x:v>https://www.espn.com/college-football/game/_/gameId/401858513</x:v>
      </x:c>
    </x:row>
    <x:row r="661">
      <x:c r="A661" t="str">
        <x:v>CFB</x:v>
      </x:c>
      <x:c r="B661" t="n">
        <x:v>10</x:v>
      </x:c>
      <x:c r="C661" s="68" t="n">
        <x:v>46333.208333333336</x:v>
      </x:c>
      <x:c r="D661" s="71" t="str">
        <x:v>pre</x:v>
      </x:c>
      <x:c r="E661" s="72" t="b">
        <x:v>0</x:v>
      </x:c>
      <x:c r="F661" t="str">
        <x:v>Oregon Ducks</x:v>
      </x:c>
      <x:c r="G661" t="str">
        <x:v>ORE</x:v>
      </x:c>
      <x:c r="H661" s="69" t="n">
        <x:v>0</x:v>
      </x:c>
      <x:c r="I661" t="str">
        <x:v>2-1</x:v>
      </x:c>
      <x:c r="J661" t="str">
        <x:f>IF(E661&lt;&gt;TRUE,"",IF(H661&gt;M661,"W",IF(H661&lt;M661,"L","T")))</x:f>
      </x:c>
      <x:c r="K661" t="str">
        <x:v>Ohio State Buckeyes</x:v>
      </x:c>
      <x:c r="L661" t="str">
        <x:v>OSU</x:v>
      </x:c>
      <x:c r="M661" s="69" t="n">
        <x:v>0</x:v>
      </x:c>
      <x:c r="N661" t="str">
        <x:v>2-1</x:v>
      </x:c>
      <x:c r="O661" t="str">
        <x:f>IF(E661&lt;&gt;TRUE,"",IF(M661&gt;H661,"W",IF(M661&lt;H661,"L","T")))</x:f>
      </x:c>
      <x:c r="P661" s="66" t="b">
        <x:v>0</x:v>
      </x:c>
      <x:c r="Q661" s="66" t="b">
        <x:v>1</x:v>
      </x:c>
      <x:c r="R661" t="str">
        <x:v>Ohio Stadium</x:v>
      </x:c>
      <x:c r="S661" t="str"/>
      <x:c r="T661" t="str">
        <x:v>OSU -6</x:v>
      </x:c>
      <x:c r="U661" s="70" t="n">
        <x:v>-6</x:v>
      </x:c>
      <x:c r="V661" s="70" t="n">
        <x:v>52.5</x:v>
      </x:c>
      <x:c r="W661" t="str">
        <x:v>DraftKings</x:v>
      </x:c>
      <x:c r="X661" t="str">
        <x:v>https://www.espn.com/college-football/game/_/gameId/401858514</x:v>
      </x:c>
    </x:row>
    <x:row r="662">
      <x:c r="A662" t="str">
        <x:v>CFB</x:v>
      </x:c>
      <x:c r="B662" t="n">
        <x:v>10</x:v>
      </x:c>
      <x:c r="C662" s="68" t="n">
        <x:v>46333.208333333336</x:v>
      </x:c>
      <x:c r="D662" s="71" t="str">
        <x:v>pre</x:v>
      </x:c>
      <x:c r="E662" s="72" t="b">
        <x:v>0</x:v>
      </x:c>
      <x:c r="F662" t="str">
        <x:v>Maryland Terrapins</x:v>
      </x:c>
      <x:c r="G662" t="str">
        <x:v>MD</x:v>
      </x:c>
      <x:c r="H662" s="69" t="n">
        <x:v>0</x:v>
      </x:c>
      <x:c r="I662" t="str">
        <x:v>2-1</x:v>
      </x:c>
      <x:c r="J662" t="str">
        <x:f>IF(E662&lt;&gt;TRUE,"",IF(H662&gt;M662,"W",IF(H662&lt;M662,"L","T")))</x:f>
      </x:c>
      <x:c r="K662" t="str">
        <x:v>Purdue Boilermakers</x:v>
      </x:c>
      <x:c r="L662" t="str">
        <x:v>PUR</x:v>
      </x:c>
      <x:c r="M662" s="69" t="n">
        <x:v>0</x:v>
      </x:c>
      <x:c r="N662" t="str">
        <x:v>1-2</x:v>
      </x:c>
      <x:c r="O662" t="str">
        <x:f>IF(E662&lt;&gt;TRUE,"",IF(M662&gt;H662,"W",IF(M662&lt;H662,"L","T")))</x:f>
      </x:c>
      <x:c r="P662" s="66" t="b">
        <x:v>0</x:v>
      </x:c>
      <x:c r="Q662" s="66" t="b">
        <x:v>1</x:v>
      </x:c>
      <x:c r="R662" t="str">
        <x:v>Ross-Ade Stadium</x:v>
      </x:c>
      <x:c r="S662" t="str"/>
      <x:c r="T662"/>
      <x:c r="U662" s="70"/>
      <x:c r="V662" s="70"/>
      <x:c r="W662"/>
      <x:c r="X662" t="str">
        <x:v>https://www.espn.com/college-football/game/_/gameId/401858515</x:v>
      </x:c>
    </x:row>
    <x:row r="663">
      <x:c r="A663" t="str">
        <x:v>CFB</x:v>
      </x:c>
      <x:c r="B663" t="n">
        <x:v>10</x:v>
      </x:c>
      <x:c r="C663" s="68" t="n">
        <x:v>46333.208333333336</x:v>
      </x:c>
      <x:c r="D663" s="71" t="str">
        <x:v>pre</x:v>
      </x:c>
      <x:c r="E663" s="72" t="b">
        <x:v>0</x:v>
      </x:c>
      <x:c r="F663" t="str">
        <x:v>Penn State Nittany Lions</x:v>
      </x:c>
      <x:c r="G663" t="str">
        <x:v>PSU</x:v>
      </x:c>
      <x:c r="H663" s="69" t="n">
        <x:v>0</x:v>
      </x:c>
      <x:c r="I663" t="str">
        <x:v>3-0</x:v>
      </x:c>
      <x:c r="J663" t="str">
        <x:f>IF(E663&lt;&gt;TRUE,"",IF(H663&gt;M663,"W",IF(H663&lt;M663,"L","T")))</x:f>
      </x:c>
      <x:c r="K663" t="str">
        <x:v>Washington Huskies</x:v>
      </x:c>
      <x:c r="L663" t="str">
        <x:v>WASH</x:v>
      </x:c>
      <x:c r="M663" s="69" t="n">
        <x:v>0</x:v>
      </x:c>
      <x:c r="N663" t="str">
        <x:v>3-0</x:v>
      </x:c>
      <x:c r="O663" t="str">
        <x:f>IF(E663&lt;&gt;TRUE,"",IF(M663&gt;H663,"W",IF(M663&lt;H663,"L","T")))</x:f>
      </x:c>
      <x:c r="P663" s="66" t="b">
        <x:v>0</x:v>
      </x:c>
      <x:c r="Q663" s="66" t="b">
        <x:v>1</x:v>
      </x:c>
      <x:c r="R663" t="str">
        <x:v>Husky Stadium</x:v>
      </x:c>
      <x:c r="S663" t="str"/>
      <x:c r="T663"/>
      <x:c r="U663" s="70"/>
      <x:c r="V663" s="70"/>
      <x:c r="W663"/>
      <x:c r="X663" t="str">
        <x:v>https://www.espn.com/college-football/game/_/gameId/401858516</x:v>
      </x:c>
    </x:row>
    <x:row r="664">
      <x:c r="A664" t="str">
        <x:v>CFB</x:v>
      </x:c>
      <x:c r="B664" t="n">
        <x:v>10</x:v>
      </x:c>
      <x:c r="C664" s="68" t="n">
        <x:v>46333.208333333336</x:v>
      </x:c>
      <x:c r="D664" s="71" t="str">
        <x:v>pre</x:v>
      </x:c>
      <x:c r="E664" s="72" t="b">
        <x:v>0</x:v>
      </x:c>
      <x:c r="F664" t="str">
        <x:v>Rutgers Scarlet Knights</x:v>
      </x:c>
      <x:c r="G664" t="str">
        <x:v>RUTG</x:v>
      </x:c>
      <x:c r="H664" s="69" t="n">
        <x:v>0</x:v>
      </x:c>
      <x:c r="I664" t="str">
        <x:v>0-3</x:v>
      </x:c>
      <x:c r="J664" t="str">
        <x:f>IF(E664&lt;&gt;TRUE,"",IF(H664&gt;M664,"W",IF(H664&lt;M664,"L","T")))</x:f>
      </x:c>
      <x:c r="K664" t="str">
        <x:v>Wisconsin Badgers</x:v>
      </x:c>
      <x:c r="L664" t="str">
        <x:v>WIS</x:v>
      </x:c>
      <x:c r="M664" s="69" t="n">
        <x:v>0</x:v>
      </x:c>
      <x:c r="N664" t="str">
        <x:v>2-1</x:v>
      </x:c>
      <x:c r="O664" t="str">
        <x:f>IF(E664&lt;&gt;TRUE,"",IF(M664&gt;H664,"W",IF(M664&lt;H664,"L","T")))</x:f>
      </x:c>
      <x:c r="P664" s="66" t="b">
        <x:v>0</x:v>
      </x:c>
      <x:c r="Q664" s="66" t="b">
        <x:v>1</x:v>
      </x:c>
      <x:c r="R664" t="str">
        <x:v>Camp Randall Stadium</x:v>
      </x:c>
      <x:c r="S664" t="str"/>
      <x:c r="T664"/>
      <x:c r="U664" s="70"/>
      <x:c r="V664" s="70"/>
      <x:c r="W664"/>
      <x:c r="X664" t="str">
        <x:v>https://www.espn.com/college-football/game/_/gameId/401858517</x:v>
      </x:c>
    </x:row>
    <x:row r="665">
      <x:c r="A665" t="str">
        <x:v>CFB</x:v>
      </x:c>
      <x:c r="B665" t="n">
        <x:v>10</x:v>
      </x:c>
      <x:c r="C665" s="68" t="n">
        <x:v>46333.208333333336</x:v>
      </x:c>
      <x:c r="D665" s="71" t="str">
        <x:v>pre</x:v>
      </x:c>
      <x:c r="E665" s="72" t="b">
        <x:v>0</x:v>
      </x:c>
      <x:c r="F665" t="str">
        <x:v>Charlotte 49ers</x:v>
      </x:c>
      <x:c r="G665" t="str">
        <x:v>CLT</x:v>
      </x:c>
      <x:c r="H665" s="69" t="n">
        <x:v>0</x:v>
      </x:c>
      <x:c r="I665" t="str">
        <x:v>0-3</x:v>
      </x:c>
      <x:c r="J665" t="str">
        <x:f>IF(E665&lt;&gt;TRUE,"",IF(H665&gt;M665,"W",IF(H665&lt;M665,"L","T")))</x:f>
      </x:c>
      <x:c r="K665" t="str">
        <x:v>UAB Blazers</x:v>
      </x:c>
      <x:c r="L665" t="str">
        <x:v>UAB</x:v>
      </x:c>
      <x:c r="M665" s="69" t="n">
        <x:v>0</x:v>
      </x:c>
      <x:c r="N665" t="str">
        <x:v>1-2</x:v>
      </x:c>
      <x:c r="O665" t="str">
        <x:f>IF(E665&lt;&gt;TRUE,"",IF(M665&gt;H665,"W",IF(M665&lt;H665,"L","T")))</x:f>
      </x:c>
      <x:c r="P665" s="66" t="b">
        <x:v>0</x:v>
      </x:c>
      <x:c r="Q665" s="66" t="b">
        <x:v>1</x:v>
      </x:c>
      <x:c r="R665" t="str">
        <x:v>Protective Stadium</x:v>
      </x:c>
      <x:c r="S665" t="str"/>
      <x:c r="T665"/>
      <x:c r="U665" s="70"/>
      <x:c r="V665" s="70"/>
      <x:c r="W665"/>
      <x:c r="X665" t="str">
        <x:v>https://www.espn.com/college-football/game/_/gameId/401862819</x:v>
      </x:c>
    </x:row>
    <x:row r="666">
      <x:c r="A666" t="str">
        <x:v>CFB</x:v>
      </x:c>
      <x:c r="B666" t="n">
        <x:v>10</x:v>
      </x:c>
      <x:c r="C666" s="68" t="n">
        <x:v>46333.208333333336</x:v>
      </x:c>
      <x:c r="D666" s="71" t="str">
        <x:v>pre</x:v>
      </x:c>
      <x:c r="E666" s="72" t="b">
        <x:v>0</x:v>
      </x:c>
      <x:c r="F666" t="str">
        <x:v>Rice Owls</x:v>
      </x:c>
      <x:c r="G666" t="str">
        <x:v>RICE</x:v>
      </x:c>
      <x:c r="H666" s="69" t="n">
        <x:v>0</x:v>
      </x:c>
      <x:c r="I666" t="str">
        <x:v>1-2</x:v>
      </x:c>
      <x:c r="J666" t="str">
        <x:f>IF(E666&lt;&gt;TRUE,"",IF(H666&gt;M666,"W",IF(H666&lt;M666,"L","T")))</x:f>
      </x:c>
      <x:c r="K666" t="str">
        <x:v>North Texas Mean Green</x:v>
      </x:c>
      <x:c r="L666" t="str">
        <x:v>UNT</x:v>
      </x:c>
      <x:c r="M666" s="69" t="n">
        <x:v>0</x:v>
      </x:c>
      <x:c r="N666" t="str">
        <x:v>1-2</x:v>
      </x:c>
      <x:c r="O666" t="str">
        <x:f>IF(E666&lt;&gt;TRUE,"",IF(M666&gt;H666,"W",IF(M666&lt;H666,"L","T")))</x:f>
      </x:c>
      <x:c r="P666" s="66" t="b">
        <x:v>0</x:v>
      </x:c>
      <x:c r="Q666" s="66" t="b">
        <x:v>1</x:v>
      </x:c>
      <x:c r="R666" t="str">
        <x:v>DATCU Stadium</x:v>
      </x:c>
      <x:c r="S666" t="str"/>
      <x:c r="T666"/>
      <x:c r="U666" s="70"/>
      <x:c r="V666" s="70"/>
      <x:c r="W666"/>
      <x:c r="X666" t="str">
        <x:v>https://www.espn.com/college-football/game/_/gameId/401862821</x:v>
      </x:c>
    </x:row>
    <x:row r="667">
      <x:c r="A667" t="str">
        <x:v>CFB</x:v>
      </x:c>
      <x:c r="B667" t="n">
        <x:v>10</x:v>
      </x:c>
      <x:c r="C667" s="68" t="n">
        <x:v>46333.208333333336</x:v>
      </x:c>
      <x:c r="D667" s="71" t="str">
        <x:v>pre</x:v>
      </x:c>
      <x:c r="E667" s="72" t="b">
        <x:v>0</x:v>
      </x:c>
      <x:c r="F667" t="str">
        <x:v>Tulsa Golden Hurricane</x:v>
      </x:c>
      <x:c r="G667" t="str">
        <x:v>TLSA</x:v>
      </x:c>
      <x:c r="H667" s="69" t="n">
        <x:v>0</x:v>
      </x:c>
      <x:c r="I667" t="str">
        <x:v>3-0</x:v>
      </x:c>
      <x:c r="J667" t="str">
        <x:f>IF(E667&lt;&gt;TRUE,"",IF(H667&gt;M667,"W",IF(H667&lt;M667,"L","T")))</x:f>
      </x:c>
      <x:c r="K667" t="str">
        <x:v>Tulane Green Wave</x:v>
      </x:c>
      <x:c r="L667" t="str">
        <x:v>TULN</x:v>
      </x:c>
      <x:c r="M667" s="69" t="n">
        <x:v>0</x:v>
      </x:c>
      <x:c r="N667" t="str">
        <x:v>1-2</x:v>
      </x:c>
      <x:c r="O667" t="str">
        <x:f>IF(E667&lt;&gt;TRUE,"",IF(M667&gt;H667,"W",IF(M667&lt;H667,"L","T")))</x:f>
      </x:c>
      <x:c r="P667" s="66" t="b">
        <x:v>0</x:v>
      </x:c>
      <x:c r="Q667" s="66" t="b">
        <x:v>1</x:v>
      </x:c>
      <x:c r="R667" t="str">
        <x:v>Yulman Stadium</x:v>
      </x:c>
      <x:c r="S667" t="str"/>
      <x:c r="T667"/>
      <x:c r="U667" s="70"/>
      <x:c r="V667" s="70"/>
      <x:c r="W667"/>
      <x:c r="X667" t="str">
        <x:v>https://www.espn.com/college-football/game/_/gameId/401862822</x:v>
      </x:c>
    </x:row>
    <x:row r="668">
      <x:c r="A668" t="str">
        <x:v>CFB</x:v>
      </x:c>
      <x:c r="B668" t="n">
        <x:v>10</x:v>
      </x:c>
      <x:c r="C668" s="68" t="n">
        <x:v>46333.208333333336</x:v>
      </x:c>
      <x:c r="D668" s="71" t="str">
        <x:v>pre</x:v>
      </x:c>
      <x:c r="E668" s="72" t="b">
        <x:v>0</x:v>
      </x:c>
      <x:c r="F668" t="str">
        <x:v>Hawai'i Rainbow Warriors</x:v>
      </x:c>
      <x:c r="G668" t="str">
        <x:v>HAW</x:v>
      </x:c>
      <x:c r="H668" s="69" t="n">
        <x:v>0</x:v>
      </x:c>
      <x:c r="I668" t="str">
        <x:v>1-2</x:v>
      </x:c>
      <x:c r="J668" t="str">
        <x:f>IF(E668&lt;&gt;TRUE,"",IF(H668&gt;M668,"W",IF(H668&lt;M668,"L","T")))</x:f>
      </x:c>
      <x:c r="K668" t="str">
        <x:v>UTEP Miners</x:v>
      </x:c>
      <x:c r="L668" t="str">
        <x:v>UTEP</x:v>
      </x:c>
      <x:c r="M668" s="69" t="n">
        <x:v>0</x:v>
      </x:c>
      <x:c r="N668" t="str">
        <x:v>1-2</x:v>
      </x:c>
      <x:c r="O668" t="str">
        <x:f>IF(E668&lt;&gt;TRUE,"",IF(M668&gt;H668,"W",IF(M668&lt;H668,"L","T")))</x:f>
      </x:c>
      <x:c r="P668" s="66" t="b">
        <x:v>0</x:v>
      </x:c>
      <x:c r="Q668" s="66" t="b">
        <x:v>1</x:v>
      </x:c>
      <x:c r="R668" t="str">
        <x:v>Sun Bowl</x:v>
      </x:c>
      <x:c r="S668" t="str"/>
      <x:c r="T668"/>
      <x:c r="U668" s="70"/>
      <x:c r="V668" s="70"/>
      <x:c r="W668"/>
      <x:c r="X668" t="str">
        <x:v>https://www.espn.com/college-football/game/_/gameId/401864532</x:v>
      </x:c>
    </x:row>
    <x:row r="669">
      <x:c r="A669" t="str">
        <x:v>CFB</x:v>
      </x:c>
      <x:c r="B669" t="n">
        <x:v>10</x:v>
      </x:c>
      <x:c r="C669" s="68" t="n">
        <x:v>46333.208333333336</x:v>
      </x:c>
      <x:c r="D669" s="71" t="str">
        <x:v>pre</x:v>
      </x:c>
      <x:c r="E669" s="72" t="b">
        <x:v>0</x:v>
      </x:c>
      <x:c r="F669" t="str">
        <x:v>Northern Illinois Huskies</x:v>
      </x:c>
      <x:c r="G669" t="str">
        <x:v>NIU</x:v>
      </x:c>
      <x:c r="H669" s="69" t="n">
        <x:v>0</x:v>
      </x:c>
      <x:c r="I669" t="str">
        <x:v>0-3</x:v>
      </x:c>
      <x:c r="J669" t="str">
        <x:f>IF(E669&lt;&gt;TRUE,"",IF(H669&gt;M669,"W",IF(H669&lt;M669,"L","T")))</x:f>
      </x:c>
      <x:c r="K669" t="str">
        <x:v>San José State Spartans</x:v>
      </x:c>
      <x:c r="L669" t="str">
        <x:v>SJSU</x:v>
      </x:c>
      <x:c r="M669" s="69" t="n">
        <x:v>0</x:v>
      </x:c>
      <x:c r="N669" t="str">
        <x:v>2-2</x:v>
      </x:c>
      <x:c r="O669" t="str">
        <x:f>IF(E669&lt;&gt;TRUE,"",IF(M669&gt;H669,"W",IF(M669&lt;H669,"L","T")))</x:f>
      </x:c>
      <x:c r="P669" s="66" t="b">
        <x:v>0</x:v>
      </x:c>
      <x:c r="Q669" s="66" t="b">
        <x:v>1</x:v>
      </x:c>
      <x:c r="R669" t="str">
        <x:v>CEFCU Stadium</x:v>
      </x:c>
      <x:c r="S669" t="str">
        <x:v>MW+</x:v>
      </x:c>
      <x:c r="T669"/>
      <x:c r="U669" s="70"/>
      <x:c r="V669" s="70"/>
      <x:c r="W669"/>
      <x:c r="X669" t="str">
        <x:v>https://www.espn.com/college-football/game/_/gameId/401864534</x:v>
      </x:c>
    </x:row>
    <x:row r="670">
      <x:c r="A670" t="str">
        <x:v>CFB</x:v>
      </x:c>
      <x:c r="B670" t="n">
        <x:v>10</x:v>
      </x:c>
      <x:c r="C670" s="68" t="n">
        <x:v>46333.208333333336</x:v>
      </x:c>
      <x:c r="D670" s="71" t="str">
        <x:v>pre</x:v>
      </x:c>
      <x:c r="E670" s="72" t="b">
        <x:v>0</x:v>
      </x:c>
      <x:c r="F670" t="str">
        <x:v>Georgia State Panthers</x:v>
      </x:c>
      <x:c r="G670" t="str">
        <x:v>GAST</x:v>
      </x:c>
      <x:c r="H670" s="69" t="n">
        <x:v>0</x:v>
      </x:c>
      <x:c r="I670" t="str">
        <x:v>2-1</x:v>
      </x:c>
      <x:c r="J670" t="str">
        <x:f>IF(E670&lt;&gt;TRUE,"",IF(H670&gt;M670,"W",IF(H670&lt;M670,"L","T")))</x:f>
      </x:c>
      <x:c r="K670" t="str">
        <x:v>App State Mountaineers</x:v>
      </x:c>
      <x:c r="L670" t="str">
        <x:v>APP</x:v>
      </x:c>
      <x:c r="M670" s="69" t="n">
        <x:v>0</x:v>
      </x:c>
      <x:c r="N670" t="str">
        <x:v>3-0</x:v>
      </x:c>
      <x:c r="O670" t="str">
        <x:f>IF(E670&lt;&gt;TRUE,"",IF(M670&gt;H670,"W",IF(M670&lt;H670,"L","T")))</x:f>
      </x:c>
      <x:c r="P670" s="66" t="b">
        <x:v>0</x:v>
      </x:c>
      <x:c r="Q670" s="66" t="b">
        <x:v>1</x:v>
      </x:c>
      <x:c r="R670" t="str">
        <x:v>Kidd Brewer Stadium</x:v>
      </x:c>
      <x:c r="S670" t="str"/>
      <x:c r="T670"/>
      <x:c r="U670" s="70"/>
      <x:c r="V670" s="70"/>
      <x:c r="W670"/>
      <x:c r="X670" t="str">
        <x:v>https://www.espn.com/college-football/game/_/gameId/401869927</x:v>
      </x:c>
    </x:row>
    <x:row r="671">
      <x:c r="A671" t="str">
        <x:v>CFB</x:v>
      </x:c>
      <x:c r="B671" t="n">
        <x:v>10</x:v>
      </x:c>
      <x:c r="C671" s="68" t="n">
        <x:v>46333.208333333336</x:v>
      </x:c>
      <x:c r="D671" s="71" t="str">
        <x:v>pre</x:v>
      </x:c>
      <x:c r="E671" s="72" t="b">
        <x:v>0</x:v>
      </x:c>
      <x:c r="F671" t="str">
        <x:v>Old Dominion Monarchs</x:v>
      </x:c>
      <x:c r="G671" t="str">
        <x:v>ODU</x:v>
      </x:c>
      <x:c r="H671" s="69" t="n">
        <x:v>0</x:v>
      </x:c>
      <x:c r="I671" t="str">
        <x:v>1-2</x:v>
      </x:c>
      <x:c r="J671" t="str">
        <x:f>IF(E671&lt;&gt;TRUE,"",IF(H671&gt;M671,"W",IF(H671&lt;M671,"L","T")))</x:f>
      </x:c>
      <x:c r="K671" t="str">
        <x:v>Coastal Carolina Chanticleers</x:v>
      </x:c>
      <x:c r="L671" t="str">
        <x:v>CCU</x:v>
      </x:c>
      <x:c r="M671" s="69" t="n">
        <x:v>0</x:v>
      </x:c>
      <x:c r="N671" t="str">
        <x:v>1-2</x:v>
      </x:c>
      <x:c r="O671" t="str">
        <x:f>IF(E671&lt;&gt;TRUE,"",IF(M671&gt;H671,"W",IF(M671&lt;H671,"L","T")))</x:f>
      </x:c>
      <x:c r="P671" s="66" t="b">
        <x:v>0</x:v>
      </x:c>
      <x:c r="Q671" s="66" t="b">
        <x:v>1</x:v>
      </x:c>
      <x:c r="R671" t="str">
        <x:v>Brooks Stadium (SC)</x:v>
      </x:c>
      <x:c r="S671" t="str"/>
      <x:c r="T671"/>
      <x:c r="U671" s="70"/>
      <x:c r="V671" s="70"/>
      <x:c r="W671"/>
      <x:c r="X671" t="str">
        <x:v>https://www.espn.com/college-football/game/_/gameId/401869945</x:v>
      </x:c>
    </x:row>
    <x:row r="672">
      <x:c r="A672" t="str">
        <x:v>CFB</x:v>
      </x:c>
      <x:c r="B672" t="n">
        <x:v>10</x:v>
      </x:c>
      <x:c r="C672" s="68" t="n">
        <x:v>46333.208333333336</x:v>
      </x:c>
      <x:c r="D672" s="71" t="str">
        <x:v>pre</x:v>
      </x:c>
      <x:c r="E672" s="72" t="b">
        <x:v>0</x:v>
      </x:c>
      <x:c r="F672" t="str">
        <x:v>Marshall Thundering Herd</x:v>
      </x:c>
      <x:c r="G672" t="str">
        <x:v>MRSH</x:v>
      </x:c>
      <x:c r="H672" s="69" t="n">
        <x:v>0</x:v>
      </x:c>
      <x:c r="I672" t="str">
        <x:v>2-1</x:v>
      </x:c>
      <x:c r="J672" t="str">
        <x:f>IF(E672&lt;&gt;TRUE,"",IF(H672&gt;M672,"W",IF(H672&lt;M672,"L","T")))</x:f>
      </x:c>
      <x:c r="K672" t="str">
        <x:v>Georgia Southern Eagles</x:v>
      </x:c>
      <x:c r="L672" t="str">
        <x:v>GASO</x:v>
      </x:c>
      <x:c r="M672" s="69" t="n">
        <x:v>0</x:v>
      </x:c>
      <x:c r="N672" t="str">
        <x:v>1-2</x:v>
      </x:c>
      <x:c r="O672" t="str">
        <x:f>IF(E672&lt;&gt;TRUE,"",IF(M672&gt;H672,"W",IF(M672&lt;H672,"L","T")))</x:f>
      </x:c>
      <x:c r="P672" s="66" t="b">
        <x:v>0</x:v>
      </x:c>
      <x:c r="Q672" s="66" t="b">
        <x:v>1</x:v>
      </x:c>
      <x:c r="R672" t="str">
        <x:v>Allen E. Paulson Stadium</x:v>
      </x:c>
      <x:c r="S672" t="str"/>
      <x:c r="T672"/>
      <x:c r="U672" s="70"/>
      <x:c r="V672" s="70"/>
      <x:c r="W672"/>
      <x:c r="X672" t="str">
        <x:v>https://www.espn.com/college-football/game/_/gameId/401869951</x:v>
      </x:c>
    </x:row>
    <x:row r="673">
      <x:c r="A673" t="str">
        <x:v>CFB</x:v>
      </x:c>
      <x:c r="B673" t="n">
        <x:v>10</x:v>
      </x:c>
      <x:c r="C673" s="68" t="n">
        <x:v>46333.208333333336</x:v>
      </x:c>
      <x:c r="D673" s="71" t="str">
        <x:v>pre</x:v>
      </x:c>
      <x:c r="E673" s="72" t="b">
        <x:v>0</x:v>
      </x:c>
      <x:c r="F673" t="str">
        <x:v>South Alabama Jaguars</x:v>
      </x:c>
      <x:c r="G673" t="str">
        <x:v>USA</x:v>
      </x:c>
      <x:c r="H673" s="69" t="n">
        <x:v>0</x:v>
      </x:c>
      <x:c r="I673" t="str">
        <x:v>2-1</x:v>
      </x:c>
      <x:c r="J673" t="str">
        <x:f>IF(E673&lt;&gt;TRUE,"",IF(H673&gt;M673,"W",IF(H673&lt;M673,"L","T")))</x:f>
      </x:c>
      <x:c r="K673" t="str">
        <x:v>Louisiana Ragin' Cajuns</x:v>
      </x:c>
      <x:c r="L673" t="str">
        <x:v>UL</x:v>
      </x:c>
      <x:c r="M673" s="69" t="n">
        <x:v>0</x:v>
      </x:c>
      <x:c r="N673" t="str">
        <x:v>2-1</x:v>
      </x:c>
      <x:c r="O673" t="str">
        <x:f>IF(E673&lt;&gt;TRUE,"",IF(M673&gt;H673,"W",IF(M673&lt;H673,"L","T")))</x:f>
      </x:c>
      <x:c r="P673" s="66" t="b">
        <x:v>0</x:v>
      </x:c>
      <x:c r="Q673" s="66" t="b">
        <x:v>1</x:v>
      </x:c>
      <x:c r="R673" t="str">
        <x:v>Our Lady of Lourdes Stadium</x:v>
      </x:c>
      <x:c r="S673" t="str"/>
      <x:c r="T673"/>
      <x:c r="U673" s="70"/>
      <x:c r="V673" s="70"/>
      <x:c r="W673"/>
      <x:c r="X673" t="str">
        <x:v>https://www.espn.com/college-football/game/_/gameId/401869968</x:v>
      </x:c>
    </x:row>
    <x:row r="674">
      <x:c r="A674" t="str">
        <x:v>CFB</x:v>
      </x:c>
      <x:c r="B674" t="n">
        <x:v>10</x:v>
      </x:c>
      <x:c r="C674" s="68" t="n">
        <x:v>46333.208333333336</x:v>
      </x:c>
      <x:c r="D674" s="71" t="str">
        <x:v>pre</x:v>
      </x:c>
      <x:c r="E674" s="72" t="b">
        <x:v>0</x:v>
      </x:c>
      <x:c r="F674" t="str">
        <x:v>Louisiana Tech Bulldogs</x:v>
      </x:c>
      <x:c r="G674" t="str">
        <x:v>LT</x:v>
      </x:c>
      <x:c r="H674" s="69" t="n">
        <x:v>0</x:v>
      </x:c>
      <x:c r="I674" t="str">
        <x:v>1-2</x:v>
      </x:c>
      <x:c r="J674" t="str">
        <x:f>IF(E674&lt;&gt;TRUE,"",IF(H674&gt;M674,"W",IF(H674&lt;M674,"L","T")))</x:f>
      </x:c>
      <x:c r="K674" t="str">
        <x:v>Troy Trojans</x:v>
      </x:c>
      <x:c r="L674" t="str">
        <x:v>TROY</x:v>
      </x:c>
      <x:c r="M674" s="69" t="n">
        <x:v>0</x:v>
      </x:c>
      <x:c r="N674" t="str">
        <x:v>2-1</x:v>
      </x:c>
      <x:c r="O674" t="str">
        <x:f>IF(E674&lt;&gt;TRUE,"",IF(M674&gt;H674,"W",IF(M674&lt;H674,"L","T")))</x:f>
      </x:c>
      <x:c r="P674" s="66" t="b">
        <x:v>0</x:v>
      </x:c>
      <x:c r="Q674" s="66" t="b">
        <x:v>1</x:v>
      </x:c>
      <x:c r="R674" t="str">
        <x:v>Veterans Memorial Stadium (AL)</x:v>
      </x:c>
      <x:c r="S674" t="str"/>
      <x:c r="T674"/>
      <x:c r="U674" s="70"/>
      <x:c r="V674" s="70"/>
      <x:c r="W674"/>
      <x:c r="X674" t="str">
        <x:v>https://www.espn.com/college-football/game/_/gameId/401871098</x:v>
      </x:c>
    </x:row>
    <x:row r="675">
      <x:c r="A675" t="str">
        <x:v>CFB</x:v>
      </x:c>
      <x:c r="B675" t="n">
        <x:v>10</x:v>
      </x:c>
      <x:c r="C675" s="68" t="n">
        <x:v>46333.708333333336</x:v>
      </x:c>
      <x:c r="D675" s="71" t="str">
        <x:v>pre</x:v>
      </x:c>
      <x:c r="E675" s="72" t="b">
        <x:v>0</x:v>
      </x:c>
      <x:c r="F675" t="str">
        <x:v>North Carolina Tar Heels</x:v>
      </x:c>
      <x:c r="G675" t="str">
        <x:v>UNC</x:v>
      </x:c>
      <x:c r="H675" s="69" t="n">
        <x:v>0</x:v>
      </x:c>
      <x:c r="I675" t="str">
        <x:v>2-1</x:v>
      </x:c>
      <x:c r="J675" t="str">
        <x:f>IF(E675&lt;&gt;TRUE,"",IF(H675&gt;M675,"W",IF(H675&lt;M675,"L","T")))</x:f>
      </x:c>
      <x:c r="K675" t="str">
        <x:v>UConn Huskies</x:v>
      </x:c>
      <x:c r="L675" t="str">
        <x:v>CONN</x:v>
      </x:c>
      <x:c r="M675" s="69" t="n">
        <x:v>0</x:v>
      </x:c>
      <x:c r="N675" t="str">
        <x:v>2-1</x:v>
      </x:c>
      <x:c r="O675" t="str">
        <x:f>IF(E675&lt;&gt;TRUE,"",IF(M675&gt;H675,"W",IF(M675&lt;H675,"L","T")))</x:f>
      </x:c>
      <x:c r="P675" s="66" t="b">
        <x:v>0</x:v>
      </x:c>
      <x:c r="Q675" s="66" t="b">
        <x:v>0</x:v>
      </x:c>
      <x:c r="R675" t="str">
        <x:v>Pratt &amp; Whitney Stadium</x:v>
      </x:c>
      <x:c r="S675" t="str">
        <x:v>CBSSN</x:v>
      </x:c>
      <x:c r="T675"/>
      <x:c r="U675" s="70"/>
      <x:c r="V675" s="70"/>
      <x:c r="W675"/>
      <x:c r="X675" t="str">
        <x:v>https://www.espn.com/college-football/game/_/gameId/401858292</x:v>
      </x:c>
    </x:row>
    <x:row r="676">
      <x:c r="A676" t="str">
        <x:v>CFB</x:v>
      </x:c>
      <x:c r="B676" t="n">
        <x:v>10</x:v>
      </x:c>
      <x:c r="C676" s="68" t="n">
        <x:v>46333.833333333336</x:v>
      </x:c>
      <x:c r="D676" s="71" t="str">
        <x:v>pre</x:v>
      </x:c>
      <x:c r="E676" s="72" t="b">
        <x:v>0</x:v>
      </x:c>
      <x:c r="F676" t="str">
        <x:v>UL Monroe Warhawks</x:v>
      </x:c>
      <x:c r="G676" t="str">
        <x:v>ULM</x:v>
      </x:c>
      <x:c r="H676" s="69" t="n">
        <x:v>0</x:v>
      </x:c>
      <x:c r="I676" t="str">
        <x:v>0-3</x:v>
      </x:c>
      <x:c r="J676" t="str">
        <x:f>IF(E676&lt;&gt;TRUE,"",IF(H676&gt;M676,"W",IF(H676&lt;M676,"L","T")))</x:f>
      </x:c>
      <x:c r="K676" t="str">
        <x:v>Arkansas State Red Wolves</x:v>
      </x:c>
      <x:c r="L676" t="str">
        <x:v>ARST</x:v>
      </x:c>
      <x:c r="M676" s="69" t="n">
        <x:v>0</x:v>
      </x:c>
      <x:c r="N676" t="str">
        <x:v>1-2</x:v>
      </x:c>
      <x:c r="O676" t="str">
        <x:f>IF(E676&lt;&gt;TRUE,"",IF(M676&gt;H676,"W",IF(M676&lt;H676,"L","T")))</x:f>
      </x:c>
      <x:c r="P676" s="66" t="b">
        <x:v>0</x:v>
      </x:c>
      <x:c r="Q676" s="66" t="b">
        <x:v>1</x:v>
      </x:c>
      <x:c r="R676" t="str">
        <x:v>Centennial Bank Stadium</x:v>
      </x:c>
      <x:c r="S676" t="str"/>
      <x:c r="T676"/>
      <x:c r="U676" s="70"/>
      <x:c r="V676" s="70"/>
      <x:c r="W676"/>
      <x:c r="X676" t="str">
        <x:v>https://www.espn.com/college-football/game/_/gameId/401869936</x:v>
      </x:c>
    </x:row>
    <x:row r="677">
      <x:c r="A677" t="str">
        <x:v>CFB</x:v>
      </x:c>
      <x:c r="B677" t="n">
        <x:v>10</x:v>
      </x:c>
      <x:c r="C677" s="68" t="n">
        <x:v>46333.833333333336</x:v>
      </x:c>
      <x:c r="D677" s="71" t="str">
        <x:v>pre</x:v>
      </x:c>
      <x:c r="E677" s="72" t="b">
        <x:v>0</x:v>
      </x:c>
      <x:c r="F677" t="str">
        <x:v>Delaware Blue Hens</x:v>
      </x:c>
      <x:c r="G677" t="str">
        <x:v>DEL</x:v>
      </x:c>
      <x:c r="H677" s="69" t="n">
        <x:v>0</x:v>
      </x:c>
      <x:c r="I677" t="str">
        <x:v>2-1</x:v>
      </x:c>
      <x:c r="J677" t="str">
        <x:f>IF(E677&lt;&gt;TRUE,"",IF(H677&gt;M677,"W",IF(H677&lt;M677,"L","T")))</x:f>
      </x:c>
      <x:c r="K677" t="str">
        <x:v>Kennesaw State Owls</x:v>
      </x:c>
      <x:c r="L677" t="str">
        <x:v>KENN</x:v>
      </x:c>
      <x:c r="M677" s="69" t="n">
        <x:v>0</x:v>
      </x:c>
      <x:c r="N677" t="str">
        <x:v>1-2</x:v>
      </x:c>
      <x:c r="O677" t="str">
        <x:f>IF(E677&lt;&gt;TRUE,"",IF(M677&gt;H677,"W",IF(M677&lt;H677,"L","T")))</x:f>
      </x:c>
      <x:c r="P677" s="66" t="b">
        <x:v>0</x:v>
      </x:c>
      <x:c r="Q677" s="66" t="b">
        <x:v>1</x:v>
      </x:c>
      <x:c r="R677" t="str">
        <x:v>Walens Family Field at Fifth Third Stadium</x:v>
      </x:c>
      <x:c r="S677" t="str"/>
      <x:c r="T677"/>
      <x:c r="U677" s="70"/>
      <x:c r="V677" s="70"/>
      <x:c r="W677"/>
      <x:c r="X677" t="str">
        <x:v>https://www.espn.com/college-football/game/_/gameId/401871073</x:v>
      </x:c>
    </x:row>
    <x:row r="678">
      <x:c r="A678" t="str">
        <x:v>CFB</x:v>
      </x:c>
      <x:c r="B678" t="n">
        <x:v>10</x:v>
      </x:c>
      <x:c r="C678" s="68" t="n">
        <x:v>46333.854166666664</x:v>
      </x:c>
      <x:c r="D678" s="71" t="str">
        <x:v>pre</x:v>
      </x:c>
      <x:c r="E678" s="72" t="b">
        <x:v>0</x:v>
      </x:c>
      <x:c r="F678" t="str">
        <x:v>Temple Owls</x:v>
      </x:c>
      <x:c r="G678" t="str">
        <x:v>TEM</x:v>
      </x:c>
      <x:c r="H678" s="69" t="n">
        <x:v>0</x:v>
      </x:c>
      <x:c r="I678" t="str">
        <x:v>1-2</x:v>
      </x:c>
      <x:c r="J678" t="str">
        <x:f>IF(E678&lt;&gt;TRUE,"",IF(H678&gt;M678,"W",IF(H678&lt;M678,"L","T")))</x:f>
      </x:c>
      <x:c r="K678" t="str">
        <x:v>Navy Midshipmen</x:v>
      </x:c>
      <x:c r="L678" t="str">
        <x:v>NAVY</x:v>
      </x:c>
      <x:c r="M678" s="69" t="n">
        <x:v>0</x:v>
      </x:c>
      <x:c r="N678" t="str">
        <x:v>1-1</x:v>
      </x:c>
      <x:c r="O678" t="str">
        <x:f>IF(E678&lt;&gt;TRUE,"",IF(M678&gt;H678,"W",IF(M678&lt;H678,"L","T")))</x:f>
      </x:c>
      <x:c r="P678" s="66" t="b">
        <x:v>0</x:v>
      </x:c>
      <x:c r="Q678" s="66" t="b">
        <x:v>1</x:v>
      </x:c>
      <x:c r="R678" t="str">
        <x:v>Navy-Marine Corps Memorial Stadium</x:v>
      </x:c>
      <x:c r="S678" t="str">
        <x:v>CBSSN</x:v>
      </x:c>
      <x:c r="T678"/>
      <x:c r="U678" s="70"/>
      <x:c r="V678" s="70"/>
      <x:c r="W678"/>
      <x:c r="X678" t="str">
        <x:v>https://www.espn.com/college-football/game/_/gameId/401862820</x:v>
      </x:c>
    </x:row>
    <x:row r="679">
      <x:c r="A679" t="str">
        <x:v>CFB</x:v>
      </x:c>
      <x:c r="B679" t="n">
        <x:v>10</x:v>
      </x:c>
      <x:c r="C679" s="68" t="n">
        <x:v>46333.854166666664</x:v>
      </x:c>
      <x:c r="D679" s="71" t="str">
        <x:v>pre</x:v>
      </x:c>
      <x:c r="E679" s="72" t="b">
        <x:v>0</x:v>
      </x:c>
      <x:c r="F679" t="str">
        <x:v>Western Kentucky Hilltoppers</x:v>
      </x:c>
      <x:c r="G679" t="str">
        <x:v>WKU</x:v>
      </x:c>
      <x:c r="H679" s="69" t="n">
        <x:v>0</x:v>
      </x:c>
      <x:c r="I679" t="str">
        <x:v>0-3</x:v>
      </x:c>
      <x:c r="J679" t="str">
        <x:f>IF(E679&lt;&gt;TRUE,"",IF(H679&gt;M679,"W",IF(H679&lt;M679,"L","T")))</x:f>
      </x:c>
      <x:c r="K679" t="str">
        <x:v>Middle Tennessee Blue Raiders</x:v>
      </x:c>
      <x:c r="L679" t="str">
        <x:v>MTSU</x:v>
      </x:c>
      <x:c r="M679" s="69" t="n">
        <x:v>0</x:v>
      </x:c>
      <x:c r="N679" t="str">
        <x:v>2-1</x:v>
      </x:c>
      <x:c r="O679" t="str">
        <x:f>IF(E679&lt;&gt;TRUE,"",IF(M679&gt;H679,"W",IF(M679&lt;H679,"L","T")))</x:f>
      </x:c>
      <x:c r="P679" s="66" t="b">
        <x:v>0</x:v>
      </x:c>
      <x:c r="Q679" s="66" t="b">
        <x:v>1</x:v>
      </x:c>
      <x:c r="R679" t="str">
        <x:v>Johnny "Red" Floyd Stadium</x:v>
      </x:c>
      <x:c r="S679" t="str"/>
      <x:c r="T679"/>
      <x:c r="U679" s="70"/>
      <x:c r="V679" s="70"/>
      <x:c r="W679"/>
      <x:c r="X679" t="str">
        <x:v>https://www.espn.com/college-football/game/_/gameId/401871076</x:v>
      </x:c>
    </x:row>
    <x:row r="680">
      <x:c r="A680" t="str">
        <x:v>CFB</x:v>
      </x:c>
      <x:c r="B680" t="n">
        <x:v>10</x:v>
      </x:c>
      <x:c r="C680" s="68" t="n">
        <x:v>46333.875</x:v>
      </x:c>
      <x:c r="D680" s="71" t="str">
        <x:v>pre</x:v>
      </x:c>
      <x:c r="E680" s="72" t="b">
        <x:v>0</x:v>
      </x:c>
      <x:c r="F680" t="str">
        <x:v>Missouri State Bears</x:v>
      </x:c>
      <x:c r="G680" t="str">
        <x:v>MOST</x:v>
      </x:c>
      <x:c r="H680" s="69" t="n">
        <x:v>0</x:v>
      </x:c>
      <x:c r="I680" t="str">
        <x:v>1-2</x:v>
      </x:c>
      <x:c r="J680" t="str">
        <x:f>IF(E680&lt;&gt;TRUE,"",IF(H680&gt;M680,"W",IF(H680&lt;M680,"L","T")))</x:f>
      </x:c>
      <x:c r="K680" t="str">
        <x:v>Florida International Panthers</x:v>
      </x:c>
      <x:c r="L680" t="str">
        <x:v>FIU</x:v>
      </x:c>
      <x:c r="M680" s="69" t="n">
        <x:v>0</x:v>
      </x:c>
      <x:c r="N680" t="str">
        <x:v>1-2</x:v>
      </x:c>
      <x:c r="O680" t="str">
        <x:f>IF(E680&lt;&gt;TRUE,"",IF(M680&gt;H680,"W",IF(M680&lt;H680,"L","T")))</x:f>
      </x:c>
      <x:c r="P680" s="66" t="b">
        <x:v>0</x:v>
      </x:c>
      <x:c r="Q680" s="66" t="b">
        <x:v>1</x:v>
      </x:c>
      <x:c r="R680" t="str">
        <x:v>Pitbull Stadium</x:v>
      </x:c>
      <x:c r="S680" t="str"/>
      <x:c r="T680"/>
      <x:c r="U680" s="70"/>
      <x:c r="V680" s="70"/>
      <x:c r="W680"/>
      <x:c r="X680" t="str">
        <x:v>https://www.espn.com/college-football/game/_/gameId/401871074</x:v>
      </x:c>
    </x:row>
    <x:row r="681">
      <x:c r="A681" t="str">
        <x:v>CFB</x:v>
      </x:c>
      <x:c r="B681" t="n">
        <x:v>10</x:v>
      </x:c>
      <x:c r="C681" s="68" t="n">
        <x:v>46333.916666666664</x:v>
      </x:c>
      <x:c r="D681" s="71" t="str">
        <x:v>pre</x:v>
      </x:c>
      <x:c r="E681" s="72" t="b">
        <x:v>0</x:v>
      </x:c>
      <x:c r="F681" t="str">
        <x:v>Liberty Flames</x:v>
      </x:c>
      <x:c r="G681" t="str">
        <x:v>LIB</x:v>
      </x:c>
      <x:c r="H681" s="69" t="n">
        <x:v>0</x:v>
      </x:c>
      <x:c r="I681" t="str">
        <x:v>2-1</x:v>
      </x:c>
      <x:c r="J681" t="str">
        <x:f>IF(E681&lt;&gt;TRUE,"",IF(H681&gt;M681,"W",IF(H681&lt;M681,"L","T")))</x:f>
      </x:c>
      <x:c r="K681" t="str">
        <x:v>New Mexico State Aggies</x:v>
      </x:c>
      <x:c r="L681" t="str">
        <x:v>NMSU</x:v>
      </x:c>
      <x:c r="M681" s="69" t="n">
        <x:v>0</x:v>
      </x:c>
      <x:c r="N681" t="str">
        <x:v>1-2</x:v>
      </x:c>
      <x:c r="O681" t="str">
        <x:f>IF(E681&lt;&gt;TRUE,"",IF(M681&gt;H681,"W",IF(M681&lt;H681,"L","T")))</x:f>
      </x:c>
      <x:c r="P681" s="66" t="b">
        <x:v>0</x:v>
      </x:c>
      <x:c r="Q681" s="66" t="b">
        <x:v>1</x:v>
      </x:c>
      <x:c r="R681" t="str">
        <x:v>Aggie Memorial Stadium</x:v>
      </x:c>
      <x:c r="S681" t="str"/>
      <x:c r="T681"/>
      <x:c r="U681" s="70"/>
      <x:c r="V681" s="70"/>
      <x:c r="W681"/>
      <x:c r="X681" t="str">
        <x:v>https://www.espn.com/college-football/game/_/gameId/401870795</x:v>
      </x:c>
    </x:row>
    <x:row r="682">
      <x:c r="A682" t="str">
        <x:v>CFB</x:v>
      </x:c>
      <x:c r="B682" t="n">
        <x:v>10</x:v>
      </x:c>
      <x:c r="C682" s="68" t="n">
        <x:v>46333.958333333336</x:v>
      </x:c>
      <x:c r="D682" s="71" t="str">
        <x:v>pre</x:v>
      </x:c>
      <x:c r="E682" s="72" t="b">
        <x:v>0</x:v>
      </x:c>
      <x:c r="F682" t="str">
        <x:v>Boise State Broncos</x:v>
      </x:c>
      <x:c r="G682" t="str">
        <x:v>BOIS</x:v>
      </x:c>
      <x:c r="H682" s="69" t="n">
        <x:v>0</x:v>
      </x:c>
      <x:c r="I682" t="str">
        <x:v>2-1</x:v>
      </x:c>
      <x:c r="J682" t="str">
        <x:f>IF(E682&lt;&gt;TRUE,"",IF(H682&gt;M682,"W",IF(H682&lt;M682,"L","T")))</x:f>
      </x:c>
      <x:c r="K682" t="str">
        <x:v>Colorado State Rams</x:v>
      </x:c>
      <x:c r="L682" t="str">
        <x:v>CSU</x:v>
      </x:c>
      <x:c r="M682" s="69" t="n">
        <x:v>0</x:v>
      </x:c>
      <x:c r="N682" t="str">
        <x:v>2-1</x:v>
      </x:c>
      <x:c r="O682" t="str">
        <x:f>IF(E682&lt;&gt;TRUE,"",IF(M682&gt;H682,"W",IF(M682&lt;H682,"L","T")))</x:f>
      </x:c>
      <x:c r="P682" s="66" t="b">
        <x:v>0</x:v>
      </x:c>
      <x:c r="Q682" s="66" t="b">
        <x:v>1</x:v>
      </x:c>
      <x:c r="R682" t="str">
        <x:v>Canvas Stadium</x:v>
      </x:c>
      <x:c r="S682" t="str">
        <x:v>USA Net</x:v>
      </x:c>
      <x:c r="T682"/>
      <x:c r="U682" s="70"/>
      <x:c r="V682" s="70"/>
      <x:c r="W682"/>
      <x:c r="X682" t="str">
        <x:v>https://www.espn.com/college-football/game/_/gameId/401860911</x:v>
      </x:c>
    </x:row>
    <x:row r="683">
      <x:c r="A683" t="str">
        <x:v>CFB</x:v>
      </x:c>
      <x:c r="B683" t="n">
        <x:v>10</x:v>
      </x:c>
      <x:c r="C683" s="68" t="n">
        <x:v>46334</x:v>
      </x:c>
      <x:c r="D683" s="71" t="str">
        <x:v>pre</x:v>
      </x:c>
      <x:c r="E683" s="72" t="b">
        <x:v>0</x:v>
      </x:c>
      <x:c r="F683" t="str">
        <x:v>Sam Houston Bearkats</x:v>
      </x:c>
      <x:c r="G683" t="str">
        <x:v>SHSU</x:v>
      </x:c>
      <x:c r="H683" s="69" t="n">
        <x:v>0</x:v>
      </x:c>
      <x:c r="I683" t="str">
        <x:v>1-2</x:v>
      </x:c>
      <x:c r="J683" t="str">
        <x:f>IF(E683&lt;&gt;TRUE,"",IF(H683&gt;M683,"W",IF(H683&lt;M683,"L","T")))</x:f>
      </x:c>
      <x:c r="K683" t="str">
        <x:v>Jacksonville State Gamecocks</x:v>
      </x:c>
      <x:c r="L683" t="str">
        <x:v>JXST</x:v>
      </x:c>
      <x:c r="M683" s="69" t="n">
        <x:v>0</x:v>
      </x:c>
      <x:c r="N683" t="str">
        <x:v>2-2</x:v>
      </x:c>
      <x:c r="O683" t="str">
        <x:f>IF(E683&lt;&gt;TRUE,"",IF(M683&gt;H683,"W",IF(M683&lt;H683,"L","T")))</x:f>
      </x:c>
      <x:c r="P683" s="66" t="b">
        <x:v>0</x:v>
      </x:c>
      <x:c r="Q683" s="66" t="b">
        <x:v>1</x:v>
      </x:c>
      <x:c r="R683" t="str">
        <x:v>AmFirst Stadium</x:v>
      </x:c>
      <x:c r="S683" t="str">
        <x:v>CBSSN</x:v>
      </x:c>
      <x:c r="T683"/>
      <x:c r="U683" s="70"/>
      <x:c r="V683" s="70"/>
      <x:c r="W683"/>
      <x:c r="X683" t="str">
        <x:v>https://www.espn.com/college-football/game/_/gameId/401871075</x:v>
      </x:c>
    </x:row>
    <x:row r="684">
      <x:c r="A684" t="str">
        <x:v>CFB</x:v>
      </x:c>
      <x:c r="B684" t="n">
        <x:v>10</x:v>
      </x:c>
      <x:c r="C684" s="68" t="n">
        <x:v>46334.020833333336</x:v>
      </x:c>
      <x:c r="D684" s="71" t="str">
        <x:v>pre</x:v>
      </x:c>
      <x:c r="E684" s="72" t="b">
        <x:v>0</x:v>
      </x:c>
      <x:c r="F684" t="str">
        <x:v>Miami Hurricanes</x:v>
      </x:c>
      <x:c r="G684" t="str">
        <x:v>MIA</x:v>
      </x:c>
      <x:c r="H684" s="69" t="n">
        <x:v>0</x:v>
      </x:c>
      <x:c r="I684" t="str">
        <x:v>3-0</x:v>
      </x:c>
      <x:c r="J684" t="str">
        <x:f>IF(E684&lt;&gt;TRUE,"",IF(H684&gt;M684,"W",IF(H684&lt;M684,"L","T")))</x:f>
      </x:c>
      <x:c r="K684" t="str">
        <x:v>Notre Dame Fighting Irish</x:v>
      </x:c>
      <x:c r="L684" t="str">
        <x:v>ND</x:v>
      </x:c>
      <x:c r="M684" s="69" t="n">
        <x:v>0</x:v>
      </x:c>
      <x:c r="N684" t="str">
        <x:v>3-0</x:v>
      </x:c>
      <x:c r="O684" t="str">
        <x:f>IF(E684&lt;&gt;TRUE,"",IF(M684&gt;H684,"W",IF(M684&lt;H684,"L","T")))</x:f>
      </x:c>
      <x:c r="P684" s="66" t="b">
        <x:v>0</x:v>
      </x:c>
      <x:c r="Q684" s="66" t="b">
        <x:v>0</x:v>
      </x:c>
      <x:c r="R684" t="str">
        <x:v>Notre Dame Stadium</x:v>
      </x:c>
      <x:c r="S684" t="str">
        <x:v>NBC</x:v>
      </x:c>
      <x:c r="T684" t="str">
        <x:v>ND -6.5</x:v>
      </x:c>
      <x:c r="U684" s="70" t="n">
        <x:v>-6.5</x:v>
      </x:c>
      <x:c r="V684" s="70" t="n">
        <x:v>54.5</x:v>
      </x:c>
      <x:c r="W684" t="str">
        <x:v>DraftKings</x:v>
      </x:c>
      <x:c r="X684" t="str">
        <x:v>https://www.espn.com/college-football/game/_/gameId/401858291</x:v>
      </x:c>
    </x:row>
    <x:row r="685">
      <x:c r="A685" t="str">
        <x:v>CFB</x:v>
      </x:c>
      <x:c r="B685" t="n">
        <x:v>10</x:v>
      </x:c>
      <x:c r="C685" s="68" t="n">
        <x:v>46334.020833333336</x:v>
      </x:c>
      <x:c r="D685" s="71" t="str">
        <x:v>pre</x:v>
      </x:c>
      <x:c r="E685" s="72" t="b">
        <x:v>0</x:v>
      </x:c>
      <x:c r="F685" t="str">
        <x:v>Air Force Falcons</x:v>
      </x:c>
      <x:c r="G685" t="str">
        <x:v>AFA</x:v>
      </x:c>
      <x:c r="H685" s="69" t="n">
        <x:v>0</x:v>
      </x:c>
      <x:c r="I685" t="str">
        <x:v>1-1</x:v>
      </x:c>
      <x:c r="J685" t="str">
        <x:f>IF(E685&lt;&gt;TRUE,"",IF(H685&gt;M685,"W",IF(H685&lt;M685,"L","T")))</x:f>
      </x:c>
      <x:c r="K685" t="str">
        <x:v>Army Black Knights</x:v>
      </x:c>
      <x:c r="L685" t="str">
        <x:v>ARMY</x:v>
      </x:c>
      <x:c r="M685" s="69" t="n">
        <x:v>0</x:v>
      </x:c>
      <x:c r="N685" t="str">
        <x:v>1-1</x:v>
      </x:c>
      <x:c r="O685" t="str">
        <x:f>IF(E685&lt;&gt;TRUE,"",IF(M685&gt;H685,"W",IF(M685&lt;H685,"L","T")))</x:f>
      </x:c>
      <x:c r="P685" s="66" t="b">
        <x:v>0</x:v>
      </x:c>
      <x:c r="Q685" s="66" t="b">
        <x:v>0</x:v>
      </x:c>
      <x:c r="R685" t="str">
        <x:v>Michie Stadium</x:v>
      </x:c>
      <x:c r="S685" t="str">
        <x:v>CBS</x:v>
      </x:c>
      <x:c r="T685"/>
      <x:c r="U685" s="70"/>
      <x:c r="V685" s="70"/>
      <x:c r="W685"/>
      <x:c r="X685" t="str">
        <x:v>https://www.espn.com/college-football/game/_/gameId/401862823</x:v>
      </x:c>
    </x:row>
    <x:row r="686">
      <x:c r="A686" t="str">
        <x:v>CFB</x:v>
      </x:c>
      <x:c r="B686" t="n">
        <x:v>10</x:v>
      </x:c>
      <x:c r="C686" s="68" t="n">
        <x:v>46334.104166666664</x:v>
      </x:c>
      <x:c r="D686" s="71" t="str">
        <x:v>pre</x:v>
      </x:c>
      <x:c r="E686" s="72" t="b">
        <x:v>0</x:v>
      </x:c>
      <x:c r="F686" t="str">
        <x:v>Fresno State Bulldogs</x:v>
      </x:c>
      <x:c r="G686" t="str">
        <x:v>FRES</x:v>
      </x:c>
      <x:c r="H686" s="69" t="n">
        <x:v>0</x:v>
      </x:c>
      <x:c r="I686" t="str">
        <x:v>2-1</x:v>
      </x:c>
      <x:c r="J686" t="str">
        <x:f>IF(E686&lt;&gt;TRUE,"",IF(H686&gt;M686,"W",IF(H686&lt;M686,"L","T")))</x:f>
      </x:c>
      <x:c r="K686" t="str">
        <x:v>Utah State Aggies</x:v>
      </x:c>
      <x:c r="L686" t="str">
        <x:v>USU</x:v>
      </x:c>
      <x:c r="M686" s="69" t="n">
        <x:v>0</x:v>
      </x:c>
      <x:c r="N686" t="str">
        <x:v>0-3</x:v>
      </x:c>
      <x:c r="O686" t="str">
        <x:f>IF(E686&lt;&gt;TRUE,"",IF(M686&gt;H686,"W",IF(M686&lt;H686,"L","T")))</x:f>
      </x:c>
      <x:c r="P686" s="66" t="b">
        <x:v>0</x:v>
      </x:c>
      <x:c r="Q686" s="66" t="b">
        <x:v>1</x:v>
      </x:c>
      <x:c r="R686" t="str">
        <x:v>Maverik Stadium</x:v>
      </x:c>
      <x:c r="S686" t="str">
        <x:v>USA Net</x:v>
      </x:c>
      <x:c r="T686"/>
      <x:c r="U686" s="70"/>
      <x:c r="V686" s="70"/>
      <x:c r="W686"/>
      <x:c r="X686" t="str">
        <x:v>https://www.espn.com/college-football/game/_/gameId/401860913</x:v>
      </x:c>
    </x:row>
    <x:row r="687">
      <x:c r="A687" t="str">
        <x:v>CFB</x:v>
      </x:c>
      <x:c r="B687" t="n">
        <x:v>10</x:v>
      </x:c>
      <x:c r="C687" s="68" t="n">
        <x:v>46334.145833333336</x:v>
      </x:c>
      <x:c r="D687" s="71" t="str">
        <x:v>pre</x:v>
      </x:c>
      <x:c r="E687" s="72" t="b">
        <x:v>0</x:v>
      </x:c>
      <x:c r="F687" t="str">
        <x:v>Texas State Bobcats</x:v>
      </x:c>
      <x:c r="G687" t="str">
        <x:v>TXST</x:v>
      </x:c>
      <x:c r="H687" s="69" t="n">
        <x:v>0</x:v>
      </x:c>
      <x:c r="I687" t="str">
        <x:v>1-2</x:v>
      </x:c>
      <x:c r="J687" t="str">
        <x:f>IF(E687&lt;&gt;TRUE,"",IF(H687&gt;M687,"W",IF(H687&lt;M687,"L","T")))</x:f>
      </x:c>
      <x:c r="K687" t="str">
        <x:v>Oregon State Beavers</x:v>
      </x:c>
      <x:c r="L687" t="str">
        <x:v>ORST</x:v>
      </x:c>
      <x:c r="M687" s="69" t="n">
        <x:v>0</x:v>
      </x:c>
      <x:c r="N687" t="str">
        <x:v>1-2</x:v>
      </x:c>
      <x:c r="O687" t="str">
        <x:f>IF(E687&lt;&gt;TRUE,"",IF(M687&gt;H687,"W",IF(M687&lt;H687,"L","T")))</x:f>
      </x:c>
      <x:c r="P687" s="66" t="b">
        <x:v>0</x:v>
      </x:c>
      <x:c r="Q687" s="66" t="b">
        <x:v>1</x:v>
      </x:c>
      <x:c r="R687" t="str">
        <x:v>Reser Stadium</x:v>
      </x:c>
      <x:c r="S687" t="str">
        <x:v>CW</x:v>
      </x:c>
      <x:c r="T687"/>
      <x:c r="U687" s="70"/>
      <x:c r="V687" s="70"/>
      <x:c r="W687"/>
      <x:c r="X687" t="str">
        <x:v>https://www.espn.com/college-football/game/_/gameId/401860912</x:v>
      </x:c>
    </x:row>
    <x:row r="688">
      <x:c r="A688" t="str">
        <x:v>CFB</x:v>
      </x:c>
      <x:c r="B688" t="n">
        <x:v>10</x:v>
      </x:c>
      <x:c r="C688" s="68" t="n">
        <x:v>46334.145833333336</x:v>
      </x:c>
      <x:c r="D688" s="71" t="str">
        <x:v>pre</x:v>
      </x:c>
      <x:c r="E688" s="72" t="b">
        <x:v>0</x:v>
      </x:c>
      <x:c r="F688" t="str">
        <x:v>Wyoming Cowboys</x:v>
      </x:c>
      <x:c r="G688" t="str">
        <x:v>WYO</x:v>
      </x:c>
      <x:c r="H688" s="69" t="n">
        <x:v>0</x:v>
      </x:c>
      <x:c r="I688" t="str">
        <x:v>1-2</x:v>
      </x:c>
      <x:c r="J688" t="str">
        <x:f>IF(E688&lt;&gt;TRUE,"",IF(H688&gt;M688,"W",IF(H688&lt;M688,"L","T")))</x:f>
      </x:c>
      <x:c r="K688" t="str">
        <x:v>UNLV Rebels</x:v>
      </x:c>
      <x:c r="L688" t="str">
        <x:v>UNLV</x:v>
      </x:c>
      <x:c r="M688" s="69" t="n">
        <x:v>0</x:v>
      </x:c>
      <x:c r="N688" t="str">
        <x:v>1-2</x:v>
      </x:c>
      <x:c r="O688" t="str">
        <x:f>IF(E688&lt;&gt;TRUE,"",IF(M688&gt;H688,"W",IF(M688&lt;H688,"L","T")))</x:f>
      </x:c>
      <x:c r="P688" s="66" t="b">
        <x:v>0</x:v>
      </x:c>
      <x:c r="Q688" s="66" t="b">
        <x:v>1</x:v>
      </x:c>
      <x:c r="R688" t="str">
        <x:v>Allegiant Stadium</x:v>
      </x:c>
      <x:c r="S688" t="str">
        <x:v>CBSSN</x:v>
      </x:c>
      <x:c r="T688"/>
      <x:c r="U688" s="70"/>
      <x:c r="V688" s="70"/>
      <x:c r="W688"/>
      <x:c r="X688" t="str">
        <x:v>https://www.espn.com/college-football/game/_/gameId/401864535</x:v>
      </x:c>
    </x:row>
    <x:row r="689">
      <x:c r="A689" t="str">
        <x:v>CFB</x:v>
      </x:c>
      <x:c r="B689" t="n">
        <x:v>11</x:v>
      </x:c>
      <x:c r="C689" s="68" t="n">
        <x:v>46337</x:v>
      </x:c>
      <x:c r="D689" s="71" t="str">
        <x:v>pre</x:v>
      </x:c>
      <x:c r="E689" s="72" t="b">
        <x:v>0</x:v>
      </x:c>
      <x:c r="F689" t="str">
        <x:v>Western Michigan Broncos</x:v>
      </x:c>
      <x:c r="G689" t="str">
        <x:v>WMU</x:v>
      </x:c>
      <x:c r="H689" s="69" t="n">
        <x:v>0</x:v>
      </x:c>
      <x:c r="I689" t="str">
        <x:v>2-1</x:v>
      </x:c>
      <x:c r="J689" t="str">
        <x:f>IF(E689&lt;&gt;TRUE,"",IF(H689&gt;M689,"W",IF(H689&lt;M689,"L","T")))</x:f>
      </x:c>
      <x:c r="K689" t="str">
        <x:v>Akron Zips</x:v>
      </x:c>
      <x:c r="L689" t="str">
        <x:v>AKR</x:v>
      </x:c>
      <x:c r="M689" s="69" t="n">
        <x:v>0</x:v>
      </x:c>
      <x:c r="N689" t="str">
        <x:v>1-2</x:v>
      </x:c>
      <x:c r="O689" t="str">
        <x:f>IF(E689&lt;&gt;TRUE,"",IF(M689&gt;H689,"W",IF(M689&lt;H689,"L","T")))</x:f>
      </x:c>
      <x:c r="P689" s="66" t="b">
        <x:v>0</x:v>
      </x:c>
      <x:c r="Q689" s="66" t="b">
        <x:v>1</x:v>
      </x:c>
      <x:c r="R689" t="str">
        <x:v>InfoCision Stadium</x:v>
      </x:c>
      <x:c r="S689" t="str"/>
      <x:c r="T689"/>
      <x:c r="U689" s="70"/>
      <x:c r="V689" s="70"/>
      <x:c r="W689"/>
      <x:c r="X689" t="str">
        <x:v>https://www.espn.com/college-football/game/_/gameId/401866458</x:v>
      </x:c>
    </x:row>
    <x:row r="690">
      <x:c r="A690" t="str">
        <x:v>CFB</x:v>
      </x:c>
      <x:c r="B690" t="n">
        <x:v>11</x:v>
      </x:c>
      <x:c r="C690" s="68" t="n">
        <x:v>46337</x:v>
      </x:c>
      <x:c r="D690" s="71" t="str">
        <x:v>pre</x:v>
      </x:c>
      <x:c r="E690" s="72" t="b">
        <x:v>0</x:v>
      </x:c>
      <x:c r="F690" t="str">
        <x:v>Kent State Golden Flashes</x:v>
      </x:c>
      <x:c r="G690" t="str">
        <x:v>KENT</x:v>
      </x:c>
      <x:c r="H690" s="69" t="n">
        <x:v>0</x:v>
      </x:c>
      <x:c r="I690" t="str">
        <x:v>1-2</x:v>
      </x:c>
      <x:c r="J690" t="str">
        <x:f>IF(E690&lt;&gt;TRUE,"",IF(H690&gt;M690,"W",IF(H690&lt;M690,"L","T")))</x:f>
      </x:c>
      <x:c r="K690" t="str">
        <x:v>Bowling Green Falcons</x:v>
      </x:c>
      <x:c r="L690" t="str">
        <x:v>BGSU</x:v>
      </x:c>
      <x:c r="M690" s="69" t="n">
        <x:v>0</x:v>
      </x:c>
      <x:c r="N690" t="str">
        <x:v>0-3</x:v>
      </x:c>
      <x:c r="O690" t="str">
        <x:f>IF(E690&lt;&gt;TRUE,"",IF(M690&gt;H690,"W",IF(M690&lt;H690,"L","T")))</x:f>
      </x:c>
      <x:c r="P690" s="66" t="b">
        <x:v>0</x:v>
      </x:c>
      <x:c r="Q690" s="66" t="b">
        <x:v>1</x:v>
      </x:c>
      <x:c r="R690" t="str">
        <x:v>Doyt L. Perry Stadium</x:v>
      </x:c>
      <x:c r="S690" t="str"/>
      <x:c r="T690"/>
      <x:c r="U690" s="70"/>
      <x:c r="V690" s="70"/>
      <x:c r="W690"/>
      <x:c r="X690" t="str">
        <x:v>https://www.espn.com/college-football/game/_/gameId/401866459</x:v>
      </x:c>
    </x:row>
    <x:row r="691">
      <x:c r="A691" t="str">
        <x:v>CFB</x:v>
      </x:c>
      <x:c r="B691" t="n">
        <x:v>11</x:v>
      </x:c>
      <x:c r="C691" s="68" t="n">
        <x:v>46337</x:v>
      </x:c>
      <x:c r="D691" s="71" t="str">
        <x:v>pre</x:v>
      </x:c>
      <x:c r="E691" s="72" t="b">
        <x:v>0</x:v>
      </x:c>
      <x:c r="F691" t="str">
        <x:v>Ohio Bobcats</x:v>
      </x:c>
      <x:c r="G691" t="str">
        <x:v>OHIO</x:v>
      </x:c>
      <x:c r="H691" s="69" t="n">
        <x:v>0</x:v>
      </x:c>
      <x:c r="I691" t="str">
        <x:v>1-2</x:v>
      </x:c>
      <x:c r="J691" t="str">
        <x:f>IF(E691&lt;&gt;TRUE,"",IF(H691&gt;M691,"W",IF(H691&lt;M691,"L","T")))</x:f>
      </x:c>
      <x:c r="K691" t="str">
        <x:v>Miami (OH) RedHawks</x:v>
      </x:c>
      <x:c r="L691" t="str">
        <x:v>M-OH</x:v>
      </x:c>
      <x:c r="M691" s="69" t="n">
        <x:v>0</x:v>
      </x:c>
      <x:c r="N691" t="str">
        <x:v>1-2</x:v>
      </x:c>
      <x:c r="O691" t="str">
        <x:f>IF(E691&lt;&gt;TRUE,"",IF(M691&gt;H691,"W",IF(M691&lt;H691,"L","T")))</x:f>
      </x:c>
      <x:c r="P691" s="66" t="b">
        <x:v>0</x:v>
      </x:c>
      <x:c r="Q691" s="66" t="b">
        <x:v>1</x:v>
      </x:c>
      <x:c r="R691" t="str">
        <x:v>Yager Stadium</x:v>
      </x:c>
      <x:c r="S691" t="str"/>
      <x:c r="T691"/>
      <x:c r="U691" s="70"/>
      <x:c r="V691" s="70"/>
      <x:c r="W691"/>
      <x:c r="X691" t="str">
        <x:v>https://www.espn.com/college-football/game/_/gameId/401866460</x:v>
      </x:c>
    </x:row>
    <x:row r="692">
      <x:c r="A692" t="str">
        <x:v>CFB</x:v>
      </x:c>
      <x:c r="B692" t="n">
        <x:v>11</x:v>
      </x:c>
      <x:c r="C692" s="68" t="n">
        <x:v>46337.208333333336</x:v>
      </x:c>
      <x:c r="D692" s="71" t="str">
        <x:v>pre</x:v>
      </x:c>
      <x:c r="E692" s="72" t="b">
        <x:v>0</x:v>
      </x:c>
      <x:c r="F692" t="str">
        <x:v>Buffalo Bulls</x:v>
      </x:c>
      <x:c r="G692" t="str">
        <x:v>BUFF</x:v>
      </x:c>
      <x:c r="H692" s="69" t="n">
        <x:v>0</x:v>
      </x:c>
      <x:c r="I692" t="str">
        <x:v>1-2</x:v>
      </x:c>
      <x:c r="J692" t="str">
        <x:f>IF(E692&lt;&gt;TRUE,"",IF(H692&gt;M692,"W",IF(H692&lt;M692,"L","T")))</x:f>
      </x:c>
      <x:c r="K692" t="str">
        <x:v>Ball State Cardinals</x:v>
      </x:c>
      <x:c r="L692" t="str">
        <x:v>BALL</x:v>
      </x:c>
      <x:c r="M692" s="69" t="n">
        <x:v>0</x:v>
      </x:c>
      <x:c r="N692" t="str">
        <x:v>1-2</x:v>
      </x:c>
      <x:c r="O692" t="str">
        <x:f>IF(E692&lt;&gt;TRUE,"",IF(M692&gt;H692,"W",IF(M692&lt;H692,"L","T")))</x:f>
      </x:c>
      <x:c r="P692" s="66" t="b">
        <x:v>0</x:v>
      </x:c>
      <x:c r="Q692" s="66" t="b">
        <x:v>1</x:v>
      </x:c>
      <x:c r="R692" t="str">
        <x:v>Scheumann Stadium</x:v>
      </x:c>
      <x:c r="S692" t="str"/>
      <x:c r="T692"/>
      <x:c r="U692" s="70"/>
      <x:c r="V692" s="70"/>
      <x:c r="W692"/>
      <x:c r="X692" t="str">
        <x:v>https://www.espn.com/college-football/game/_/gameId/401866461</x:v>
      </x:c>
    </x:row>
    <x:row r="693">
      <x:c r="A693" t="str">
        <x:v>CFB</x:v>
      </x:c>
      <x:c r="B693" t="n">
        <x:v>11</x:v>
      </x:c>
      <x:c r="C693" s="68" t="n">
        <x:v>46337.208333333336</x:v>
      </x:c>
      <x:c r="D693" s="71" t="str">
        <x:v>pre</x:v>
      </x:c>
      <x:c r="E693" s="72" t="b">
        <x:v>0</x:v>
      </x:c>
      <x:c r="F693" t="str">
        <x:v>Sacramento State Hornets</x:v>
      </x:c>
      <x:c r="G693" t="str">
        <x:v>SAC</x:v>
      </x:c>
      <x:c r="H693" s="69" t="n">
        <x:v>0</x:v>
      </x:c>
      <x:c r="I693" t="str">
        <x:v>1-3</x:v>
      </x:c>
      <x:c r="J693" t="str">
        <x:f>IF(E693&lt;&gt;TRUE,"",IF(H693&gt;M693,"W",IF(H693&lt;M693,"L","T")))</x:f>
      </x:c>
      <x:c r="K693" t="str">
        <x:v>Central Michigan Chippewas</x:v>
      </x:c>
      <x:c r="L693" t="str">
        <x:v>CMU</x:v>
      </x:c>
      <x:c r="M693" s="69" t="n">
        <x:v>0</x:v>
      </x:c>
      <x:c r="N693" t="str">
        <x:v>2-1</x:v>
      </x:c>
      <x:c r="O693" t="str">
        <x:f>IF(E693&lt;&gt;TRUE,"",IF(M693&gt;H693,"W",IF(M693&lt;H693,"L","T")))</x:f>
      </x:c>
      <x:c r="P693" s="66" t="b">
        <x:v>0</x:v>
      </x:c>
      <x:c r="Q693" s="66" t="b">
        <x:v>1</x:v>
      </x:c>
      <x:c r="R693" t="str">
        <x:v>Kelly/Shorts Stadium</x:v>
      </x:c>
      <x:c r="S693" t="str"/>
      <x:c r="T693"/>
      <x:c r="U693" s="70"/>
      <x:c r="V693" s="70"/>
      <x:c r="W693"/>
      <x:c r="X693" t="str">
        <x:v>https://www.espn.com/college-football/game/_/gameId/401866462</x:v>
      </x:c>
    </x:row>
    <x:row r="694">
      <x:c r="A694" t="str">
        <x:v>CFB</x:v>
      </x:c>
      <x:c r="B694" t="n">
        <x:v>11</x:v>
      </x:c>
      <x:c r="C694" s="68" t="n">
        <x:v>46337.208333333336</x:v>
      </x:c>
      <x:c r="D694" s="71" t="str">
        <x:v>pre</x:v>
      </x:c>
      <x:c r="E694" s="72" t="b">
        <x:v>0</x:v>
      </x:c>
      <x:c r="F694" t="str">
        <x:v>Massachusetts Minutemen</x:v>
      </x:c>
      <x:c r="G694" t="str">
        <x:v>MASS</x:v>
      </x:c>
      <x:c r="H694" s="69" t="n">
        <x:v>0</x:v>
      </x:c>
      <x:c r="I694" t="str">
        <x:v>3-0</x:v>
      </x:c>
      <x:c r="J694" t="str">
        <x:f>IF(E694&lt;&gt;TRUE,"",IF(H694&gt;M694,"W",IF(H694&lt;M694,"L","T")))</x:f>
      </x:c>
      <x:c r="K694" t="str">
        <x:v>Toledo Rockets</x:v>
      </x:c>
      <x:c r="L694" t="str">
        <x:v>TOL</x:v>
      </x:c>
      <x:c r="M694" s="69" t="n">
        <x:v>0</x:v>
      </x:c>
      <x:c r="N694" t="str">
        <x:v>2-1</x:v>
      </x:c>
      <x:c r="O694" t="str">
        <x:f>IF(E694&lt;&gt;TRUE,"",IF(M694&gt;H694,"W",IF(M694&lt;H694,"L","T")))</x:f>
      </x:c>
      <x:c r="P694" s="66" t="b">
        <x:v>0</x:v>
      </x:c>
      <x:c r="Q694" s="66" t="b">
        <x:v>1</x:v>
      </x:c>
      <x:c r="R694" t="str">
        <x:v>Glass Bowl</x:v>
      </x:c>
      <x:c r="S694" t="str"/>
      <x:c r="T694"/>
      <x:c r="U694" s="70"/>
      <x:c r="V694" s="70"/>
      <x:c r="W694"/>
      <x:c r="X694" t="str">
        <x:v>https://www.espn.com/college-football/game/_/gameId/401866463</x:v>
      </x:c>
    </x:row>
    <x:row r="695">
      <x:c r="A695" t="str">
        <x:v>CFB</x:v>
      </x:c>
      <x:c r="B695" t="n">
        <x:v>11</x:v>
      </x:c>
      <x:c r="C695" s="68" t="n">
        <x:v>46339.041666666664</x:v>
      </x:c>
      <x:c r="D695" s="71" t="str">
        <x:v>pre</x:v>
      </x:c>
      <x:c r="E695" s="72" t="b">
        <x:v>0</x:v>
      </x:c>
      <x:c r="F695" t="str">
        <x:v>Memphis Tigers</x:v>
      </x:c>
      <x:c r="G695" t="str">
        <x:v>MEM</x:v>
      </x:c>
      <x:c r="H695" s="69" t="n">
        <x:v>0</x:v>
      </x:c>
      <x:c r="I695" t="str">
        <x:v>3-1</x:v>
      </x:c>
      <x:c r="J695" t="str">
        <x:f>IF(E695&lt;&gt;TRUE,"",IF(H695&gt;M695,"W",IF(H695&lt;M695,"L","T")))</x:f>
      </x:c>
      <x:c r="K695" t="str">
        <x:v>South Florida Bulls</x:v>
      </x:c>
      <x:c r="L695" t="str">
        <x:v>USF</x:v>
      </x:c>
      <x:c r="M695" s="69" t="n">
        <x:v>0</x:v>
      </x:c>
      <x:c r="N695" t="str">
        <x:v>3-0</x:v>
      </x:c>
      <x:c r="O695" t="str">
        <x:f>IF(E695&lt;&gt;TRUE,"",IF(M695&gt;H695,"W",IF(M695&lt;H695,"L","T")))</x:f>
      </x:c>
      <x:c r="P695" s="66" t="b">
        <x:v>0</x:v>
      </x:c>
      <x:c r="Q695" s="66" t="b">
        <x:v>1</x:v>
      </x:c>
      <x:c r="R695" t="str">
        <x:v>Raymond James Stadium</x:v>
      </x:c>
      <x:c r="S695" t="str"/>
      <x:c r="T695"/>
      <x:c r="U695" s="70"/>
      <x:c r="V695" s="70"/>
      <x:c r="W695"/>
      <x:c r="X695" t="str">
        <x:v>https://www.espn.com/college-football/game/_/gameId/401862824</x:v>
      </x:c>
    </x:row>
    <x:row r="696">
      <x:c r="A696" t="str">
        <x:v>CFB</x:v>
      </x:c>
      <x:c r="B696" t="n">
        <x:v>11</x:v>
      </x:c>
      <x:c r="C696" s="68" t="n">
        <x:v>46339.083333333336</x:v>
      </x:c>
      <x:c r="D696" s="71" t="str">
        <x:v>pre</x:v>
      </x:c>
      <x:c r="E696" s="72" t="b">
        <x:v>0</x:v>
      </x:c>
      <x:c r="F696" t="str">
        <x:v>Louisiana Ragin' Cajuns</x:v>
      </x:c>
      <x:c r="G696" t="str">
        <x:v>UL</x:v>
      </x:c>
      <x:c r="H696" s="69" t="n">
        <x:v>0</x:v>
      </x:c>
      <x:c r="I696" t="str">
        <x:v>2-1</x:v>
      </x:c>
      <x:c r="J696" t="str">
        <x:f>IF(E696&lt;&gt;TRUE,"",IF(H696&gt;M696,"W",IF(H696&lt;M696,"L","T")))</x:f>
      </x:c>
      <x:c r="K696" t="str">
        <x:v>UL Monroe Warhawks</x:v>
      </x:c>
      <x:c r="L696" t="str">
        <x:v>ULM</x:v>
      </x:c>
      <x:c r="M696" s="69" t="n">
        <x:v>0</x:v>
      </x:c>
      <x:c r="N696" t="str">
        <x:v>0-3</x:v>
      </x:c>
      <x:c r="O696" t="str">
        <x:f>IF(E696&lt;&gt;TRUE,"",IF(M696&gt;H696,"W",IF(M696&lt;H696,"L","T")))</x:f>
      </x:c>
      <x:c r="P696" s="66" t="b">
        <x:v>0</x:v>
      </x:c>
      <x:c r="Q696" s="66" t="b">
        <x:v>1</x:v>
      </x:c>
      <x:c r="R696" t="str">
        <x:v>Malone Stadium</x:v>
      </x:c>
      <x:c r="S696" t="str"/>
      <x:c r="T696"/>
      <x:c r="U696" s="70"/>
      <x:c r="V696" s="70"/>
      <x:c r="W696"/>
      <x:c r="X696" t="str">
        <x:v>https://www.espn.com/college-football/game/_/gameId/401869969</x:v>
      </x:c>
    </x:row>
    <x:row r="697">
      <x:c r="A697" t="str">
        <x:v>CFB</x:v>
      </x:c>
      <x:c r="B697" t="n">
        <x:v>11</x:v>
      </x:c>
      <x:c r="C697" s="68" t="n">
        <x:v>46340</x:v>
      </x:c>
      <x:c r="D697" s="71" t="str">
        <x:v>pre</x:v>
      </x:c>
      <x:c r="E697" s="72" t="b">
        <x:v>0</x:v>
      </x:c>
      <x:c r="F697" t="str">
        <x:v>Florida State Seminoles</x:v>
      </x:c>
      <x:c r="G697" t="str">
        <x:v>FSU</x:v>
      </x:c>
      <x:c r="H697" s="69" t="n">
        <x:v>0</x:v>
      </x:c>
      <x:c r="I697" t="str">
        <x:v>1-2</x:v>
      </x:c>
      <x:c r="J697" t="str">
        <x:f>IF(E697&lt;&gt;TRUE,"",IF(H697&gt;M697,"W",IF(H697&lt;M697,"L","T")))</x:f>
      </x:c>
      <x:c r="K697" t="str">
        <x:v>Pittsburgh Panthers</x:v>
      </x:c>
      <x:c r="L697" t="str">
        <x:v>PITT</x:v>
      </x:c>
      <x:c r="M697" s="69" t="n">
        <x:v>0</x:v>
      </x:c>
      <x:c r="N697" t="str">
        <x:v>3-0</x:v>
      </x:c>
      <x:c r="O697" t="str">
        <x:f>IF(E697&lt;&gt;TRUE,"",IF(M697&gt;H697,"W",IF(M697&lt;H697,"L","T")))</x:f>
      </x:c>
      <x:c r="P697" s="66" t="b">
        <x:v>0</x:v>
      </x:c>
      <x:c r="Q697" s="66" t="b">
        <x:v>1</x:v>
      </x:c>
      <x:c r="R697" t="str">
        <x:v>Acrisure Stadium</x:v>
      </x:c>
      <x:c r="S697" t="str">
        <x:v>ESPN</x:v>
      </x:c>
      <x:c r="T697"/>
      <x:c r="U697" s="70"/>
      <x:c r="V697" s="70"/>
      <x:c r="W697"/>
      <x:c r="X697" t="str">
        <x:v>https://www.espn.com/college-football/game/_/gameId/401858293</x:v>
      </x:c>
    </x:row>
    <x:row r="698">
      <x:c r="A698" t="str">
        <x:v>CFB</x:v>
      </x:c>
      <x:c r="B698" t="n">
        <x:v>11</x:v>
      </x:c>
      <x:c r="C698" s="68" t="n">
        <x:v>46340.083333333336</x:v>
      </x:c>
      <x:c r="D698" s="71" t="str">
        <x:v>pre</x:v>
      </x:c>
      <x:c r="E698" s="72" t="b">
        <x:v>0</x:v>
      </x:c>
      <x:c r="F698" t="str">
        <x:v>Illinois Fighting Illini</x:v>
      </x:c>
      <x:c r="G698" t="str">
        <x:v>ILL</x:v>
      </x:c>
      <x:c r="H698" s="69" t="n">
        <x:v>0</x:v>
      </x:c>
      <x:c r="I698" t="str">
        <x:v>2-1</x:v>
      </x:c>
      <x:c r="J698" t="str">
        <x:f>IF(E698&lt;&gt;TRUE,"",IF(H698&gt;M698,"W",IF(H698&lt;M698,"L","T")))</x:f>
      </x:c>
      <x:c r="K698" t="str">
        <x:v>UCLA Bruins</x:v>
      </x:c>
      <x:c r="L698" t="str">
        <x:v>UCLA</x:v>
      </x:c>
      <x:c r="M698" s="69" t="n">
        <x:v>0</x:v>
      </x:c>
      <x:c r="N698" t="str">
        <x:v>3-0</x:v>
      </x:c>
      <x:c r="O698" t="str">
        <x:f>IF(E698&lt;&gt;TRUE,"",IF(M698&gt;H698,"W",IF(M698&lt;H698,"L","T")))</x:f>
      </x:c>
      <x:c r="P698" s="66" t="b">
        <x:v>0</x:v>
      </x:c>
      <x:c r="Q698" s="66" t="b">
        <x:v>1</x:v>
      </x:c>
      <x:c r="R698" t="str">
        <x:v>Rose Bowl</x:v>
      </x:c>
      <x:c r="S698" t="str">
        <x:v>FOX</x:v>
      </x:c>
      <x:c r="T698"/>
      <x:c r="U698" s="70"/>
      <x:c r="V698" s="70"/>
      <x:c r="W698"/>
      <x:c r="X698" t="str">
        <x:v>https://www.espn.com/college-football/game/_/gameId/401858526</x:v>
      </x:c>
    </x:row>
    <x:row r="699">
      <x:c r="A699" t="str">
        <x:v>CFB</x:v>
      </x:c>
      <x:c r="B699" t="n">
        <x:v>11</x:v>
      </x:c>
      <x:c r="C699" s="68" t="n">
        <x:v>46340.135416666664</x:v>
      </x:c>
      <x:c r="D699" s="71" t="str">
        <x:v>pre</x:v>
      </x:c>
      <x:c r="E699" s="72" t="b">
        <x:v>0</x:v>
      </x:c>
      <x:c r="F699" t="str">
        <x:v>Houston Cougars</x:v>
      </x:c>
      <x:c r="G699" t="str">
        <x:v>HOU</x:v>
      </x:c>
      <x:c r="H699" s="69" t="n">
        <x:v>0</x:v>
      </x:c>
      <x:c r="I699" t="str">
        <x:v>2-1</x:v>
      </x:c>
      <x:c r="J699" t="str">
        <x:f>IF(E699&lt;&gt;TRUE,"",IF(H699&gt;M699,"W",IF(H699&lt;M699,"L","T")))</x:f>
      </x:c>
      <x:c r="K699" t="str">
        <x:v>Colorado Buffaloes</x:v>
      </x:c>
      <x:c r="L699" t="str">
        <x:v>COLO</x:v>
      </x:c>
      <x:c r="M699" s="69" t="n">
        <x:v>0</x:v>
      </x:c>
      <x:c r="N699" t="str">
        <x:v>2-1</x:v>
      </x:c>
      <x:c r="O699" t="str">
        <x:f>IF(E699&lt;&gt;TRUE,"",IF(M699&gt;H699,"W",IF(M699&lt;H699,"L","T")))</x:f>
      </x:c>
      <x:c r="P699" s="66" t="b">
        <x:v>0</x:v>
      </x:c>
      <x:c r="Q699" s="66" t="b">
        <x:v>1</x:v>
      </x:c>
      <x:c r="R699" t="str">
        <x:v>Folsom Field</x:v>
      </x:c>
      <x:c r="S699" t="str">
        <x:v>ESPN</x:v>
      </x:c>
      <x:c r="T699"/>
      <x:c r="U699" s="70"/>
      <x:c r="V699" s="70"/>
      <x:c r="W699"/>
      <x:c r="X699" t="str">
        <x:v>https://www.espn.com/college-football/game/_/gameId/401856860</x:v>
      </x:c>
    </x:row>
    <x:row r="700">
      <x:c r="A700" t="str">
        <x:v>CFB</x:v>
      </x:c>
      <x:c r="B700" t="n">
        <x:v>11</x:v>
      </x:c>
      <x:c r="C700" s="68" t="n">
        <x:v>46340.208333333336</x:v>
      </x:c>
      <x:c r="D700" s="71" t="str">
        <x:v>pre</x:v>
      </x:c>
      <x:c r="E700" s="72" t="b">
        <x:v>0</x:v>
      </x:c>
      <x:c r="F700" t="str">
        <x:v>Arizona State Sun Devils</x:v>
      </x:c>
      <x:c r="G700" t="str">
        <x:v>ASU</x:v>
      </x:c>
      <x:c r="H700" s="69" t="n">
        <x:v>0</x:v>
      </x:c>
      <x:c r="I700" t="str">
        <x:v>2-1</x:v>
      </x:c>
      <x:c r="J700" t="str">
        <x:f>IF(E700&lt;&gt;TRUE,"",IF(H700&gt;M700,"W",IF(H700&lt;M700,"L","T")))</x:f>
      </x:c>
      <x:c r="K700" t="str">
        <x:v>UCF Knights</x:v>
      </x:c>
      <x:c r="L700" t="str">
        <x:v>UCF</x:v>
      </x:c>
      <x:c r="M700" s="69" t="n">
        <x:v>0</x:v>
      </x:c>
      <x:c r="N700" t="str">
        <x:v>2-1</x:v>
      </x:c>
      <x:c r="O700" t="str">
        <x:f>IF(E700&lt;&gt;TRUE,"",IF(M700&gt;H700,"W",IF(M700&lt;H700,"L","T")))</x:f>
      </x:c>
      <x:c r="P700" s="66" t="b">
        <x:v>0</x:v>
      </x:c>
      <x:c r="Q700" s="66" t="b">
        <x:v>1</x:v>
      </x:c>
      <x:c r="R700" t="str">
        <x:v>Acrisure Bounce House</x:v>
      </x:c>
      <x:c r="S700" t="str"/>
      <x:c r="T700"/>
      <x:c r="U700" s="70"/>
      <x:c r="V700" s="70"/>
      <x:c r="W700"/>
      <x:c r="X700" t="str">
        <x:v>https://www.espn.com/college-football/game/_/gameId/401856857</x:v>
      </x:c>
    </x:row>
    <x:row r="701">
      <x:c r="A701" t="str">
        <x:v>CFB</x:v>
      </x:c>
      <x:c r="B701" t="n">
        <x:v>11</x:v>
      </x:c>
      <x:c r="C701" s="68" t="n">
        <x:v>46340.208333333336</x:v>
      </x:c>
      <x:c r="D701" s="71" t="str">
        <x:v>pre</x:v>
      </x:c>
      <x:c r="E701" s="72" t="b">
        <x:v>0</x:v>
      </x:c>
      <x:c r="F701" t="str">
        <x:v>Baylor Bears</x:v>
      </x:c>
      <x:c r="G701" t="str">
        <x:v>BAY</x:v>
      </x:c>
      <x:c r="H701" s="69" t="n">
        <x:v>0</x:v>
      </x:c>
      <x:c r="I701" t="str">
        <x:v>2-1</x:v>
      </x:c>
      <x:c r="J701" t="str">
        <x:f>IF(E701&lt;&gt;TRUE,"",IF(H701&gt;M701,"W",IF(H701&lt;M701,"L","T")))</x:f>
      </x:c>
      <x:c r="K701" t="str">
        <x:v>BYU Cougars</x:v>
      </x:c>
      <x:c r="L701" t="str">
        <x:v>BYU</x:v>
      </x:c>
      <x:c r="M701" s="69" t="n">
        <x:v>0</x:v>
      </x:c>
      <x:c r="N701" t="str">
        <x:v>3-0</x:v>
      </x:c>
      <x:c r="O701" t="str">
        <x:f>IF(E701&lt;&gt;TRUE,"",IF(M701&gt;H701,"W",IF(M701&lt;H701,"L","T")))</x:f>
      </x:c>
      <x:c r="P701" s="66" t="b">
        <x:v>0</x:v>
      </x:c>
      <x:c r="Q701" s="66" t="b">
        <x:v>1</x:v>
      </x:c>
      <x:c r="R701" t="str">
        <x:v>LaVell Edwards Stadium</x:v>
      </x:c>
      <x:c r="S701" t="str"/>
      <x:c r="T701"/>
      <x:c r="U701" s="70"/>
      <x:c r="V701" s="70"/>
      <x:c r="W701"/>
      <x:c r="X701" t="str">
        <x:v>https://www.espn.com/college-football/game/_/gameId/401856858</x:v>
      </x:c>
    </x:row>
    <x:row r="702">
      <x:c r="A702" t="str">
        <x:v>CFB</x:v>
      </x:c>
      <x:c r="B702" t="n">
        <x:v>11</x:v>
      </x:c>
      <x:c r="C702" s="68" t="n">
        <x:v>46340.208333333336</x:v>
      </x:c>
      <x:c r="D702" s="71" t="str">
        <x:v>pre</x:v>
      </x:c>
      <x:c r="E702" s="72" t="b">
        <x:v>0</x:v>
      </x:c>
      <x:c r="F702" t="str">
        <x:v>Cincinnati Bearcats</x:v>
      </x:c>
      <x:c r="G702" t="str">
        <x:v>CIN</x:v>
      </x:c>
      <x:c r="H702" s="69" t="n">
        <x:v>0</x:v>
      </x:c>
      <x:c r="I702" t="str">
        <x:v>3-0</x:v>
      </x:c>
      <x:c r="J702" t="str">
        <x:f>IF(E702&lt;&gt;TRUE,"",IF(H702&gt;M702,"W",IF(H702&lt;M702,"L","T")))</x:f>
      </x:c>
      <x:c r="K702" t="str">
        <x:v>Iowa State Cyclones</x:v>
      </x:c>
      <x:c r="L702" t="str">
        <x:v>ISU</x:v>
      </x:c>
      <x:c r="M702" s="69" t="n">
        <x:v>0</x:v>
      </x:c>
      <x:c r="N702" t="str">
        <x:v>2-1</x:v>
      </x:c>
      <x:c r="O702" t="str">
        <x:f>IF(E702&lt;&gt;TRUE,"",IF(M702&gt;H702,"W",IF(M702&lt;H702,"L","T")))</x:f>
      </x:c>
      <x:c r="P702" s="66" t="b">
        <x:v>0</x:v>
      </x:c>
      <x:c r="Q702" s="66" t="b">
        <x:v>1</x:v>
      </x:c>
      <x:c r="R702" t="str">
        <x:v>Jack Trice Stadium</x:v>
      </x:c>
      <x:c r="S702" t="str"/>
      <x:c r="T702"/>
      <x:c r="U702" s="70"/>
      <x:c r="V702" s="70"/>
      <x:c r="W702"/>
      <x:c r="X702" t="str">
        <x:v>https://www.espn.com/college-football/game/_/gameId/401856859</x:v>
      </x:c>
    </x:row>
    <x:row r="703">
      <x:c r="A703" t="str">
        <x:v>CFB</x:v>
      </x:c>
      <x:c r="B703" t="n">
        <x:v>11</x:v>
      </x:c>
      <x:c r="C703" s="68" t="n">
        <x:v>46340.208333333336</x:v>
      </x:c>
      <x:c r="D703" s="71" t="str">
        <x:v>pre</x:v>
      </x:c>
      <x:c r="E703" s="72" t="b">
        <x:v>0</x:v>
      </x:c>
      <x:c r="F703" t="str">
        <x:v>Kansas Jayhawks</x:v>
      </x:c>
      <x:c r="G703" t="str">
        <x:v>KU</x:v>
      </x:c>
      <x:c r="H703" s="69" t="n">
        <x:v>0</x:v>
      </x:c>
      <x:c r="I703" t="str">
        <x:v>1-2</x:v>
      </x:c>
      <x:c r="J703" t="str">
        <x:f>IF(E703&lt;&gt;TRUE,"",IF(H703&gt;M703,"W",IF(H703&lt;M703,"L","T")))</x:f>
      </x:c>
      <x:c r="K703" t="str">
        <x:v>West Virginia Mountaineers</x:v>
      </x:c>
      <x:c r="L703" t="str">
        <x:v>WVU</x:v>
      </x:c>
      <x:c r="M703" s="69" t="n">
        <x:v>0</x:v>
      </x:c>
      <x:c r="N703" t="str">
        <x:v>3-0</x:v>
      </x:c>
      <x:c r="O703" t="str">
        <x:f>IF(E703&lt;&gt;TRUE,"",IF(M703&gt;H703,"W",IF(M703&lt;H703,"L","T")))</x:f>
      </x:c>
      <x:c r="P703" s="66" t="b">
        <x:v>0</x:v>
      </x:c>
      <x:c r="Q703" s="66" t="b">
        <x:v>1</x:v>
      </x:c>
      <x:c r="R703" t="str">
        <x:v>Milan Puskar Stadium</x:v>
      </x:c>
      <x:c r="S703" t="str"/>
      <x:c r="T703"/>
      <x:c r="U703" s="70"/>
      <x:c r="V703" s="70"/>
      <x:c r="W703"/>
      <x:c r="X703" t="str">
        <x:v>https://www.espn.com/college-football/game/_/gameId/401856861</x:v>
      </x:c>
    </x:row>
    <x:row r="704">
      <x:c r="A704" t="str">
        <x:v>CFB</x:v>
      </x:c>
      <x:c r="B704" t="n">
        <x:v>11</x:v>
      </x:c>
      <x:c r="C704" s="68" t="n">
        <x:v>46340.208333333336</x:v>
      </x:c>
      <x:c r="D704" s="71" t="str">
        <x:v>pre</x:v>
      </x:c>
      <x:c r="E704" s="72" t="b">
        <x:v>0</x:v>
      </x:c>
      <x:c r="F704" t="str">
        <x:v>Kansas State Wildcats</x:v>
      </x:c>
      <x:c r="G704" t="str">
        <x:v>KSU</x:v>
      </x:c>
      <x:c r="H704" s="69" t="n">
        <x:v>0</x:v>
      </x:c>
      <x:c r="I704" t="str">
        <x:v>3-0</x:v>
      </x:c>
      <x:c r="J704" t="str">
        <x:f>IF(E704&lt;&gt;TRUE,"",IF(H704&gt;M704,"W",IF(H704&lt;M704,"L","T")))</x:f>
      </x:c>
      <x:c r="K704" t="str">
        <x:v>TCU Horned Frogs</x:v>
      </x:c>
      <x:c r="L704" t="str">
        <x:v>TCU</x:v>
      </x:c>
      <x:c r="M704" s="69" t="n">
        <x:v>0</x:v>
      </x:c>
      <x:c r="N704" t="str">
        <x:v>2-1</x:v>
      </x:c>
      <x:c r="O704" t="str">
        <x:f>IF(E704&lt;&gt;TRUE,"",IF(M704&gt;H704,"W",IF(M704&lt;H704,"L","T")))</x:f>
      </x:c>
      <x:c r="P704" s="66" t="b">
        <x:v>0</x:v>
      </x:c>
      <x:c r="Q704" s="66" t="b">
        <x:v>1</x:v>
      </x:c>
      <x:c r="R704" t="str">
        <x:v>Amon G. Carter Stadium</x:v>
      </x:c>
      <x:c r="S704" t="str"/>
      <x:c r="T704"/>
      <x:c r="U704" s="70"/>
      <x:c r="V704" s="70"/>
      <x:c r="W704"/>
      <x:c r="X704" t="str">
        <x:v>https://www.espn.com/college-football/game/_/gameId/401856862</x:v>
      </x:c>
    </x:row>
    <x:row r="705">
      <x:c r="A705" t="str">
        <x:v>CFB</x:v>
      </x:c>
      <x:c r="B705" t="n">
        <x:v>11</x:v>
      </x:c>
      <x:c r="C705" s="68" t="n">
        <x:v>46340.208333333336</x:v>
      </x:c>
      <x:c r="D705" s="71" t="str">
        <x:v>pre</x:v>
      </x:c>
      <x:c r="E705" s="72" t="b">
        <x:v>0</x:v>
      </x:c>
      <x:c r="F705" t="str">
        <x:v>Texas Tech Red Raiders</x:v>
      </x:c>
      <x:c r="G705" t="str">
        <x:v>TTU</x:v>
      </x:c>
      <x:c r="H705" s="69" t="n">
        <x:v>0</x:v>
      </x:c>
      <x:c r="I705" t="str">
        <x:v>3-0</x:v>
      </x:c>
      <x:c r="J705" t="str">
        <x:f>IF(E705&lt;&gt;TRUE,"",IF(H705&gt;M705,"W",IF(H705&lt;M705,"L","T")))</x:f>
      </x:c>
      <x:c r="K705" t="str">
        <x:v>Oklahoma State Cowboys</x:v>
      </x:c>
      <x:c r="L705" t="str">
        <x:v>OKST</x:v>
      </x:c>
      <x:c r="M705" s="69" t="n">
        <x:v>0</x:v>
      </x:c>
      <x:c r="N705" t="str">
        <x:v>2-1</x:v>
      </x:c>
      <x:c r="O705" t="str">
        <x:f>IF(E705&lt;&gt;TRUE,"",IF(M705&gt;H705,"W",IF(M705&lt;H705,"L","T")))</x:f>
      </x:c>
      <x:c r="P705" s="66" t="b">
        <x:v>0</x:v>
      </x:c>
      <x:c r="Q705" s="66" t="b">
        <x:v>1</x:v>
      </x:c>
      <x:c r="R705" t="str">
        <x:v>Boone Pickens Stadium</x:v>
      </x:c>
      <x:c r="S705" t="str"/>
      <x:c r="T705" t="str">
        <x:v>TTU -15.5</x:v>
      </x:c>
      <x:c r="U705" s="70" t="n">
        <x:v>15.5</x:v>
      </x:c>
      <x:c r="V705" s="70" t="n">
        <x:v>61.5</x:v>
      </x:c>
      <x:c r="W705" t="str">
        <x:v>DraftKings</x:v>
      </x:c>
      <x:c r="X705" t="str">
        <x:v>https://www.espn.com/college-football/game/_/gameId/401856863</x:v>
      </x:c>
    </x:row>
    <x:row r="706">
      <x:c r="A706" t="str">
        <x:v>CFB</x:v>
      </x:c>
      <x:c r="B706" t="n">
        <x:v>11</x:v>
      </x:c>
      <x:c r="C706" s="68" t="n">
        <x:v>46340.208333333336</x:v>
      </x:c>
      <x:c r="D706" s="71" t="str">
        <x:v>pre</x:v>
      </x:c>
      <x:c r="E706" s="72" t="b">
        <x:v>0</x:v>
      </x:c>
      <x:c r="F706" t="str">
        <x:v>Utah Utes</x:v>
      </x:c>
      <x:c r="G706" t="str">
        <x:v>UTAH</x:v>
      </x:c>
      <x:c r="H706" s="69" t="n">
        <x:v>0</x:v>
      </x:c>
      <x:c r="I706" t="str">
        <x:v>3-0</x:v>
      </x:c>
      <x:c r="J706" t="str">
        <x:f>IF(E706&lt;&gt;TRUE,"",IF(H706&gt;M706,"W",IF(H706&lt;M706,"L","T")))</x:f>
      </x:c>
      <x:c r="K706" t="str">
        <x:v>Arizona Wildcats</x:v>
      </x:c>
      <x:c r="L706" t="str">
        <x:v>ARIZ</x:v>
      </x:c>
      <x:c r="M706" s="69" t="n">
        <x:v>0</x:v>
      </x:c>
      <x:c r="N706" t="str">
        <x:v>2-1</x:v>
      </x:c>
      <x:c r="O706" t="str">
        <x:f>IF(E706&lt;&gt;TRUE,"",IF(M706&gt;H706,"W",IF(M706&lt;H706,"L","T")))</x:f>
      </x:c>
      <x:c r="P706" s="66" t="b">
        <x:v>0</x:v>
      </x:c>
      <x:c r="Q706" s="66" t="b">
        <x:v>1</x:v>
      </x:c>
      <x:c r="R706" t="str">
        <x:v>Casino Del Sol Stadium</x:v>
      </x:c>
      <x:c r="S706" t="str"/>
      <x:c r="T706"/>
      <x:c r="U706" s="70"/>
      <x:c r="V706" s="70"/>
      <x:c r="W706"/>
      <x:c r="X706" t="str">
        <x:v>https://www.espn.com/college-football/game/_/gameId/401856864</x:v>
      </x:c>
    </x:row>
    <x:row r="707">
      <x:c r="A707" t="str">
        <x:v>CFB</x:v>
      </x:c>
      <x:c r="B707" t="n">
        <x:v>11</x:v>
      </x:c>
      <x:c r="C707" s="68" t="n">
        <x:v>46340.208333333336</x:v>
      </x:c>
      <x:c r="D707" s="71" t="str">
        <x:v>pre</x:v>
      </x:c>
      <x:c r="E707" s="72" t="b">
        <x:v>0</x:v>
      </x:c>
      <x:c r="F707" t="str">
        <x:v>South Carolina Gamecocks</x:v>
      </x:c>
      <x:c r="G707" t="str">
        <x:v>SC</x:v>
      </x:c>
      <x:c r="H707" s="69" t="n">
        <x:v>0</x:v>
      </x:c>
      <x:c r="I707" t="str">
        <x:v>2-1</x:v>
      </x:c>
      <x:c r="J707" t="str">
        <x:f>IF(E707&lt;&gt;TRUE,"",IF(H707&gt;M707,"W",IF(H707&lt;M707,"L","T")))</x:f>
      </x:c>
      <x:c r="K707" t="str">
        <x:v>Arkansas Razorbacks</x:v>
      </x:c>
      <x:c r="L707" t="str">
        <x:v>ARK</x:v>
      </x:c>
      <x:c r="M707" s="69" t="n">
        <x:v>0</x:v>
      </x:c>
      <x:c r="N707" t="str">
        <x:v>1-2</x:v>
      </x:c>
      <x:c r="O707" t="str">
        <x:f>IF(E707&lt;&gt;TRUE,"",IF(M707&gt;H707,"W",IF(M707&lt;H707,"L","T")))</x:f>
      </x:c>
      <x:c r="P707" s="66" t="b">
        <x:v>0</x:v>
      </x:c>
      <x:c r="Q707" s="66" t="b">
        <x:v>1</x:v>
      </x:c>
      <x:c r="R707" t="str">
        <x:v>Donald W. Reynolds Razorback Stadium</x:v>
      </x:c>
      <x:c r="S707" t="str"/>
      <x:c r="T707"/>
      <x:c r="U707" s="70"/>
      <x:c r="V707" s="70"/>
      <x:c r="W707"/>
      <x:c r="X707" t="str">
        <x:v>https://www.espn.com/college-football/game/_/gameId/401856882</x:v>
      </x:c>
    </x:row>
    <x:row r="708">
      <x:c r="A708" t="str">
        <x:v>CFB</x:v>
      </x:c>
      <x:c r="B708" t="n">
        <x:v>11</x:v>
      </x:c>
      <x:c r="C708" s="68" t="n">
        <x:v>46340.208333333336</x:v>
      </x:c>
      <x:c r="D708" s="71" t="str">
        <x:v>pre</x:v>
      </x:c>
      <x:c r="E708" s="72" t="b">
        <x:v>0</x:v>
      </x:c>
      <x:c r="F708" t="str">
        <x:v>Missouri Tigers</x:v>
      </x:c>
      <x:c r="G708" t="str">
        <x:v>MIZ</x:v>
      </x:c>
      <x:c r="H708" s="69" t="n">
        <x:v>0</x:v>
      </x:c>
      <x:c r="I708" t="str">
        <x:v>3-0</x:v>
      </x:c>
      <x:c r="J708" t="str">
        <x:f>IF(E708&lt;&gt;TRUE,"",IF(H708&gt;M708,"W",IF(H708&lt;M708,"L","T")))</x:f>
      </x:c>
      <x:c r="K708" t="str">
        <x:v>Georgia Bulldogs</x:v>
      </x:c>
      <x:c r="L708" t="str">
        <x:v>UGA</x:v>
      </x:c>
      <x:c r="M708" s="69" t="n">
        <x:v>0</x:v>
      </x:c>
      <x:c r="N708" t="str">
        <x:v>3-0</x:v>
      </x:c>
      <x:c r="O708" t="str">
        <x:f>IF(E708&lt;&gt;TRUE,"",IF(M708&gt;H708,"W",IF(M708&lt;H708,"L","T")))</x:f>
      </x:c>
      <x:c r="P708" s="66" t="b">
        <x:v>0</x:v>
      </x:c>
      <x:c r="Q708" s="66" t="b">
        <x:v>1</x:v>
      </x:c>
      <x:c r="R708" t="str">
        <x:v>Sanford Stadium</x:v>
      </x:c>
      <x:c r="S708" t="str"/>
      <x:c r="T708"/>
      <x:c r="U708" s="70"/>
      <x:c r="V708" s="70"/>
      <x:c r="W708"/>
      <x:c r="X708" t="str">
        <x:v>https://www.espn.com/college-football/game/_/gameId/401856883</x:v>
      </x:c>
    </x:row>
    <x:row r="709">
      <x:c r="A709" t="str">
        <x:v>CFB</x:v>
      </x:c>
      <x:c r="B709" t="n">
        <x:v>11</x:v>
      </x:c>
      <x:c r="C709" s="68" t="n">
        <x:v>46340.208333333336</x:v>
      </x:c>
      <x:c r="D709" s="71" t="str">
        <x:v>pre</x:v>
      </x:c>
      <x:c r="E709" s="72" t="b">
        <x:v>0</x:v>
      </x:c>
      <x:c r="F709" t="str">
        <x:v>Florida Gators</x:v>
      </x:c>
      <x:c r="G709" t="str">
        <x:v>FLA</x:v>
      </x:c>
      <x:c r="H709" s="69" t="n">
        <x:v>0</x:v>
      </x:c>
      <x:c r="I709" t="str">
        <x:v>3-0</x:v>
      </x:c>
      <x:c r="J709" t="str">
        <x:f>IF(E709&lt;&gt;TRUE,"",IF(H709&gt;M709,"W",IF(H709&lt;M709,"L","T")))</x:f>
      </x:c>
      <x:c r="K709" t="str">
        <x:v>Kentucky Wildcats</x:v>
      </x:c>
      <x:c r="L709" t="str">
        <x:v>UK</x:v>
      </x:c>
      <x:c r="M709" s="69" t="n">
        <x:v>0</x:v>
      </x:c>
      <x:c r="N709" t="str">
        <x:v>2-1</x:v>
      </x:c>
      <x:c r="O709" t="str">
        <x:f>IF(E709&lt;&gt;TRUE,"",IF(M709&gt;H709,"W",IF(M709&lt;H709,"L","T")))</x:f>
      </x:c>
      <x:c r="P709" s="66" t="b">
        <x:v>0</x:v>
      </x:c>
      <x:c r="Q709" s="66" t="b">
        <x:v>1</x:v>
      </x:c>
      <x:c r="R709" t="str">
        <x:v>Kroger Field</x:v>
      </x:c>
      <x:c r="S709" t="str"/>
      <x:c r="T709"/>
      <x:c r="U709" s="70"/>
      <x:c r="V709" s="70"/>
      <x:c r="W709"/>
      <x:c r="X709" t="str">
        <x:v>https://www.espn.com/college-football/game/_/gameId/401856884</x:v>
      </x:c>
    </x:row>
    <x:row r="710">
      <x:c r="A710" t="str">
        <x:v>CFB</x:v>
      </x:c>
      <x:c r="B710" t="n">
        <x:v>11</x:v>
      </x:c>
      <x:c r="C710" s="68" t="n">
        <x:v>46340.208333333336</x:v>
      </x:c>
      <x:c r="D710" s="71" t="str">
        <x:v>pre</x:v>
      </x:c>
      <x:c r="E710" s="72" t="b">
        <x:v>0</x:v>
      </x:c>
      <x:c r="F710" t="str">
        <x:v>Texas Longhorns</x:v>
      </x:c>
      <x:c r="G710" t="str">
        <x:v>TEX</x:v>
      </x:c>
      <x:c r="H710" s="69" t="n">
        <x:v>0</x:v>
      </x:c>
      <x:c r="I710" t="str">
        <x:v>3-0</x:v>
      </x:c>
      <x:c r="J710" t="str">
        <x:f>IF(E710&lt;&gt;TRUE,"",IF(H710&gt;M710,"W",IF(H710&lt;M710,"L","T")))</x:f>
      </x:c>
      <x:c r="K710" t="str">
        <x:v>LSU Tigers</x:v>
      </x:c>
      <x:c r="L710" t="str">
        <x:v>LSU</x:v>
      </x:c>
      <x:c r="M710" s="69" t="n">
        <x:v>0</x:v>
      </x:c>
      <x:c r="N710" t="str">
        <x:v>2-1</x:v>
      </x:c>
      <x:c r="O710" t="str">
        <x:f>IF(E710&lt;&gt;TRUE,"",IF(M710&gt;H710,"W",IF(M710&lt;H710,"L","T")))</x:f>
      </x:c>
      <x:c r="P710" s="66" t="b">
        <x:v>0</x:v>
      </x:c>
      <x:c r="Q710" s="66" t="b">
        <x:v>1</x:v>
      </x:c>
      <x:c r="R710" t="str">
        <x:v>Tiger Stadium (LA)</x:v>
      </x:c>
      <x:c r="S710" t="str"/>
      <x:c r="T710" t="str">
        <x:v>TEX -2.5</x:v>
      </x:c>
      <x:c r="U710" s="70" t="n">
        <x:v>2.5</x:v>
      </x:c>
      <x:c r="V710" s="70" t="n">
        <x:v>54.5</x:v>
      </x:c>
      <x:c r="W710" t="str">
        <x:v>DraftKings</x:v>
      </x:c>
      <x:c r="X710" t="str">
        <x:v>https://www.espn.com/college-football/game/_/gameId/401856885</x:v>
      </x:c>
    </x:row>
    <x:row r="711">
      <x:c r="A711" t="str">
        <x:v>CFB</x:v>
      </x:c>
      <x:c r="B711" t="n">
        <x:v>11</x:v>
      </x:c>
      <x:c r="C711" s="68" t="n">
        <x:v>46340.208333333336</x:v>
      </x:c>
      <x:c r="D711" s="71" t="str">
        <x:v>pre</x:v>
      </x:c>
      <x:c r="E711" s="72" t="b">
        <x:v>0</x:v>
      </x:c>
      <x:c r="F711" t="str">
        <x:v>Auburn Tigers</x:v>
      </x:c>
      <x:c r="G711" t="str">
        <x:v>AUB</x:v>
      </x:c>
      <x:c r="H711" s="69" t="n">
        <x:v>0</x:v>
      </x:c>
      <x:c r="I711" t="str">
        <x:v>2-1</x:v>
      </x:c>
      <x:c r="J711" t="str">
        <x:f>IF(E711&lt;&gt;TRUE,"",IF(H711&gt;M711,"W",IF(H711&lt;M711,"L","T")))</x:f>
      </x:c>
      <x:c r="K711" t="str">
        <x:v>Mississippi State Bulldogs</x:v>
      </x:c>
      <x:c r="L711" t="str">
        <x:v>MSST</x:v>
      </x:c>
      <x:c r="M711" s="69" t="n">
        <x:v>0</x:v>
      </x:c>
      <x:c r="N711" t="str">
        <x:v>3-0</x:v>
      </x:c>
      <x:c r="O711" t="str">
        <x:f>IF(E711&lt;&gt;TRUE,"",IF(M711&gt;H711,"W",IF(M711&lt;H711,"L","T")))</x:f>
      </x:c>
      <x:c r="P711" s="66" t="b">
        <x:v>0</x:v>
      </x:c>
      <x:c r="Q711" s="66" t="b">
        <x:v>1</x:v>
      </x:c>
      <x:c r="R711" t="str">
        <x:v>Davis Wade Stadium</x:v>
      </x:c>
      <x:c r="S711" t="str"/>
      <x:c r="T711"/>
      <x:c r="U711" s="70"/>
      <x:c r="V711" s="70"/>
      <x:c r="W711"/>
      <x:c r="X711" t="str">
        <x:v>https://www.espn.com/college-football/game/_/gameId/401856886</x:v>
      </x:c>
    </x:row>
    <x:row r="712">
      <x:c r="A712" t="str">
        <x:v>CFB</x:v>
      </x:c>
      <x:c r="B712" t="n">
        <x:v>11</x:v>
      </x:c>
      <x:c r="C712" s="68" t="n">
        <x:v>46340.208333333336</x:v>
      </x:c>
      <x:c r="D712" s="71" t="str">
        <x:v>pre</x:v>
      </x:c>
      <x:c r="E712" s="72" t="b">
        <x:v>0</x:v>
      </x:c>
      <x:c r="F712" t="str">
        <x:v>Ole Miss Rebels</x:v>
      </x:c>
      <x:c r="G712" t="str">
        <x:v>MISS</x:v>
      </x:c>
      <x:c r="H712" s="69" t="n">
        <x:v>0</x:v>
      </x:c>
      <x:c r="I712" t="str">
        <x:v>3-0</x:v>
      </x:c>
      <x:c r="J712" t="str">
        <x:f>IF(E712&lt;&gt;TRUE,"",IF(H712&gt;M712,"W",IF(H712&lt;M712,"L","T")))</x:f>
      </x:c>
      <x:c r="K712" t="str">
        <x:v>Oklahoma Sooners</x:v>
      </x:c>
      <x:c r="L712" t="str">
        <x:v>OU</x:v>
      </x:c>
      <x:c r="M712" s="69" t="n">
        <x:v>0</x:v>
      </x:c>
      <x:c r="N712" t="str">
        <x:v>2-1</x:v>
      </x:c>
      <x:c r="O712" t="str">
        <x:f>IF(E712&lt;&gt;TRUE,"",IF(M712&gt;H712,"W",IF(M712&lt;H712,"L","T")))</x:f>
      </x:c>
      <x:c r="P712" s="66" t="b">
        <x:v>0</x:v>
      </x:c>
      <x:c r="Q712" s="66" t="b">
        <x:v>1</x:v>
      </x:c>
      <x:c r="R712" t="str">
        <x:v>Memorial Stadium (Norman, OK)</x:v>
      </x:c>
      <x:c r="S712" t="str"/>
      <x:c r="T712" t="str">
        <x:v>OU -4</x:v>
      </x:c>
      <x:c r="U712" s="70" t="n">
        <x:v>-4</x:v>
      </x:c>
      <x:c r="V712" s="70" t="n">
        <x:v>53.5</x:v>
      </x:c>
      <x:c r="W712" t="str">
        <x:v>DraftKings</x:v>
      </x:c>
      <x:c r="X712" t="str">
        <x:v>https://www.espn.com/college-football/game/_/gameId/401856887</x:v>
      </x:c>
    </x:row>
    <x:row r="713">
      <x:c r="A713" t="str">
        <x:v>CFB</x:v>
      </x:c>
      <x:c r="B713" t="n">
        <x:v>11</x:v>
      </x:c>
      <x:c r="C713" s="68" t="n">
        <x:v>46340.208333333336</x:v>
      </x:c>
      <x:c r="D713" s="71" t="str">
        <x:v>pre</x:v>
      </x:c>
      <x:c r="E713" s="72" t="b">
        <x:v>0</x:v>
      </x:c>
      <x:c r="F713" t="str">
        <x:v>Tennessee Volunteers</x:v>
      </x:c>
      <x:c r="G713" t="str">
        <x:v>TENN</x:v>
      </x:c>
      <x:c r="H713" s="69" t="n">
        <x:v>0</x:v>
      </x:c>
      <x:c r="I713" t="str">
        <x:v>3-0</x:v>
      </x:c>
      <x:c r="J713" t="str">
        <x:f>IF(E713&lt;&gt;TRUE,"",IF(H713&gt;M713,"W",IF(H713&lt;M713,"L","T")))</x:f>
      </x:c>
      <x:c r="K713" t="str">
        <x:v>Texas A&amp;M Aggies</x:v>
      </x:c>
      <x:c r="L713" t="str">
        <x:v>TA&amp;M</x:v>
      </x:c>
      <x:c r="M713" s="69" t="n">
        <x:v>0</x:v>
      </x:c>
      <x:c r="N713" t="str">
        <x:v>2-1</x:v>
      </x:c>
      <x:c r="O713" t="str">
        <x:f>IF(E713&lt;&gt;TRUE,"",IF(M713&gt;H713,"W",IF(M713&lt;H713,"L","T")))</x:f>
      </x:c>
      <x:c r="P713" s="66" t="b">
        <x:v>0</x:v>
      </x:c>
      <x:c r="Q713" s="66" t="b">
        <x:v>1</x:v>
      </x:c>
      <x:c r="R713" t="str">
        <x:v>Kyle Field</x:v>
      </x:c>
      <x:c r="S713" t="str"/>
      <x:c r="T713" t="str">
        <x:v>TA&amp;M -8.5</x:v>
      </x:c>
      <x:c r="U713" s="70" t="n">
        <x:v>-8.5</x:v>
      </x:c>
      <x:c r="V713" s="70" t="n">
        <x:v>55.5</x:v>
      </x:c>
      <x:c r="W713" t="str">
        <x:v>DraftKings</x:v>
      </x:c>
      <x:c r="X713" t="str">
        <x:v>https://www.espn.com/college-football/game/_/gameId/401856888</x:v>
      </x:c>
    </x:row>
    <x:row r="714">
      <x:c r="A714" t="str">
        <x:v>CFB</x:v>
      </x:c>
      <x:c r="B714" t="n">
        <x:v>11</x:v>
      </x:c>
      <x:c r="C714" s="68" t="n">
        <x:v>46340.208333333336</x:v>
      </x:c>
      <x:c r="D714" s="71" t="str">
        <x:v>pre</x:v>
      </x:c>
      <x:c r="E714" s="72" t="b">
        <x:v>0</x:v>
      </x:c>
      <x:c r="F714" t="str">
        <x:v>Alabama Crimson Tide</x:v>
      </x:c>
      <x:c r="G714" t="str">
        <x:v>ALA</x:v>
      </x:c>
      <x:c r="H714" s="69" t="n">
        <x:v>0</x:v>
      </x:c>
      <x:c r="I714" t="str">
        <x:v>3-0</x:v>
      </x:c>
      <x:c r="J714" t="str">
        <x:f>IF(E714&lt;&gt;TRUE,"",IF(H714&gt;M714,"W",IF(H714&lt;M714,"L","T")))</x:f>
      </x:c>
      <x:c r="K714" t="str">
        <x:v>Vanderbilt Commodores</x:v>
      </x:c>
      <x:c r="L714" t="str">
        <x:v>VAN</x:v>
      </x:c>
      <x:c r="M714" s="69" t="n">
        <x:v>0</x:v>
      </x:c>
      <x:c r="N714" t="str">
        <x:v>3-0</x:v>
      </x:c>
      <x:c r="O714" t="str">
        <x:f>IF(E714&lt;&gt;TRUE,"",IF(M714&gt;H714,"W",IF(M714&lt;H714,"L","T")))</x:f>
      </x:c>
      <x:c r="P714" s="66" t="b">
        <x:v>0</x:v>
      </x:c>
      <x:c r="Q714" s="66" t="b">
        <x:v>1</x:v>
      </x:c>
      <x:c r="R714" t="str">
        <x:v>FirstBank Stadium</x:v>
      </x:c>
      <x:c r="S714" t="str"/>
      <x:c r="T714"/>
      <x:c r="U714" s="70"/>
      <x:c r="V714" s="70"/>
      <x:c r="W714"/>
      <x:c r="X714" t="str">
        <x:v>https://www.espn.com/college-football/game/_/gameId/401856889</x:v>
      </x:c>
    </x:row>
    <x:row r="715">
      <x:c r="A715" t="str">
        <x:v>CFB</x:v>
      </x:c>
      <x:c r="B715" t="n">
        <x:v>11</x:v>
      </x:c>
      <x:c r="C715" s="68" t="n">
        <x:v>46340.208333333336</x:v>
      </x:c>
      <x:c r="D715" s="71" t="str">
        <x:v>pre</x:v>
      </x:c>
      <x:c r="E715" s="72" t="b">
        <x:v>0</x:v>
      </x:c>
      <x:c r="F715" t="str">
        <x:v>California Golden Bears</x:v>
      </x:c>
      <x:c r="G715" t="str">
        <x:v>CAL</x:v>
      </x:c>
      <x:c r="H715" s="69" t="n">
        <x:v>0</x:v>
      </x:c>
      <x:c r="I715" t="str">
        <x:v>2-1</x:v>
      </x:c>
      <x:c r="J715" t="str">
        <x:f>IF(E715&lt;&gt;TRUE,"",IF(H715&gt;M715,"W",IF(H715&lt;M715,"L","T")))</x:f>
      </x:c>
      <x:c r="K715" t="str">
        <x:v>Virginia Cavaliers</x:v>
      </x:c>
      <x:c r="L715" t="str">
        <x:v>UVA</x:v>
      </x:c>
      <x:c r="M715" s="69" t="n">
        <x:v>0</x:v>
      </x:c>
      <x:c r="N715" t="str">
        <x:v>2-1</x:v>
      </x:c>
      <x:c r="O715" t="str">
        <x:f>IF(E715&lt;&gt;TRUE,"",IF(M715&gt;H715,"W",IF(M715&lt;H715,"L","T")))</x:f>
      </x:c>
      <x:c r="P715" s="66" t="b">
        <x:v>0</x:v>
      </x:c>
      <x:c r="Q715" s="66" t="b">
        <x:v>1</x:v>
      </x:c>
      <x:c r="R715" t="str">
        <x:v>Scott Stadium</x:v>
      </x:c>
      <x:c r="S715" t="str"/>
      <x:c r="T715"/>
      <x:c r="U715" s="70"/>
      <x:c r="V715" s="70"/>
      <x:c r="W715"/>
      <x:c r="X715" t="str">
        <x:v>https://www.espn.com/college-football/game/_/gameId/401858295</x:v>
      </x:c>
    </x:row>
    <x:row r="716">
      <x:c r="A716" t="str">
        <x:v>CFB</x:v>
      </x:c>
      <x:c r="B716" t="n">
        <x:v>11</x:v>
      </x:c>
      <x:c r="C716" s="68" t="n">
        <x:v>46340.208333333336</x:v>
      </x:c>
      <x:c r="D716" s="71" t="str">
        <x:v>pre</x:v>
      </x:c>
      <x:c r="E716" s="72" t="b">
        <x:v>0</x:v>
      </x:c>
      <x:c r="F716" t="str">
        <x:v>Duke Blue Devils</x:v>
      </x:c>
      <x:c r="G716" t="str">
        <x:v>DUKE</x:v>
      </x:c>
      <x:c r="H716" s="69" t="n">
        <x:v>0</x:v>
      </x:c>
      <x:c r="I716" t="str">
        <x:v>3-0</x:v>
      </x:c>
      <x:c r="J716" t="str">
        <x:f>IF(E716&lt;&gt;TRUE,"",IF(H716&gt;M716,"W",IF(H716&lt;M716,"L","T")))</x:f>
      </x:c>
      <x:c r="K716" t="str">
        <x:v>Miami Hurricanes</x:v>
      </x:c>
      <x:c r="L716" t="str">
        <x:v>MIA</x:v>
      </x:c>
      <x:c r="M716" s="69" t="n">
        <x:v>0</x:v>
      </x:c>
      <x:c r="N716" t="str">
        <x:v>3-0</x:v>
      </x:c>
      <x:c r="O716" t="str">
        <x:f>IF(E716&lt;&gt;TRUE,"",IF(M716&gt;H716,"W",IF(M716&lt;H716,"L","T")))</x:f>
      </x:c>
      <x:c r="P716" s="66" t="b">
        <x:v>0</x:v>
      </x:c>
      <x:c r="Q716" s="66" t="b">
        <x:v>1</x:v>
      </x:c>
      <x:c r="R716" t="str">
        <x:v>Hard Rock Stadium</x:v>
      </x:c>
      <x:c r="S716" t="str"/>
      <x:c r="T716" t="str">
        <x:v>MIA -21</x:v>
      </x:c>
      <x:c r="U716" s="70" t="n">
        <x:v>-21</x:v>
      </x:c>
      <x:c r="V716" s="70" t="n">
        <x:v>55.5</x:v>
      </x:c>
      <x:c r="W716" t="str">
        <x:v>DraftKings</x:v>
      </x:c>
      <x:c r="X716" t="str">
        <x:v>https://www.espn.com/college-football/game/_/gameId/401858296</x:v>
      </x:c>
    </x:row>
    <x:row r="717">
      <x:c r="A717" t="str">
        <x:v>CFB</x:v>
      </x:c>
      <x:c r="B717" t="n">
        <x:v>11</x:v>
      </x:c>
      <x:c r="C717" s="68" t="n">
        <x:v>46340.208333333336</x:v>
      </x:c>
      <x:c r="D717" s="71" t="str">
        <x:v>pre</x:v>
      </x:c>
      <x:c r="E717" s="72" t="b">
        <x:v>0</x:v>
      </x:c>
      <x:c r="F717" t="str">
        <x:v>Georgia Tech Yellow Jackets</x:v>
      </x:c>
      <x:c r="G717" t="str">
        <x:v>GT</x:v>
      </x:c>
      <x:c r="H717" s="69" t="n">
        <x:v>0</x:v>
      </x:c>
      <x:c r="I717" t="str">
        <x:v>1-2</x:v>
      </x:c>
      <x:c r="J717" t="str">
        <x:f>IF(E717&lt;&gt;TRUE,"",IF(H717&gt;M717,"W",IF(H717&lt;M717,"L","T")))</x:f>
      </x:c>
      <x:c r="K717" t="str">
        <x:v>Clemson Tigers</x:v>
      </x:c>
      <x:c r="L717" t="str">
        <x:v>CLEM</x:v>
      </x:c>
      <x:c r="M717" s="69" t="n">
        <x:v>0</x:v>
      </x:c>
      <x:c r="N717" t="str">
        <x:v>2-1</x:v>
      </x:c>
      <x:c r="O717" t="str">
        <x:f>IF(E717&lt;&gt;TRUE,"",IF(M717&gt;H717,"W",IF(M717&lt;H717,"L","T")))</x:f>
      </x:c>
      <x:c r="P717" s="66" t="b">
        <x:v>0</x:v>
      </x:c>
      <x:c r="Q717" s="66" t="b">
        <x:v>1</x:v>
      </x:c>
      <x:c r="R717" t="str">
        <x:v>Memorial Stadium (Clemson, SC)</x:v>
      </x:c>
      <x:c r="S717" t="str"/>
      <x:c r="T717"/>
      <x:c r="U717" s="70"/>
      <x:c r="V717" s="70"/>
      <x:c r="W717"/>
      <x:c r="X717" t="str">
        <x:v>https://www.espn.com/college-football/game/_/gameId/401858297</x:v>
      </x:c>
    </x:row>
    <x:row r="718">
      <x:c r="A718" t="str">
        <x:v>CFB</x:v>
      </x:c>
      <x:c r="B718" t="n">
        <x:v>11</x:v>
      </x:c>
      <x:c r="C718" s="68" t="n">
        <x:v>46340.208333333336</x:v>
      </x:c>
      <x:c r="D718" s="71" t="str">
        <x:v>pre</x:v>
      </x:c>
      <x:c r="E718" s="72" t="b">
        <x:v>0</x:v>
      </x:c>
      <x:c r="F718" t="str">
        <x:v>Louisville Cardinals</x:v>
      </x:c>
      <x:c r="G718" t="str">
        <x:v>LOU</x:v>
      </x:c>
      <x:c r="H718" s="69" t="n">
        <x:v>0</x:v>
      </x:c>
      <x:c r="I718" t="str">
        <x:v>2-1</x:v>
      </x:c>
      <x:c r="J718" t="str">
        <x:f>IF(E718&lt;&gt;TRUE,"",IF(H718&gt;M718,"W",IF(H718&lt;M718,"L","T")))</x:f>
      </x:c>
      <x:c r="K718" t="str">
        <x:v>North Carolina Tar Heels</x:v>
      </x:c>
      <x:c r="L718" t="str">
        <x:v>UNC</x:v>
      </x:c>
      <x:c r="M718" s="69" t="n">
        <x:v>0</x:v>
      </x:c>
      <x:c r="N718" t="str">
        <x:v>2-1</x:v>
      </x:c>
      <x:c r="O718" t="str">
        <x:f>IF(E718&lt;&gt;TRUE,"",IF(M718&gt;H718,"W",IF(M718&lt;H718,"L","T")))</x:f>
      </x:c>
      <x:c r="P718" s="66" t="b">
        <x:v>0</x:v>
      </x:c>
      <x:c r="Q718" s="66" t="b">
        <x:v>1</x:v>
      </x:c>
      <x:c r="R718" t="str">
        <x:v>Kenan Stadium</x:v>
      </x:c>
      <x:c r="S718" t="str"/>
      <x:c r="T718"/>
      <x:c r="U718" s="70"/>
      <x:c r="V718" s="70"/>
      <x:c r="W718"/>
      <x:c r="X718" t="str">
        <x:v>https://www.espn.com/college-football/game/_/gameId/401858298</x:v>
      </x:c>
    </x:row>
    <x:row r="719">
      <x:c r="A719" t="str">
        <x:v>CFB</x:v>
      </x:c>
      <x:c r="B719" t="n">
        <x:v>11</x:v>
      </x:c>
      <x:c r="C719" s="68" t="n">
        <x:v>46340.208333333336</x:v>
      </x:c>
      <x:c r="D719" s="71" t="str">
        <x:v>pre</x:v>
      </x:c>
      <x:c r="E719" s="72" t="b">
        <x:v>0</x:v>
      </x:c>
      <x:c r="F719" t="str">
        <x:v>Stanford Cardinal</x:v>
      </x:c>
      <x:c r="G719" t="str">
        <x:v>STAN</x:v>
      </x:c>
      <x:c r="H719" s="69" t="n">
        <x:v>0</x:v>
      </x:c>
      <x:c r="I719" t="str">
        <x:v>1-2</x:v>
      </x:c>
      <x:c r="J719" t="str">
        <x:f>IF(E719&lt;&gt;TRUE,"",IF(H719&gt;M719,"W",IF(H719&lt;M719,"L","T")))</x:f>
      </x:c>
      <x:c r="K719" t="str">
        <x:v>Virginia Tech Hokies</x:v>
      </x:c>
      <x:c r="L719" t="str">
        <x:v>VT</x:v>
      </x:c>
      <x:c r="M719" s="69" t="n">
        <x:v>0</x:v>
      </x:c>
      <x:c r="N719" t="str">
        <x:v>3-0</x:v>
      </x:c>
      <x:c r="O719" t="str">
        <x:f>IF(E719&lt;&gt;TRUE,"",IF(M719&gt;H719,"W",IF(M719&lt;H719,"L","T")))</x:f>
      </x:c>
      <x:c r="P719" s="66" t="b">
        <x:v>0</x:v>
      </x:c>
      <x:c r="Q719" s="66" t="b">
        <x:v>1</x:v>
      </x:c>
      <x:c r="R719" t="str">
        <x:v>Lane Stadium</x:v>
      </x:c>
      <x:c r="S719" t="str"/>
      <x:c r="T719"/>
      <x:c r="U719" s="70"/>
      <x:c r="V719" s="70"/>
      <x:c r="W719"/>
      <x:c r="X719" t="str">
        <x:v>https://www.espn.com/college-football/game/_/gameId/401858299</x:v>
      </x:c>
    </x:row>
    <x:row r="720">
      <x:c r="A720" t="str">
        <x:v>CFB</x:v>
      </x:c>
      <x:c r="B720" t="n">
        <x:v>11</x:v>
      </x:c>
      <x:c r="C720" s="68" t="n">
        <x:v>46340.208333333336</x:v>
      </x:c>
      <x:c r="D720" s="71" t="str">
        <x:v>pre</x:v>
      </x:c>
      <x:c r="E720" s="72" t="b">
        <x:v>0</x:v>
      </x:c>
      <x:c r="F720" t="str">
        <x:v>Syracuse Orange</x:v>
      </x:c>
      <x:c r="G720" t="str">
        <x:v>SYR</x:v>
      </x:c>
      <x:c r="H720" s="69" t="n">
        <x:v>0</x:v>
      </x:c>
      <x:c r="I720" t="str">
        <x:v>1-2</x:v>
      </x:c>
      <x:c r="J720" t="str">
        <x:f>IF(E720&lt;&gt;TRUE,"",IF(H720&gt;M720,"W",IF(H720&lt;M720,"L","T")))</x:f>
      </x:c>
      <x:c r="K720" t="str">
        <x:v>NC State Wolfpack</x:v>
      </x:c>
      <x:c r="L720" t="str">
        <x:v>NCSU</x:v>
      </x:c>
      <x:c r="M720" s="69" t="n">
        <x:v>0</x:v>
      </x:c>
      <x:c r="N720" t="str">
        <x:v>1-2</x:v>
      </x:c>
      <x:c r="O720" t="str">
        <x:f>IF(E720&lt;&gt;TRUE,"",IF(M720&gt;H720,"W",IF(M720&lt;H720,"L","T")))</x:f>
      </x:c>
      <x:c r="P720" s="66" t="b">
        <x:v>0</x:v>
      </x:c>
      <x:c r="Q720" s="66" t="b">
        <x:v>1</x:v>
      </x:c>
      <x:c r="R720" t="str">
        <x:v>Carter-Finley Stadium</x:v>
      </x:c>
      <x:c r="S720" t="str"/>
      <x:c r="T720"/>
      <x:c r="U720" s="70"/>
      <x:c r="V720" s="70"/>
      <x:c r="W720"/>
      <x:c r="X720" t="str">
        <x:v>https://www.espn.com/college-football/game/_/gameId/401858300</x:v>
      </x:c>
    </x:row>
    <x:row r="721">
      <x:c r="A721" t="str">
        <x:v>CFB</x:v>
      </x:c>
      <x:c r="B721" t="n">
        <x:v>11</x:v>
      </x:c>
      <x:c r="C721" s="68" t="n">
        <x:v>46340.208333333336</x:v>
      </x:c>
      <x:c r="D721" s="71" t="str">
        <x:v>pre</x:v>
      </x:c>
      <x:c r="E721" s="72" t="b">
        <x:v>0</x:v>
      </x:c>
      <x:c r="F721" t="str">
        <x:v>Wake Forest Demon Deacons</x:v>
      </x:c>
      <x:c r="G721" t="str">
        <x:v>WAKE</x:v>
      </x:c>
      <x:c r="H721" s="69" t="n">
        <x:v>0</x:v>
      </x:c>
      <x:c r="I721" t="str">
        <x:v>2-1</x:v>
      </x:c>
      <x:c r="J721" t="str">
        <x:f>IF(E721&lt;&gt;TRUE,"",IF(H721&gt;M721,"W",IF(H721&lt;M721,"L","T")))</x:f>
      </x:c>
      <x:c r="K721" t="str">
        <x:v>SMU Mustangs</x:v>
      </x:c>
      <x:c r="L721" t="str">
        <x:v>SMU</x:v>
      </x:c>
      <x:c r="M721" s="69" t="n">
        <x:v>0</x:v>
      </x:c>
      <x:c r="N721" t="str">
        <x:v>2-1</x:v>
      </x:c>
      <x:c r="O721" t="str">
        <x:f>IF(E721&lt;&gt;TRUE,"",IF(M721&gt;H721,"W",IF(M721&lt;H721,"L","T")))</x:f>
      </x:c>
      <x:c r="P721" s="66" t="b">
        <x:v>0</x:v>
      </x:c>
      <x:c r="Q721" s="66" t="b">
        <x:v>1</x:v>
      </x:c>
      <x:c r="R721" t="str">
        <x:v>Gerald J. Ford Stadium</x:v>
      </x:c>
      <x:c r="S721" t="str"/>
      <x:c r="T721"/>
      <x:c r="U721" s="70"/>
      <x:c r="V721" s="70"/>
      <x:c r="W721"/>
      <x:c r="X721" t="str">
        <x:v>https://www.espn.com/college-football/game/_/gameId/401858301</x:v>
      </x:c>
    </x:row>
    <x:row r="722">
      <x:c r="A722" t="str">
        <x:v>CFB</x:v>
      </x:c>
      <x:c r="B722" t="n">
        <x:v>11</x:v>
      </x:c>
      <x:c r="C722" s="68" t="n">
        <x:v>46340.208333333336</x:v>
      </x:c>
      <x:c r="D722" s="71" t="str">
        <x:v>pre</x:v>
      </x:c>
      <x:c r="E722" s="72" t="b">
        <x:v>0</x:v>
      </x:c>
      <x:c r="F722" t="str">
        <x:v>USC Trojans</x:v>
      </x:c>
      <x:c r="G722" t="str">
        <x:v>USC</x:v>
      </x:c>
      <x:c r="H722" s="69" t="n">
        <x:v>0</x:v>
      </x:c>
      <x:c r="I722" t="str">
        <x:v>4-0</x:v>
      </x:c>
      <x:c r="J722" t="str">
        <x:f>IF(E722&lt;&gt;TRUE,"",IF(H722&gt;M722,"W",IF(H722&lt;M722,"L","T")))</x:f>
      </x:c>
      <x:c r="K722" t="str">
        <x:v>Indiana Hoosiers</x:v>
      </x:c>
      <x:c r="L722" t="str">
        <x:v>IU</x:v>
      </x:c>
      <x:c r="M722" s="69" t="n">
        <x:v>0</x:v>
      </x:c>
      <x:c r="N722" t="str">
        <x:v>3-0</x:v>
      </x:c>
      <x:c r="O722" t="str">
        <x:f>IF(E722&lt;&gt;TRUE,"",IF(M722&gt;H722,"W",IF(M722&lt;H722,"L","T")))</x:f>
      </x:c>
      <x:c r="P722" s="66" t="b">
        <x:v>0</x:v>
      </x:c>
      <x:c r="Q722" s="66" t="b">
        <x:v>1</x:v>
      </x:c>
      <x:c r="R722" t="str">
        <x:v>Memorial Stadium (Bloomington, IN)</x:v>
      </x:c>
      <x:c r="S722" t="str"/>
      <x:c r="T722" t="str">
        <x:v>IU -10</x:v>
      </x:c>
      <x:c r="U722" s="70" t="n">
        <x:v>-10</x:v>
      </x:c>
      <x:c r="V722" s="70" t="n">
        <x:v>58.5</x:v>
      </x:c>
      <x:c r="W722" t="str">
        <x:v>DraftKings</x:v>
      </x:c>
      <x:c r="X722" t="str">
        <x:v>https://www.espn.com/college-football/game/_/gameId/401858518</x:v>
      </x:c>
    </x:row>
    <x:row r="723">
      <x:c r="A723" t="str">
        <x:v>CFB</x:v>
      </x:c>
      <x:c r="B723" t="n">
        <x:v>11</x:v>
      </x:c>
      <x:c r="C723" s="68" t="n">
        <x:v>46340.208333333336</x:v>
      </x:c>
      <x:c r="D723" s="71" t="str">
        <x:v>pre</x:v>
      </x:c>
      <x:c r="E723" s="72" t="b">
        <x:v>0</x:v>
      </x:c>
      <x:c r="F723" t="str">
        <x:v>Purdue Boilermakers</x:v>
      </x:c>
      <x:c r="G723" t="str">
        <x:v>PUR</x:v>
      </x:c>
      <x:c r="H723" s="69" t="n">
        <x:v>0</x:v>
      </x:c>
      <x:c r="I723" t="str">
        <x:v>1-2</x:v>
      </x:c>
      <x:c r="J723" t="str">
        <x:f>IF(E723&lt;&gt;TRUE,"",IF(H723&gt;M723,"W",IF(H723&lt;M723,"L","T")))</x:f>
      </x:c>
      <x:c r="K723" t="str">
        <x:v>Iowa Hawkeyes</x:v>
      </x:c>
      <x:c r="L723" t="str">
        <x:v>IOWA</x:v>
      </x:c>
      <x:c r="M723" s="69" t="n">
        <x:v>0</x:v>
      </x:c>
      <x:c r="N723" t="str">
        <x:v>3-0</x:v>
      </x:c>
      <x:c r="O723" t="str">
        <x:f>IF(E723&lt;&gt;TRUE,"",IF(M723&gt;H723,"W",IF(M723&lt;H723,"L","T")))</x:f>
      </x:c>
      <x:c r="P723" s="66" t="b">
        <x:v>0</x:v>
      </x:c>
      <x:c r="Q723" s="66" t="b">
        <x:v>1</x:v>
      </x:c>
      <x:c r="R723" t="str">
        <x:v>Kinnick Stadium</x:v>
      </x:c>
      <x:c r="S723" t="str"/>
      <x:c r="T723"/>
      <x:c r="U723" s="70"/>
      <x:c r="V723" s="70"/>
      <x:c r="W723"/>
      <x:c r="X723" t="str">
        <x:v>https://www.espn.com/college-football/game/_/gameId/401858519</x:v>
      </x:c>
    </x:row>
    <x:row r="724">
      <x:c r="A724" t="str">
        <x:v>CFB</x:v>
      </x:c>
      <x:c r="B724" t="n">
        <x:v>11</x:v>
      </x:c>
      <x:c r="C724" s="68" t="n">
        <x:v>46340.208333333336</x:v>
      </x:c>
      <x:c r="D724" s="71" t="str">
        <x:v>pre</x:v>
      </x:c>
      <x:c r="E724" s="72" t="b">
        <x:v>0</x:v>
      </x:c>
      <x:c r="F724" t="str">
        <x:v>Wisconsin Badgers</x:v>
      </x:c>
      <x:c r="G724" t="str">
        <x:v>WIS</x:v>
      </x:c>
      <x:c r="H724" s="69" t="n">
        <x:v>0</x:v>
      </x:c>
      <x:c r="I724" t="str">
        <x:v>2-1</x:v>
      </x:c>
      <x:c r="J724" t="str">
        <x:f>IF(E724&lt;&gt;TRUE,"",IF(H724&gt;M724,"W",IF(H724&lt;M724,"L","T")))</x:f>
      </x:c>
      <x:c r="K724" t="str">
        <x:v>Maryland Terrapins</x:v>
      </x:c>
      <x:c r="L724" t="str">
        <x:v>MD</x:v>
      </x:c>
      <x:c r="M724" s="69" t="n">
        <x:v>0</x:v>
      </x:c>
      <x:c r="N724" t="str">
        <x:v>2-1</x:v>
      </x:c>
      <x:c r="O724" t="str">
        <x:f>IF(E724&lt;&gt;TRUE,"",IF(M724&gt;H724,"W",IF(M724&lt;H724,"L","T")))</x:f>
      </x:c>
      <x:c r="P724" s="66" t="b">
        <x:v>0</x:v>
      </x:c>
      <x:c r="Q724" s="66" t="b">
        <x:v>1</x:v>
      </x:c>
      <x:c r="R724" t="str">
        <x:v>SECU Stadium</x:v>
      </x:c>
      <x:c r="S724" t="str"/>
      <x:c r="T724"/>
      <x:c r="U724" s="70"/>
      <x:c r="V724" s="70"/>
      <x:c r="W724"/>
      <x:c r="X724" t="str">
        <x:v>https://www.espn.com/college-football/game/_/gameId/401858520</x:v>
      </x:c>
    </x:row>
    <x:row r="725">
      <x:c r="A725" t="str">
        <x:v>CFB</x:v>
      </x:c>
      <x:c r="B725" t="n">
        <x:v>11</x:v>
      </x:c>
      <x:c r="C725" s="68" t="n">
        <x:v>46340.208333333336</x:v>
      </x:c>
      <x:c r="D725" s="71" t="str">
        <x:v>pre</x:v>
      </x:c>
      <x:c r="E725" s="72" t="b">
        <x:v>0</x:v>
      </x:c>
      <x:c r="F725" t="str">
        <x:v>Washington Huskies</x:v>
      </x:c>
      <x:c r="G725" t="str">
        <x:v>WASH</x:v>
      </x:c>
      <x:c r="H725" s="69" t="n">
        <x:v>0</x:v>
      </x:c>
      <x:c r="I725" t="str">
        <x:v>3-0</x:v>
      </x:c>
      <x:c r="J725" t="str">
        <x:f>IF(E725&lt;&gt;TRUE,"",IF(H725&gt;M725,"W",IF(H725&lt;M725,"L","T")))</x:f>
      </x:c>
      <x:c r="K725" t="str">
        <x:v>Michigan State Spartans</x:v>
      </x:c>
      <x:c r="L725" t="str">
        <x:v>MSU</x:v>
      </x:c>
      <x:c r="M725" s="69" t="n">
        <x:v>0</x:v>
      </x:c>
      <x:c r="N725" t="str">
        <x:v>2-1</x:v>
      </x:c>
      <x:c r="O725" t="str">
        <x:f>IF(E725&lt;&gt;TRUE,"",IF(M725&gt;H725,"W",IF(M725&lt;H725,"L","T")))</x:f>
      </x:c>
      <x:c r="P725" s="66" t="b">
        <x:v>0</x:v>
      </x:c>
      <x:c r="Q725" s="66" t="b">
        <x:v>1</x:v>
      </x:c>
      <x:c r="R725" t="str">
        <x:v>Spartan Stadium</x:v>
      </x:c>
      <x:c r="S725" t="str"/>
      <x:c r="T725"/>
      <x:c r="U725" s="70"/>
      <x:c r="V725" s="70"/>
      <x:c r="W725"/>
      <x:c r="X725" t="str">
        <x:v>https://www.espn.com/college-football/game/_/gameId/401858521</x:v>
      </x:c>
    </x:row>
    <x:row r="726">
      <x:c r="A726" t="str">
        <x:v>CFB</x:v>
      </x:c>
      <x:c r="B726" t="n">
        <x:v>11</x:v>
      </x:c>
      <x:c r="C726" s="68" t="n">
        <x:v>46340.208333333336</x:v>
      </x:c>
      <x:c r="D726" s="71" t="str">
        <x:v>pre</x:v>
      </x:c>
      <x:c r="E726" s="72" t="b">
        <x:v>0</x:v>
      </x:c>
      <x:c r="F726" t="str">
        <x:v>Northwestern Wildcats</x:v>
      </x:c>
      <x:c r="G726" t="str">
        <x:v>NU</x:v>
      </x:c>
      <x:c r="H726" s="69" t="n">
        <x:v>0</x:v>
      </x:c>
      <x:c r="I726" t="str">
        <x:v>2-0</x:v>
      </x:c>
      <x:c r="J726" t="str">
        <x:f>IF(E726&lt;&gt;TRUE,"",IF(H726&gt;M726,"W",IF(H726&lt;M726,"L","T")))</x:f>
      </x:c>
      <x:c r="K726" t="str">
        <x:v>Ohio State Buckeyes</x:v>
      </x:c>
      <x:c r="L726" t="str">
        <x:v>OSU</x:v>
      </x:c>
      <x:c r="M726" s="69" t="n">
        <x:v>0</x:v>
      </x:c>
      <x:c r="N726" t="str">
        <x:v>2-1</x:v>
      </x:c>
      <x:c r="O726" t="str">
        <x:f>IF(E726&lt;&gt;TRUE,"",IF(M726&gt;H726,"W",IF(M726&lt;H726,"L","T")))</x:f>
      </x:c>
      <x:c r="P726" s="66" t="b">
        <x:v>0</x:v>
      </x:c>
      <x:c r="Q726" s="66" t="b">
        <x:v>1</x:v>
      </x:c>
      <x:c r="R726" t="str">
        <x:v>Ohio Stadium</x:v>
      </x:c>
      <x:c r="S726" t="str"/>
      <x:c r="T726"/>
      <x:c r="U726" s="70"/>
      <x:c r="V726" s="70"/>
      <x:c r="W726"/>
      <x:c r="X726" t="str">
        <x:v>https://www.espn.com/college-football/game/_/gameId/401858522</x:v>
      </x:c>
    </x:row>
    <x:row r="727">
      <x:c r="A727" t="str">
        <x:v>CFB</x:v>
      </x:c>
      <x:c r="B727" t="n">
        <x:v>11</x:v>
      </x:c>
      <x:c r="C727" s="68" t="n">
        <x:v>46340.208333333336</x:v>
      </x:c>
      <x:c r="D727" s="71" t="str">
        <x:v>pre</x:v>
      </x:c>
      <x:c r="E727" s="72" t="b">
        <x:v>0</x:v>
      </x:c>
      <x:c r="F727" t="str">
        <x:v>Michigan Wolverines</x:v>
      </x:c>
      <x:c r="G727" t="str">
        <x:v>MICH</x:v>
      </x:c>
      <x:c r="H727" s="69" t="n">
        <x:v>0</x:v>
      </x:c>
      <x:c r="I727" t="str">
        <x:v>3-0</x:v>
      </x:c>
      <x:c r="J727" t="str">
        <x:f>IF(E727&lt;&gt;TRUE,"",IF(H727&gt;M727,"W",IF(H727&lt;M727,"L","T")))</x:f>
      </x:c>
      <x:c r="K727" t="str">
        <x:v>Oregon Ducks</x:v>
      </x:c>
      <x:c r="L727" t="str">
        <x:v>ORE</x:v>
      </x:c>
      <x:c r="M727" s="69" t="n">
        <x:v>0</x:v>
      </x:c>
      <x:c r="N727" t="str">
        <x:v>2-1</x:v>
      </x:c>
      <x:c r="O727" t="str">
        <x:f>IF(E727&lt;&gt;TRUE,"",IF(M727&gt;H727,"W",IF(M727&lt;H727,"L","T")))</x:f>
      </x:c>
      <x:c r="P727" s="66" t="b">
        <x:v>0</x:v>
      </x:c>
      <x:c r="Q727" s="66" t="b">
        <x:v>1</x:v>
      </x:c>
      <x:c r="R727" t="str">
        <x:v>Autzen Stadium</x:v>
      </x:c>
      <x:c r="S727" t="str"/>
      <x:c r="T727" t="str">
        <x:v>ORE -13.5</x:v>
      </x:c>
      <x:c r="U727" s="70" t="n">
        <x:v>-13.5</x:v>
      </x:c>
      <x:c r="V727" s="70" t="n">
        <x:v>53.5</x:v>
      </x:c>
      <x:c r="W727" t="str">
        <x:v>DraftKings</x:v>
      </x:c>
      <x:c r="X727" t="str">
        <x:v>https://www.espn.com/college-football/game/_/gameId/401858523</x:v>
      </x:c>
    </x:row>
    <x:row r="728">
      <x:c r="A728" t="str">
        <x:v>CFB</x:v>
      </x:c>
      <x:c r="B728" t="n">
        <x:v>11</x:v>
      </x:c>
      <x:c r="C728" s="68" t="n">
        <x:v>46340.208333333336</x:v>
      </x:c>
      <x:c r="D728" s="71" t="str">
        <x:v>pre</x:v>
      </x:c>
      <x:c r="E728" s="72" t="b">
        <x:v>0</x:v>
      </x:c>
      <x:c r="F728" t="str">
        <x:v>Minnesota Golden Gophers</x:v>
      </x:c>
      <x:c r="G728" t="str">
        <x:v>MINN</x:v>
      </x:c>
      <x:c r="H728" s="69" t="n">
        <x:v>0</x:v>
      </x:c>
      <x:c r="I728" t="str">
        <x:v>2-1</x:v>
      </x:c>
      <x:c r="J728" t="str">
        <x:f>IF(E728&lt;&gt;TRUE,"",IF(H728&gt;M728,"W",IF(H728&lt;M728,"L","T")))</x:f>
      </x:c>
      <x:c r="K728" t="str">
        <x:v>Penn State Nittany Lions</x:v>
      </x:c>
      <x:c r="L728" t="str">
        <x:v>PSU</x:v>
      </x:c>
      <x:c r="M728" s="69" t="n">
        <x:v>0</x:v>
      </x:c>
      <x:c r="N728" t="str">
        <x:v>3-0</x:v>
      </x:c>
      <x:c r="O728" t="str">
        <x:f>IF(E728&lt;&gt;TRUE,"",IF(M728&gt;H728,"W",IF(M728&lt;H728,"L","T")))</x:f>
      </x:c>
      <x:c r="P728" s="66" t="b">
        <x:v>0</x:v>
      </x:c>
      <x:c r="Q728" s="66" t="b">
        <x:v>1</x:v>
      </x:c>
      <x:c r="R728" t="str">
        <x:v>Beaver Stadium</x:v>
      </x:c>
      <x:c r="S728" t="str"/>
      <x:c r="T728"/>
      <x:c r="U728" s="70"/>
      <x:c r="V728" s="70"/>
      <x:c r="W728"/>
      <x:c r="X728" t="str">
        <x:v>https://www.espn.com/college-football/game/_/gameId/401858524</x:v>
      </x:c>
    </x:row>
    <x:row r="729">
      <x:c r="A729" t="str">
        <x:v>CFB</x:v>
      </x:c>
      <x:c r="B729" t="n">
        <x:v>11</x:v>
      </x:c>
      <x:c r="C729" s="68" t="n">
        <x:v>46340.208333333336</x:v>
      </x:c>
      <x:c r="D729" s="71" t="str">
        <x:v>pre</x:v>
      </x:c>
      <x:c r="E729" s="72" t="b">
        <x:v>0</x:v>
      </x:c>
      <x:c r="F729" t="str">
        <x:v>Nebraska Cornhuskers</x:v>
      </x:c>
      <x:c r="G729" t="str">
        <x:v>NEB</x:v>
      </x:c>
      <x:c r="H729" s="69" t="n">
        <x:v>0</x:v>
      </x:c>
      <x:c r="I729" t="str">
        <x:v>3-0</x:v>
      </x:c>
      <x:c r="J729" t="str">
        <x:f>IF(E729&lt;&gt;TRUE,"",IF(H729&gt;M729,"W",IF(H729&lt;M729,"L","T")))</x:f>
      </x:c>
      <x:c r="K729" t="str">
        <x:v>Rutgers Scarlet Knights</x:v>
      </x:c>
      <x:c r="L729" t="str">
        <x:v>RUTG</x:v>
      </x:c>
      <x:c r="M729" s="69" t="n">
        <x:v>0</x:v>
      </x:c>
      <x:c r="N729" t="str">
        <x:v>0-3</x:v>
      </x:c>
      <x:c r="O729" t="str">
        <x:f>IF(E729&lt;&gt;TRUE,"",IF(M729&gt;H729,"W",IF(M729&lt;H729,"L","T")))</x:f>
      </x:c>
      <x:c r="P729" s="66" t="b">
        <x:v>0</x:v>
      </x:c>
      <x:c r="Q729" s="66" t="b">
        <x:v>1</x:v>
      </x:c>
      <x:c r="R729" t="str">
        <x:v>SHI Stadium</x:v>
      </x:c>
      <x:c r="S729" t="str"/>
      <x:c r="T729"/>
      <x:c r="U729" s="70"/>
      <x:c r="V729" s="70"/>
      <x:c r="W729"/>
      <x:c r="X729" t="str">
        <x:v>https://www.espn.com/college-football/game/_/gameId/401858525</x:v>
      </x:c>
    </x:row>
    <x:row r="730">
      <x:c r="A730" t="str">
        <x:v>CFB</x:v>
      </x:c>
      <x:c r="B730" t="n">
        <x:v>11</x:v>
      </x:c>
      <x:c r="C730" s="68" t="n">
        <x:v>46340.208333333336</x:v>
      </x:c>
      <x:c r="D730" s="71" t="str">
        <x:v>pre</x:v>
      </x:c>
      <x:c r="E730" s="72" t="b">
        <x:v>0</x:v>
      </x:c>
      <x:c r="F730" t="str">
        <x:v>East Carolina Pirates</x:v>
      </x:c>
      <x:c r="G730" t="str">
        <x:v>ECU</x:v>
      </x:c>
      <x:c r="H730" s="69" t="n">
        <x:v>0</x:v>
      </x:c>
      <x:c r="I730" t="str">
        <x:v>1-2</x:v>
      </x:c>
      <x:c r="J730" t="str">
        <x:f>IF(E730&lt;&gt;TRUE,"",IF(H730&gt;M730,"W",IF(H730&lt;M730,"L","T")))</x:f>
      </x:c>
      <x:c r="K730" t="str">
        <x:v>Charlotte 49ers</x:v>
      </x:c>
      <x:c r="L730" t="str">
        <x:v>CLT</x:v>
      </x:c>
      <x:c r="M730" s="69" t="n">
        <x:v>0</x:v>
      </x:c>
      <x:c r="N730" t="str">
        <x:v>0-3</x:v>
      </x:c>
      <x:c r="O730" t="str">
        <x:f>IF(E730&lt;&gt;TRUE,"",IF(M730&gt;H730,"W",IF(M730&lt;H730,"L","T")))</x:f>
      </x:c>
      <x:c r="P730" s="66" t="b">
        <x:v>0</x:v>
      </x:c>
      <x:c r="Q730" s="66" t="b">
        <x:v>1</x:v>
      </x:c>
      <x:c r="R730" t="str">
        <x:v>Jerry Richardson Stadium</x:v>
      </x:c>
      <x:c r="S730" t="str"/>
      <x:c r="T730"/>
      <x:c r="U730" s="70"/>
      <x:c r="V730" s="70"/>
      <x:c r="W730"/>
      <x:c r="X730" t="str">
        <x:v>https://www.espn.com/college-football/game/_/gameId/401862825</x:v>
      </x:c>
    </x:row>
    <x:row r="731">
      <x:c r="A731" t="str">
        <x:v>CFB</x:v>
      </x:c>
      <x:c r="B731" t="n">
        <x:v>11</x:v>
      </x:c>
      <x:c r="C731" s="68" t="n">
        <x:v>46340.208333333336</x:v>
      </x:c>
      <x:c r="D731" s="71" t="str">
        <x:v>pre</x:v>
      </x:c>
      <x:c r="E731" s="72" t="b">
        <x:v>0</x:v>
      </x:c>
      <x:c r="F731" t="str">
        <x:v>Florida Atlantic Owls</x:v>
      </x:c>
      <x:c r="G731" t="str">
        <x:v>FAU</x:v>
      </x:c>
      <x:c r="H731" s="69" t="n">
        <x:v>0</x:v>
      </x:c>
      <x:c r="I731" t="str">
        <x:v>2-1</x:v>
      </x:c>
      <x:c r="J731" t="str">
        <x:f>IF(E731&lt;&gt;TRUE,"",IF(H731&gt;M731,"W",IF(H731&lt;M731,"L","T")))</x:f>
      </x:c>
      <x:c r="K731" t="str">
        <x:v>Tulsa Golden Hurricane</x:v>
      </x:c>
      <x:c r="L731" t="str">
        <x:v>TLSA</x:v>
      </x:c>
      <x:c r="M731" s="69" t="n">
        <x:v>0</x:v>
      </x:c>
      <x:c r="N731" t="str">
        <x:v>3-0</x:v>
      </x:c>
      <x:c r="O731" t="str">
        <x:f>IF(E731&lt;&gt;TRUE,"",IF(M731&gt;H731,"W",IF(M731&lt;H731,"L","T")))</x:f>
      </x:c>
      <x:c r="P731" s="66" t="b">
        <x:v>0</x:v>
      </x:c>
      <x:c r="Q731" s="66" t="b">
        <x:v>1</x:v>
      </x:c>
      <x:c r="R731" t="str">
        <x:v>H. A. Chapman Stadium</x:v>
      </x:c>
      <x:c r="S731" t="str"/>
      <x:c r="T731"/>
      <x:c r="U731" s="70"/>
      <x:c r="V731" s="70"/>
      <x:c r="W731"/>
      <x:c r="X731" t="str">
        <x:v>https://www.espn.com/college-football/game/_/gameId/401862826</x:v>
      </x:c>
    </x:row>
    <x:row r="732">
      <x:c r="A732" t="str">
        <x:v>CFB</x:v>
      </x:c>
      <x:c r="B732" t="n">
        <x:v>11</x:v>
      </x:c>
      <x:c r="C732" s="68" t="n">
        <x:v>46340.208333333336</x:v>
      </x:c>
      <x:c r="D732" s="71" t="str">
        <x:v>pre</x:v>
      </x:c>
      <x:c r="E732" s="72" t="b">
        <x:v>0</x:v>
      </x:c>
      <x:c r="F732" t="str">
        <x:v>North Texas Mean Green</x:v>
      </x:c>
      <x:c r="G732" t="str">
        <x:v>UNT</x:v>
      </x:c>
      <x:c r="H732" s="69" t="n">
        <x:v>0</x:v>
      </x:c>
      <x:c r="I732" t="str">
        <x:v>1-2</x:v>
      </x:c>
      <x:c r="J732" t="str">
        <x:f>IF(E732&lt;&gt;TRUE,"",IF(H732&gt;M732,"W",IF(H732&lt;M732,"L","T")))</x:f>
      </x:c>
      <x:c r="K732" t="str">
        <x:v>UTSA Roadrunners</x:v>
      </x:c>
      <x:c r="L732" t="str">
        <x:v>UTSA</x:v>
      </x:c>
      <x:c r="M732" s="69" t="n">
        <x:v>0</x:v>
      </x:c>
      <x:c r="N732" t="str">
        <x:v>2-1</x:v>
      </x:c>
      <x:c r="O732" t="str">
        <x:f>IF(E732&lt;&gt;TRUE,"",IF(M732&gt;H732,"W",IF(M732&lt;H732,"L","T")))</x:f>
      </x:c>
      <x:c r="P732" s="66" t="b">
        <x:v>0</x:v>
      </x:c>
      <x:c r="Q732" s="66" t="b">
        <x:v>1</x:v>
      </x:c>
      <x:c r="R732" t="str">
        <x:v>Alamodome</x:v>
      </x:c>
      <x:c r="S732" t="str"/>
      <x:c r="T732"/>
      <x:c r="U732" s="70"/>
      <x:c r="V732" s="70"/>
      <x:c r="W732"/>
      <x:c r="X732" t="str">
        <x:v>https://www.espn.com/college-football/game/_/gameId/401862827</x:v>
      </x:c>
    </x:row>
    <x:row r="733">
      <x:c r="A733" t="str">
        <x:v>CFB</x:v>
      </x:c>
      <x:c r="B733" t="n">
        <x:v>11</x:v>
      </x:c>
      <x:c r="C733" s="68" t="n">
        <x:v>46340.208333333336</x:v>
      </x:c>
      <x:c r="D733" s="71" t="str">
        <x:v>pre</x:v>
      </x:c>
      <x:c r="E733" s="72" t="b">
        <x:v>0</x:v>
      </x:c>
      <x:c r="F733" t="str">
        <x:v>Tulane Green Wave</x:v>
      </x:c>
      <x:c r="G733" t="str">
        <x:v>TULN</x:v>
      </x:c>
      <x:c r="H733" s="69" t="n">
        <x:v>0</x:v>
      </x:c>
      <x:c r="I733" t="str">
        <x:v>1-2</x:v>
      </x:c>
      <x:c r="J733" t="str">
        <x:f>IF(E733&lt;&gt;TRUE,"",IF(H733&gt;M733,"W",IF(H733&lt;M733,"L","T")))</x:f>
      </x:c>
      <x:c r="K733" t="str">
        <x:v>Rice Owls</x:v>
      </x:c>
      <x:c r="L733" t="str">
        <x:v>RICE</x:v>
      </x:c>
      <x:c r="M733" s="69" t="n">
        <x:v>0</x:v>
      </x:c>
      <x:c r="N733" t="str">
        <x:v>1-2</x:v>
      </x:c>
      <x:c r="O733" t="str">
        <x:f>IF(E733&lt;&gt;TRUE,"",IF(M733&gt;H733,"W",IF(M733&lt;H733,"L","T")))</x:f>
      </x:c>
      <x:c r="P733" s="66" t="b">
        <x:v>0</x:v>
      </x:c>
      <x:c r="Q733" s="66" t="b">
        <x:v>1</x:v>
      </x:c>
      <x:c r="R733" t="str">
        <x:v>Rice Stadium</x:v>
      </x:c>
      <x:c r="S733" t="str"/>
      <x:c r="T733"/>
      <x:c r="U733" s="70"/>
      <x:c r="V733" s="70"/>
      <x:c r="W733"/>
      <x:c r="X733" t="str">
        <x:v>https://www.espn.com/college-football/game/_/gameId/401862828</x:v>
      </x:c>
    </x:row>
    <x:row r="734">
      <x:c r="A734" t="str">
        <x:v>CFB</x:v>
      </x:c>
      <x:c r="B734" t="n">
        <x:v>11</x:v>
      </x:c>
      <x:c r="C734" s="68" t="n">
        <x:v>46340.208333333336</x:v>
      </x:c>
      <x:c r="D734" s="71" t="str">
        <x:v>pre</x:v>
      </x:c>
      <x:c r="E734" s="72" t="b">
        <x:v>0</x:v>
      </x:c>
      <x:c r="F734" t="str">
        <x:v>UAB Blazers</x:v>
      </x:c>
      <x:c r="G734" t="str">
        <x:v>UAB</x:v>
      </x:c>
      <x:c r="H734" s="69" t="n">
        <x:v>0</x:v>
      </x:c>
      <x:c r="I734" t="str">
        <x:v>1-2</x:v>
      </x:c>
      <x:c r="J734" t="str">
        <x:f>IF(E734&lt;&gt;TRUE,"",IF(H734&gt;M734,"W",IF(H734&lt;M734,"L","T")))</x:f>
      </x:c>
      <x:c r="K734" t="str">
        <x:v>Temple Owls</x:v>
      </x:c>
      <x:c r="L734" t="str">
        <x:v>TEM</x:v>
      </x:c>
      <x:c r="M734" s="69" t="n">
        <x:v>0</x:v>
      </x:c>
      <x:c r="N734" t="str">
        <x:v>1-2</x:v>
      </x:c>
      <x:c r="O734" t="str">
        <x:f>IF(E734&lt;&gt;TRUE,"",IF(M734&gt;H734,"W",IF(M734&lt;H734,"L","T")))</x:f>
      </x:c>
      <x:c r="P734" s="66" t="b">
        <x:v>0</x:v>
      </x:c>
      <x:c r="Q734" s="66" t="b">
        <x:v>1</x:v>
      </x:c>
      <x:c r="R734" t="str">
        <x:v>Lincoln Financial Field</x:v>
      </x:c>
      <x:c r="S734" t="str"/>
      <x:c r="T734"/>
      <x:c r="U734" s="70"/>
      <x:c r="V734" s="70"/>
      <x:c r="W734"/>
      <x:c r="X734" t="str">
        <x:v>https://www.espn.com/college-football/game/_/gameId/401862829</x:v>
      </x:c>
    </x:row>
    <x:row r="735">
      <x:c r="A735" t="str">
        <x:v>CFB</x:v>
      </x:c>
      <x:c r="B735" t="n">
        <x:v>11</x:v>
      </x:c>
      <x:c r="C735" s="68" t="n">
        <x:v>46340.208333333336</x:v>
      </x:c>
      <x:c r="D735" s="71" t="str">
        <x:v>pre</x:v>
      </x:c>
      <x:c r="E735" s="72" t="b">
        <x:v>0</x:v>
      </x:c>
      <x:c r="F735" t="str">
        <x:v>Nevada Wolf Pack</x:v>
      </x:c>
      <x:c r="G735" t="str">
        <x:v>NEV</x:v>
      </x:c>
      <x:c r="H735" s="69" t="n">
        <x:v>0</x:v>
      </x:c>
      <x:c r="I735" t="str">
        <x:v>1-2</x:v>
      </x:c>
      <x:c r="J735" t="str">
        <x:f>IF(E735&lt;&gt;TRUE,"",IF(H735&gt;M735,"W",IF(H735&lt;M735,"L","T")))</x:f>
      </x:c>
      <x:c r="K735" t="str">
        <x:v>Northern Illinois Huskies</x:v>
      </x:c>
      <x:c r="L735" t="str">
        <x:v>NIU</x:v>
      </x:c>
      <x:c r="M735" s="69" t="n">
        <x:v>0</x:v>
      </x:c>
      <x:c r="N735" t="str">
        <x:v>0-3</x:v>
      </x:c>
      <x:c r="O735" t="str">
        <x:f>IF(E735&lt;&gt;TRUE,"",IF(M735&gt;H735,"W",IF(M735&lt;H735,"L","T")))</x:f>
      </x:c>
      <x:c r="P735" s="66" t="b">
        <x:v>0</x:v>
      </x:c>
      <x:c r="Q735" s="66" t="b">
        <x:v>1</x:v>
      </x:c>
      <x:c r="R735" t="str">
        <x:v>Huskie Stadium</x:v>
      </x:c>
      <x:c r="S735" t="str">
        <x:v>MW+</x:v>
      </x:c>
      <x:c r="T735"/>
      <x:c r="U735" s="70"/>
      <x:c r="V735" s="70"/>
      <x:c r="W735"/>
      <x:c r="X735" t="str">
        <x:v>https://www.espn.com/college-football/game/_/gameId/401864536</x:v>
      </x:c>
    </x:row>
    <x:row r="736">
      <x:c r="A736" t="str">
        <x:v>CFB</x:v>
      </x:c>
      <x:c r="B736" t="n">
        <x:v>11</x:v>
      </x:c>
      <x:c r="C736" s="68" t="n">
        <x:v>46340.208333333336</x:v>
      </x:c>
      <x:c r="D736" s="71" t="str">
        <x:v>pre</x:v>
      </x:c>
      <x:c r="E736" s="72" t="b">
        <x:v>0</x:v>
      </x:c>
      <x:c r="F736" t="str">
        <x:v>Wyoming Cowboys</x:v>
      </x:c>
      <x:c r="G736" t="str">
        <x:v>WYO</x:v>
      </x:c>
      <x:c r="H736" s="69" t="n">
        <x:v>0</x:v>
      </x:c>
      <x:c r="I736" t="str">
        <x:v>1-2</x:v>
      </x:c>
      <x:c r="J736" t="str">
        <x:f>IF(E736&lt;&gt;TRUE,"",IF(H736&gt;M736,"W",IF(H736&lt;M736,"L","T")))</x:f>
      </x:c>
      <x:c r="K736" t="str">
        <x:v>UTEP Miners</x:v>
      </x:c>
      <x:c r="L736" t="str">
        <x:v>UTEP</x:v>
      </x:c>
      <x:c r="M736" s="69" t="n">
        <x:v>0</x:v>
      </x:c>
      <x:c r="N736" t="str">
        <x:v>1-2</x:v>
      </x:c>
      <x:c r="O736" t="str">
        <x:f>IF(E736&lt;&gt;TRUE,"",IF(M736&gt;H736,"W",IF(M736&lt;H736,"L","T")))</x:f>
      </x:c>
      <x:c r="P736" s="66" t="b">
        <x:v>0</x:v>
      </x:c>
      <x:c r="Q736" s="66" t="b">
        <x:v>1</x:v>
      </x:c>
      <x:c r="R736" t="str">
        <x:v>Sun Bowl</x:v>
      </x:c>
      <x:c r="S736" t="str"/>
      <x:c r="T736"/>
      <x:c r="U736" s="70"/>
      <x:c r="V736" s="70"/>
      <x:c r="W736"/>
      <x:c r="X736" t="str">
        <x:v>https://www.espn.com/college-football/game/_/gameId/401864540</x:v>
      </x:c>
    </x:row>
    <x:row r="737">
      <x:c r="A737" t="str">
        <x:v>CFB</x:v>
      </x:c>
      <x:c r="B737" t="n">
        <x:v>11</x:v>
      </x:c>
      <x:c r="C737" s="68" t="n">
        <x:v>46340.208333333336</x:v>
      </x:c>
      <x:c r="D737" s="71" t="str">
        <x:v>pre</x:v>
      </x:c>
      <x:c r="E737" s="72" t="b">
        <x:v>0</x:v>
      </x:c>
      <x:c r="F737" t="str">
        <x:v>App State Mountaineers</x:v>
      </x:c>
      <x:c r="G737" t="str">
        <x:v>APP</x:v>
      </x:c>
      <x:c r="H737" s="69" t="n">
        <x:v>0</x:v>
      </x:c>
      <x:c r="I737" t="str">
        <x:v>3-0</x:v>
      </x:c>
      <x:c r="J737" t="str">
        <x:f>IF(E737&lt;&gt;TRUE,"",IF(H737&gt;M737,"W",IF(H737&lt;M737,"L","T")))</x:f>
      </x:c>
      <x:c r="K737" t="str">
        <x:v>Marshall Thundering Herd</x:v>
      </x:c>
      <x:c r="L737" t="str">
        <x:v>MRSH</x:v>
      </x:c>
      <x:c r="M737" s="69" t="n">
        <x:v>0</x:v>
      </x:c>
      <x:c r="N737" t="str">
        <x:v>2-1</x:v>
      </x:c>
      <x:c r="O737" t="str">
        <x:f>IF(E737&lt;&gt;TRUE,"",IF(M737&gt;H737,"W",IF(M737&lt;H737,"L","T")))</x:f>
      </x:c>
      <x:c r="P737" s="66" t="b">
        <x:v>0</x:v>
      </x:c>
      <x:c r="Q737" s="66" t="b">
        <x:v>1</x:v>
      </x:c>
      <x:c r="R737" t="str">
        <x:v>Joan C. Edwards Stadium</x:v>
      </x:c>
      <x:c r="S737" t="str"/>
      <x:c r="T737"/>
      <x:c r="U737" s="70"/>
      <x:c r="V737" s="70"/>
      <x:c r="W737"/>
      <x:c r="X737" t="str">
        <x:v>https://www.espn.com/college-football/game/_/gameId/401869928</x:v>
      </x:c>
    </x:row>
    <x:row r="738">
      <x:c r="A738" t="str">
        <x:v>CFB</x:v>
      </x:c>
      <x:c r="B738" t="n">
        <x:v>11</x:v>
      </x:c>
      <x:c r="C738" s="68" t="n">
        <x:v>46340.208333333336</x:v>
      </x:c>
      <x:c r="D738" s="71" t="str">
        <x:v>pre</x:v>
      </x:c>
      <x:c r="E738" s="72" t="b">
        <x:v>0</x:v>
      </x:c>
      <x:c r="F738" t="str">
        <x:v>Arkansas State Red Wolves</x:v>
      </x:c>
      <x:c r="G738" t="str">
        <x:v>ARST</x:v>
      </x:c>
      <x:c r="H738" s="69" t="n">
        <x:v>0</x:v>
      </x:c>
      <x:c r="I738" t="str">
        <x:v>1-2</x:v>
      </x:c>
      <x:c r="J738" t="str">
        <x:f>IF(E738&lt;&gt;TRUE,"",IF(H738&gt;M738,"W",IF(H738&lt;M738,"L","T")))</x:f>
      </x:c>
      <x:c r="K738" t="str">
        <x:v>Coastal Carolina Chanticleers</x:v>
      </x:c>
      <x:c r="L738" t="str">
        <x:v>CCU</x:v>
      </x:c>
      <x:c r="M738" s="69" t="n">
        <x:v>0</x:v>
      </x:c>
      <x:c r="N738" t="str">
        <x:v>1-2</x:v>
      </x:c>
      <x:c r="O738" t="str">
        <x:f>IF(E738&lt;&gt;TRUE,"",IF(M738&gt;H738,"W",IF(M738&lt;H738,"L","T")))</x:f>
      </x:c>
      <x:c r="P738" s="66" t="b">
        <x:v>0</x:v>
      </x:c>
      <x:c r="Q738" s="66" t="b">
        <x:v>1</x:v>
      </x:c>
      <x:c r="R738" t="str">
        <x:v>Brooks Stadium (SC)</x:v>
      </x:c>
      <x:c r="S738" t="str"/>
      <x:c r="T738"/>
      <x:c r="U738" s="70"/>
      <x:c r="V738" s="70"/>
      <x:c r="W738"/>
      <x:c r="X738" t="str">
        <x:v>https://www.espn.com/college-football/game/_/gameId/401869937</x:v>
      </x:c>
    </x:row>
    <x:row r="739">
      <x:c r="A739" t="str">
        <x:v>CFB</x:v>
      </x:c>
      <x:c r="B739" t="n">
        <x:v>11</x:v>
      </x:c>
      <x:c r="C739" s="68" t="n">
        <x:v>46340.208333333336</x:v>
      </x:c>
      <x:c r="D739" s="71" t="str">
        <x:v>pre</x:v>
      </x:c>
      <x:c r="E739" s="72" t="b">
        <x:v>0</x:v>
      </x:c>
      <x:c r="F739" t="str">
        <x:v>Georgia Southern Eagles</x:v>
      </x:c>
      <x:c r="G739" t="str">
        <x:v>GASO</x:v>
      </x:c>
      <x:c r="H739" s="69" t="n">
        <x:v>0</x:v>
      </x:c>
      <x:c r="I739" t="str">
        <x:v>1-2</x:v>
      </x:c>
      <x:c r="J739" t="str">
        <x:f>IF(E739&lt;&gt;TRUE,"",IF(H739&gt;M739,"W",IF(H739&lt;M739,"L","T")))</x:f>
      </x:c>
      <x:c r="K739" t="str">
        <x:v>Georgia State Panthers</x:v>
      </x:c>
      <x:c r="L739" t="str">
        <x:v>GAST</x:v>
      </x:c>
      <x:c r="M739" s="69" t="n">
        <x:v>0</x:v>
      </x:c>
      <x:c r="N739" t="str">
        <x:v>2-1</x:v>
      </x:c>
      <x:c r="O739" t="str">
        <x:f>IF(E739&lt;&gt;TRUE,"",IF(M739&gt;H739,"W",IF(M739&lt;H739,"L","T")))</x:f>
      </x:c>
      <x:c r="P739" s="66" t="b">
        <x:v>0</x:v>
      </x:c>
      <x:c r="Q739" s="66" t="b">
        <x:v>1</x:v>
      </x:c>
      <x:c r="R739" t="str">
        <x:v>Center Parc Stadium</x:v>
      </x:c>
      <x:c r="S739" t="str"/>
      <x:c r="T739"/>
      <x:c r="U739" s="70"/>
      <x:c r="V739" s="70"/>
      <x:c r="W739"/>
      <x:c r="X739" t="str">
        <x:v>https://www.espn.com/college-football/game/_/gameId/401869952</x:v>
      </x:c>
    </x:row>
    <x:row r="740">
      <x:c r="A740" t="str">
        <x:v>CFB</x:v>
      </x:c>
      <x:c r="B740" t="n">
        <x:v>11</x:v>
      </x:c>
      <x:c r="C740" s="68" t="n">
        <x:v>46340.208333333336</x:v>
      </x:c>
      <x:c r="D740" s="71" t="str">
        <x:v>pre</x:v>
      </x:c>
      <x:c r="E740" s="72" t="b">
        <x:v>0</x:v>
      </x:c>
      <x:c r="F740" t="str">
        <x:v>Southern Miss Golden Eagles</x:v>
      </x:c>
      <x:c r="G740" t="str">
        <x:v>USM</x:v>
      </x:c>
      <x:c r="H740" s="69" t="n">
        <x:v>0</x:v>
      </x:c>
      <x:c r="I740" t="str">
        <x:v>1-2</x:v>
      </x:c>
      <x:c r="J740" t="str">
        <x:f>IF(E740&lt;&gt;TRUE,"",IF(H740&gt;M740,"W",IF(H740&lt;M740,"L","T")))</x:f>
      </x:c>
      <x:c r="K740" t="str">
        <x:v>Louisiana Tech Bulldogs</x:v>
      </x:c>
      <x:c r="L740" t="str">
        <x:v>LT</x:v>
      </x:c>
      <x:c r="M740" s="69" t="n">
        <x:v>0</x:v>
      </x:c>
      <x:c r="N740" t="str">
        <x:v>1-2</x:v>
      </x:c>
      <x:c r="O740" t="str">
        <x:f>IF(E740&lt;&gt;TRUE,"",IF(M740&gt;H740,"W",IF(M740&lt;H740,"L","T")))</x:f>
      </x:c>
      <x:c r="P740" s="66" t="b">
        <x:v>0</x:v>
      </x:c>
      <x:c r="Q740" s="66" t="b">
        <x:v>1</x:v>
      </x:c>
      <x:c r="R740" t="str">
        <x:v>Joe Aillet Stadium</x:v>
      </x:c>
      <x:c r="S740" t="str"/>
      <x:c r="T740"/>
      <x:c r="U740" s="70"/>
      <x:c r="V740" s="70"/>
      <x:c r="W740"/>
      <x:c r="X740" t="str">
        <x:v>https://www.espn.com/college-football/game/_/gameId/401871099</x:v>
      </x:c>
    </x:row>
    <x:row r="741">
      <x:c r="A741" t="str">
        <x:v>CFB</x:v>
      </x:c>
      <x:c r="B741" t="n">
        <x:v>11</x:v>
      </x:c>
      <x:c r="C741" s="68" t="n">
        <x:v>46340.208333333336</x:v>
      </x:c>
      <x:c r="D741" s="71" t="str">
        <x:v>pre</x:v>
      </x:c>
      <x:c r="E741" s="72" t="b">
        <x:v>0</x:v>
      </x:c>
      <x:c r="F741" t="str">
        <x:v>Troy Trojans</x:v>
      </x:c>
      <x:c r="G741" t="str">
        <x:v>TROY</x:v>
      </x:c>
      <x:c r="H741" s="69" t="n">
        <x:v>0</x:v>
      </x:c>
      <x:c r="I741" t="str">
        <x:v>2-1</x:v>
      </x:c>
      <x:c r="J741" t="str">
        <x:f>IF(E741&lt;&gt;TRUE,"",IF(H741&gt;M741,"W",IF(H741&lt;M741,"L","T")))</x:f>
      </x:c>
      <x:c r="K741" t="str">
        <x:v>South Alabama Jaguars</x:v>
      </x:c>
      <x:c r="L741" t="str">
        <x:v>USA</x:v>
      </x:c>
      <x:c r="M741" s="69" t="n">
        <x:v>0</x:v>
      </x:c>
      <x:c r="N741" t="str">
        <x:v>2-1</x:v>
      </x:c>
      <x:c r="O741" t="str">
        <x:f>IF(E741&lt;&gt;TRUE,"",IF(M741&gt;H741,"W",IF(M741&lt;H741,"L","T")))</x:f>
      </x:c>
      <x:c r="P741" s="66" t="b">
        <x:v>0</x:v>
      </x:c>
      <x:c r="Q741" s="66" t="b">
        <x:v>1</x:v>
      </x:c>
      <x:c r="R741" t="str">
        <x:v>Hancock Whitney Stadium</x:v>
      </x:c>
      <x:c r="S741" t="str"/>
      <x:c r="T741"/>
      <x:c r="U741" s="70"/>
      <x:c r="V741" s="70"/>
      <x:c r="W741"/>
      <x:c r="X741" t="str">
        <x:v>https://www.espn.com/college-football/game/_/gameId/401871100</x:v>
      </x:c>
    </x:row>
    <x:row r="742">
      <x:c r="A742" t="str">
        <x:v>CFB</x:v>
      </x:c>
      <x:c r="B742" t="n">
        <x:v>11</x:v>
      </x:c>
      <x:c r="C742" s="68" t="n">
        <x:v>46340.708333333336</x:v>
      </x:c>
      <x:c r="D742" s="71" t="str">
        <x:v>pre</x:v>
      </x:c>
      <x:c r="E742" s="72" t="b">
        <x:v>0</x:v>
      </x:c>
      <x:c r="F742" t="str">
        <x:v>James Madison Dukes</x:v>
      </x:c>
      <x:c r="G742" t="str">
        <x:v>JMU</x:v>
      </x:c>
      <x:c r="H742" s="69" t="n">
        <x:v>0</x:v>
      </x:c>
      <x:c r="I742" t="str">
        <x:v>3-0</x:v>
      </x:c>
      <x:c r="J742" t="str">
        <x:f>IF(E742&lt;&gt;TRUE,"",IF(H742&gt;M742,"W",IF(H742&lt;M742,"L","T")))</x:f>
      </x:c>
      <x:c r="K742" t="str">
        <x:v>UConn Huskies</x:v>
      </x:c>
      <x:c r="L742" t="str">
        <x:v>CONN</x:v>
      </x:c>
      <x:c r="M742" s="69" t="n">
        <x:v>0</x:v>
      </x:c>
      <x:c r="N742" t="str">
        <x:v>2-1</x:v>
      </x:c>
      <x:c r="O742" t="str">
        <x:f>IF(E742&lt;&gt;TRUE,"",IF(M742&gt;H742,"W",IF(M742&lt;H742,"L","T")))</x:f>
      </x:c>
      <x:c r="P742" s="66" t="b">
        <x:v>0</x:v>
      </x:c>
      <x:c r="Q742" s="66" t="b">
        <x:v>0</x:v>
      </x:c>
      <x:c r="R742" t="str">
        <x:v>Pratt &amp; Whitney Stadium</x:v>
      </x:c>
      <x:c r="S742" t="str">
        <x:v>CBSSN</x:v>
      </x:c>
      <x:c r="T742"/>
      <x:c r="U742" s="70"/>
      <x:c r="V742" s="70"/>
      <x:c r="W742"/>
      <x:c r="X742" t="str">
        <x:v>https://www.espn.com/college-football/game/_/gameId/401861967</x:v>
      </x:c>
    </x:row>
    <x:row r="743">
      <x:c r="A743" t="str">
        <x:v>CFB</x:v>
      </x:c>
      <x:c r="B743" t="n">
        <x:v>11</x:v>
      </x:c>
      <x:c r="C743" s="68" t="n">
        <x:v>46340.791666666664</x:v>
      </x:c>
      <x:c r="D743" s="71" t="str">
        <x:v>pre</x:v>
      </x:c>
      <x:c r="E743" s="72" t="b">
        <x:v>0</x:v>
      </x:c>
      <x:c r="F743" t="str">
        <x:v>Kennesaw State Owls</x:v>
      </x:c>
      <x:c r="G743" t="str">
        <x:v>KENN</x:v>
      </x:c>
      <x:c r="H743" s="69" t="n">
        <x:v>0</x:v>
      </x:c>
      <x:c r="I743" t="str">
        <x:v>1-2</x:v>
      </x:c>
      <x:c r="J743" t="str">
        <x:f>IF(E743&lt;&gt;TRUE,"",IF(H743&gt;M743,"W",IF(H743&lt;M743,"L","T")))</x:f>
      </x:c>
      <x:c r="K743" t="str">
        <x:v>Sam Houston Bearkats</x:v>
      </x:c>
      <x:c r="L743" t="str">
        <x:v>SHSU</x:v>
      </x:c>
      <x:c r="M743" s="69" t="n">
        <x:v>0</x:v>
      </x:c>
      <x:c r="N743" t="str">
        <x:v>1-2</x:v>
      </x:c>
      <x:c r="O743" t="str">
        <x:f>IF(E743&lt;&gt;TRUE,"",IF(M743&gt;H743,"W",IF(M743&lt;H743,"L","T")))</x:f>
      </x:c>
      <x:c r="P743" s="66" t="b">
        <x:v>0</x:v>
      </x:c>
      <x:c r="Q743" s="66" t="b">
        <x:v>1</x:v>
      </x:c>
      <x:c r="R743" t="str">
        <x:v>Elliott T. Bowers Stadium</x:v>
      </x:c>
      <x:c r="S743" t="str"/>
      <x:c r="T743"/>
      <x:c r="U743" s="70"/>
      <x:c r="V743" s="70"/>
      <x:c r="W743"/>
      <x:c r="X743" t="str">
        <x:v>https://www.espn.com/college-football/game/_/gameId/401870769</x:v>
      </x:c>
    </x:row>
    <x:row r="744">
      <x:c r="A744" t="str">
        <x:v>CFB</x:v>
      </x:c>
      <x:c r="B744" t="n">
        <x:v>11</x:v>
      </x:c>
      <x:c r="C744" s="68" t="n">
        <x:v>46340.833333333336</x:v>
      </x:c>
      <x:c r="D744" s="71" t="str">
        <x:v>pre</x:v>
      </x:c>
      <x:c r="E744" s="72" t="b">
        <x:v>0</x:v>
      </x:c>
      <x:c r="F744" t="str">
        <x:v>New Mexico State Aggies</x:v>
      </x:c>
      <x:c r="G744" t="str">
        <x:v>NMSU</x:v>
      </x:c>
      <x:c r="H744" s="69" t="n">
        <x:v>0</x:v>
      </x:c>
      <x:c r="I744" t="str">
        <x:v>1-2</x:v>
      </x:c>
      <x:c r="J744" t="str">
        <x:f>IF(E744&lt;&gt;TRUE,"",IF(H744&gt;M744,"W",IF(H744&lt;M744,"L","T")))</x:f>
      </x:c>
      <x:c r="K744" t="str">
        <x:v>Missouri State Bears</x:v>
      </x:c>
      <x:c r="L744" t="str">
        <x:v>MOST</x:v>
      </x:c>
      <x:c r="M744" s="69" t="n">
        <x:v>0</x:v>
      </x:c>
      <x:c r="N744" t="str">
        <x:v>1-2</x:v>
      </x:c>
      <x:c r="O744" t="str">
        <x:f>IF(E744&lt;&gt;TRUE,"",IF(M744&gt;H744,"W",IF(M744&lt;H744,"L","T")))</x:f>
      </x:c>
      <x:c r="P744" s="66" t="b">
        <x:v>0</x:v>
      </x:c>
      <x:c r="Q744" s="66" t="b">
        <x:v>1</x:v>
      </x:c>
      <x:c r="R744" t="str">
        <x:v>Robert W. Plaster Stadium</x:v>
      </x:c>
      <x:c r="S744" t="str"/>
      <x:c r="T744"/>
      <x:c r="U744" s="70"/>
      <x:c r="V744" s="70"/>
      <x:c r="W744"/>
      <x:c r="X744" t="str">
        <x:v>https://www.espn.com/college-football/game/_/gameId/401870796</x:v>
      </x:c>
    </x:row>
    <x:row r="745">
      <x:c r="A745" t="str">
        <x:v>CFB</x:v>
      </x:c>
      <x:c r="B745" t="n">
        <x:v>11</x:v>
      </x:c>
      <x:c r="C745" s="68" t="n">
        <x:v>46340.833333333336</x:v>
      </x:c>
      <x:c r="D745" s="71" t="str">
        <x:v>pre</x:v>
      </x:c>
      <x:c r="E745" s="72" t="b">
        <x:v>0</x:v>
      </x:c>
      <x:c r="F745" t="str">
        <x:v>Florida International Panthers</x:v>
      </x:c>
      <x:c r="G745" t="str">
        <x:v>FIU</x:v>
      </x:c>
      <x:c r="H745" s="69" t="n">
        <x:v>0</x:v>
      </x:c>
      <x:c r="I745" t="str">
        <x:v>1-2</x:v>
      </x:c>
      <x:c r="J745" t="str">
        <x:f>IF(E745&lt;&gt;TRUE,"",IF(H745&gt;M745,"W",IF(H745&lt;M745,"L","T")))</x:f>
      </x:c>
      <x:c r="K745" t="str">
        <x:v>Delaware Blue Hens</x:v>
      </x:c>
      <x:c r="L745" t="str">
        <x:v>DEL</x:v>
      </x:c>
      <x:c r="M745" s="69" t="n">
        <x:v>0</x:v>
      </x:c>
      <x:c r="N745" t="str">
        <x:v>2-1</x:v>
      </x:c>
      <x:c r="O745" t="str">
        <x:f>IF(E745&lt;&gt;TRUE,"",IF(M745&gt;H745,"W",IF(M745&lt;H745,"L","T")))</x:f>
      </x:c>
      <x:c r="P745" s="66" t="b">
        <x:v>0</x:v>
      </x:c>
      <x:c r="Q745" s="66" t="b">
        <x:v>1</x:v>
      </x:c>
      <x:c r="R745" t="str">
        <x:v>Delaware Stadium</x:v>
      </x:c>
      <x:c r="S745" t="str"/>
      <x:c r="T745"/>
      <x:c r="U745" s="70"/>
      <x:c r="V745" s="70"/>
      <x:c r="W745"/>
      <x:c r="X745" t="str">
        <x:v>https://www.espn.com/college-football/game/_/gameId/401871060</x:v>
      </x:c>
    </x:row>
    <x:row r="746">
      <x:c r="A746" t="str">
        <x:v>CFB</x:v>
      </x:c>
      <x:c r="B746" t="n">
        <x:v>11</x:v>
      </x:c>
      <x:c r="C746" s="68" t="n">
        <x:v>46340.854166666664</x:v>
      </x:c>
      <x:c r="D746" s="71" t="str">
        <x:v>pre</x:v>
      </x:c>
      <x:c r="E746" s="72" t="b">
        <x:v>0</x:v>
      </x:c>
      <x:c r="F746" t="str">
        <x:v>Boston College Eagles</x:v>
      </x:c>
      <x:c r="G746" t="str">
        <x:v>BC</x:v>
      </x:c>
      <x:c r="H746" s="69" t="n">
        <x:v>0</x:v>
      </x:c>
      <x:c r="I746" t="str">
        <x:v>2-1</x:v>
      </x:c>
      <x:c r="J746" t="str">
        <x:f>IF(E746&lt;&gt;TRUE,"",IF(H746&gt;M746,"W",IF(H746&lt;M746,"L","T")))</x:f>
      </x:c>
      <x:c r="K746" t="str">
        <x:v>Notre Dame Fighting Irish</x:v>
      </x:c>
      <x:c r="L746" t="str">
        <x:v>ND</x:v>
      </x:c>
      <x:c r="M746" s="69" t="n">
        <x:v>0</x:v>
      </x:c>
      <x:c r="N746" t="str">
        <x:v>3-0</x:v>
      </x:c>
      <x:c r="O746" t="str">
        <x:f>IF(E746&lt;&gt;TRUE,"",IF(M746&gt;H746,"W",IF(M746&lt;H746,"L","T")))</x:f>
      </x:c>
      <x:c r="P746" s="66" t="b">
        <x:v>0</x:v>
      </x:c>
      <x:c r="Q746" s="66" t="b">
        <x:v>0</x:v>
      </x:c>
      <x:c r="R746" t="str">
        <x:v>Notre Dame Stadium</x:v>
      </x:c>
      <x:c r="S746" t="str">
        <x:v>NBC</x:v>
      </x:c>
      <x:c r="T746"/>
      <x:c r="U746" s="70"/>
      <x:c r="V746" s="70"/>
      <x:c r="W746"/>
      <x:c r="X746" t="str">
        <x:v>https://www.espn.com/college-football/game/_/gameId/401858294</x:v>
      </x:c>
    </x:row>
    <x:row r="747">
      <x:c r="A747" t="str">
        <x:v>CFB</x:v>
      </x:c>
      <x:c r="B747" t="n">
        <x:v>11</x:v>
      </x:c>
      <x:c r="C747" s="68" t="n">
        <x:v>46340.854166666664</x:v>
      </x:c>
      <x:c r="D747" s="71" t="str">
        <x:v>pre</x:v>
      </x:c>
      <x:c r="E747" s="72" t="b">
        <x:v>0</x:v>
      </x:c>
      <x:c r="F747" t="str">
        <x:v>Jacksonville State Gamecocks</x:v>
      </x:c>
      <x:c r="G747" t="str">
        <x:v>JXST</x:v>
      </x:c>
      <x:c r="H747" s="69" t="n">
        <x:v>0</x:v>
      </x:c>
      <x:c r="I747" t="str">
        <x:v>2-2</x:v>
      </x:c>
      <x:c r="J747" t="str">
        <x:f>IF(E747&lt;&gt;TRUE,"",IF(H747&gt;M747,"W",IF(H747&lt;M747,"L","T")))</x:f>
      </x:c>
      <x:c r="K747" t="str">
        <x:v>Western Kentucky Hilltoppers</x:v>
      </x:c>
      <x:c r="L747" t="str">
        <x:v>WKU</x:v>
      </x:c>
      <x:c r="M747" s="69" t="n">
        <x:v>0</x:v>
      </x:c>
      <x:c r="N747" t="str">
        <x:v>0-3</x:v>
      </x:c>
      <x:c r="O747" t="str">
        <x:f>IF(E747&lt;&gt;TRUE,"",IF(M747&gt;H747,"W",IF(M747&lt;H747,"L","T")))</x:f>
      </x:c>
      <x:c r="P747" s="66" t="b">
        <x:v>0</x:v>
      </x:c>
      <x:c r="Q747" s="66" t="b">
        <x:v>1</x:v>
      </x:c>
      <x:c r="R747" t="str">
        <x:v>Houchens Industries-L.T. Smith Stadium</x:v>
      </x:c>
      <x:c r="S747" t="str"/>
      <x:c r="T747"/>
      <x:c r="U747" s="70"/>
      <x:c r="V747" s="70"/>
      <x:c r="W747"/>
      <x:c r="X747" t="str">
        <x:v>https://www.espn.com/college-football/game/_/gameId/401870752</x:v>
      </x:c>
    </x:row>
    <x:row r="748">
      <x:c r="A748" t="str">
        <x:v>CFB</x:v>
      </x:c>
      <x:c r="B748" t="n">
        <x:v>11</x:v>
      </x:c>
      <x:c r="C748" s="68" t="n">
        <x:v>46340.854166666664</x:v>
      </x:c>
      <x:c r="D748" s="71" t="str">
        <x:v>pre</x:v>
      </x:c>
      <x:c r="E748" s="72" t="b">
        <x:v>0</x:v>
      </x:c>
      <x:c r="F748" t="str">
        <x:v>Middle Tennessee Blue Raiders</x:v>
      </x:c>
      <x:c r="G748" t="str">
        <x:v>MTSU</x:v>
      </x:c>
      <x:c r="H748" s="69" t="n">
        <x:v>0</x:v>
      </x:c>
      <x:c r="I748" t="str">
        <x:v>2-1</x:v>
      </x:c>
      <x:c r="J748" t="str">
        <x:f>IF(E748&lt;&gt;TRUE,"",IF(H748&gt;M748,"W",IF(H748&lt;M748,"L","T")))</x:f>
      </x:c>
      <x:c r="K748" t="str">
        <x:v>Liberty Flames</x:v>
      </x:c>
      <x:c r="L748" t="str">
        <x:v>LIB</x:v>
      </x:c>
      <x:c r="M748" s="69" t="n">
        <x:v>0</x:v>
      </x:c>
      <x:c r="N748" t="str">
        <x:v>2-1</x:v>
      </x:c>
      <x:c r="O748" t="str">
        <x:f>IF(E748&lt;&gt;TRUE,"",IF(M748&gt;H748,"W",IF(M748&lt;H748,"L","T")))</x:f>
      </x:c>
      <x:c r="P748" s="66" t="b">
        <x:v>0</x:v>
      </x:c>
      <x:c r="Q748" s="66" t="b">
        <x:v>1</x:v>
      </x:c>
      <x:c r="R748" t="str">
        <x:v>Williams Stadium (VA)</x:v>
      </x:c>
      <x:c r="S748" t="str">
        <x:v>CBSSN</x:v>
      </x:c>
      <x:c r="T748"/>
      <x:c r="U748" s="70"/>
      <x:c r="V748" s="70"/>
      <x:c r="W748"/>
      <x:c r="X748" t="str">
        <x:v>https://www.espn.com/college-football/game/_/gameId/401871061</x:v>
      </x:c>
    </x:row>
    <x:row r="749">
      <x:c r="A749" t="str">
        <x:v>CFB</x:v>
      </x:c>
      <x:c r="B749" t="n">
        <x:v>11</x:v>
      </x:c>
      <x:c r="C749" s="68" t="n">
        <x:v>46340.875</x:v>
      </x:c>
      <x:c r="D749" s="71" t="str">
        <x:v>pre</x:v>
      </x:c>
      <x:c r="E749" s="72" t="b">
        <x:v>0</x:v>
      </x:c>
      <x:c r="F749" t="str">
        <x:v>Fresno State Bulldogs</x:v>
      </x:c>
      <x:c r="G749" t="str">
        <x:v>FRES</x:v>
      </x:c>
      <x:c r="H749" s="69" t="n">
        <x:v>0</x:v>
      </x:c>
      <x:c r="I749" t="str">
        <x:v>2-1</x:v>
      </x:c>
      <x:c r="J749" t="str">
        <x:f>IF(E749&lt;&gt;TRUE,"",IF(H749&gt;M749,"W",IF(H749&lt;M749,"L","T")))</x:f>
      </x:c>
      <x:c r="K749" t="str">
        <x:v>Texas State Bobcats</x:v>
      </x:c>
      <x:c r="L749" t="str">
        <x:v>TXST</x:v>
      </x:c>
      <x:c r="M749" s="69" t="n">
        <x:v>0</x:v>
      </x:c>
      <x:c r="N749" t="str">
        <x:v>1-2</x:v>
      </x:c>
      <x:c r="O749" t="str">
        <x:f>IF(E749&lt;&gt;TRUE,"",IF(M749&gt;H749,"W",IF(M749&lt;H749,"L","T")))</x:f>
      </x:c>
      <x:c r="P749" s="66" t="b">
        <x:v>0</x:v>
      </x:c>
      <x:c r="Q749" s="66" t="b">
        <x:v>1</x:v>
      </x:c>
      <x:c r="R749" t="str">
        <x:v>UFCU Stadium</x:v>
      </x:c>
      <x:c r="S749" t="str">
        <x:v>CW</x:v>
      </x:c>
      <x:c r="T749"/>
      <x:c r="U749" s="70"/>
      <x:c r="V749" s="70"/>
      <x:c r="W749"/>
      <x:c r="X749" t="str">
        <x:v>https://www.espn.com/college-football/game/_/gameId/401860916</x:v>
      </x:c>
    </x:row>
    <x:row r="750">
      <x:c r="A750" t="str">
        <x:v>CFB</x:v>
      </x:c>
      <x:c r="B750" t="n">
        <x:v>11</x:v>
      </x:c>
      <x:c r="C750" s="68" t="n">
        <x:v>46340.958333333336</x:v>
      </x:c>
      <x:c r="D750" s="71" t="str">
        <x:v>pre</x:v>
      </x:c>
      <x:c r="E750" s="72" t="b">
        <x:v>0</x:v>
      </x:c>
      <x:c r="F750" t="str">
        <x:v>Oregon State Beavers</x:v>
      </x:c>
      <x:c r="G750" t="str">
        <x:v>ORST</x:v>
      </x:c>
      <x:c r="H750" s="69" t="n">
        <x:v>0</x:v>
      </x:c>
      <x:c r="I750" t="str">
        <x:v>1-2</x:v>
      </x:c>
      <x:c r="J750" t="str">
        <x:f>IF(E750&lt;&gt;TRUE,"",IF(H750&gt;M750,"W",IF(H750&lt;M750,"L","T")))</x:f>
      </x:c>
      <x:c r="K750" t="str">
        <x:v>Boise State Broncos</x:v>
      </x:c>
      <x:c r="L750" t="str">
        <x:v>BOIS</x:v>
      </x:c>
      <x:c r="M750" s="69" t="n">
        <x:v>0</x:v>
      </x:c>
      <x:c r="N750" t="str">
        <x:v>2-1</x:v>
      </x:c>
      <x:c r="O750" t="str">
        <x:f>IF(E750&lt;&gt;TRUE,"",IF(M750&gt;H750,"W",IF(M750&lt;H750,"L","T")))</x:f>
      </x:c>
      <x:c r="P750" s="66" t="b">
        <x:v>0</x:v>
      </x:c>
      <x:c r="Q750" s="66" t="b">
        <x:v>1</x:v>
      </x:c>
      <x:c r="R750" t="str">
        <x:v>Albertsons Stadium</x:v>
      </x:c>
      <x:c r="S750" t="str">
        <x:v>USA Net</x:v>
      </x:c>
      <x:c r="T750"/>
      <x:c r="U750" s="70"/>
      <x:c r="V750" s="70"/>
      <x:c r="W750"/>
      <x:c r="X750" t="str">
        <x:v>https://www.espn.com/college-football/game/_/gameId/401860914</x:v>
      </x:c>
    </x:row>
    <x:row r="751">
      <x:c r="A751" t="str">
        <x:v>CFB</x:v>
      </x:c>
      <x:c r="B751" t="n">
        <x:v>11</x:v>
      </x:c>
      <x:c r="C751" s="68" t="n">
        <x:v>46341</x:v>
      </x:c>
      <x:c r="D751" s="71" t="str">
        <x:v>pre</x:v>
      </x:c>
      <x:c r="E751" s="72" t="b">
        <x:v>0</x:v>
      </x:c>
      <x:c r="F751" t="str">
        <x:v>San José State Spartans</x:v>
      </x:c>
      <x:c r="G751" t="str">
        <x:v>SJSU</x:v>
      </x:c>
      <x:c r="H751" s="69" t="n">
        <x:v>0</x:v>
      </x:c>
      <x:c r="I751" t="str">
        <x:v>2-2</x:v>
      </x:c>
      <x:c r="J751" t="str">
        <x:f>IF(E751&lt;&gt;TRUE,"",IF(H751&gt;M751,"W",IF(H751&lt;M751,"L","T")))</x:f>
      </x:c>
      <x:c r="K751" t="str">
        <x:v>Air Force Falcons</x:v>
      </x:c>
      <x:c r="L751" t="str">
        <x:v>AFA</x:v>
      </x:c>
      <x:c r="M751" s="69" t="n">
        <x:v>0</x:v>
      </x:c>
      <x:c r="N751" t="str">
        <x:v>1-1</x:v>
      </x:c>
      <x:c r="O751" t="str">
        <x:f>IF(E751&lt;&gt;TRUE,"",IF(M751&gt;H751,"W",IF(M751&lt;H751,"L","T")))</x:f>
      </x:c>
      <x:c r="P751" s="66" t="b">
        <x:v>0</x:v>
      </x:c>
      <x:c r="Q751" s="66" t="b">
        <x:v>1</x:v>
      </x:c>
      <x:c r="R751" t="str">
        <x:v>Falcon Stadium</x:v>
      </x:c>
      <x:c r="S751" t="str">
        <x:v>CBSSN</x:v>
      </x:c>
      <x:c r="T751"/>
      <x:c r="U751" s="70"/>
      <x:c r="V751" s="70"/>
      <x:c r="W751"/>
      <x:c r="X751" t="str">
        <x:v>https://www.espn.com/college-football/game/_/gameId/401864538</x:v>
      </x:c>
    </x:row>
    <x:row r="752">
      <x:c r="A752" t="str">
        <x:v>CFB</x:v>
      </x:c>
      <x:c r="B752" t="n">
        <x:v>11</x:v>
      </x:c>
      <x:c r="C752" s="68" t="n">
        <x:v>46341.020833333336</x:v>
      </x:c>
      <x:c r="D752" s="71" t="str">
        <x:v>pre</x:v>
      </x:c>
      <x:c r="E752" s="72" t="b">
        <x:v>0</x:v>
      </x:c>
      <x:c r="F752" t="str">
        <x:v>UNLV Rebels</x:v>
      </x:c>
      <x:c r="G752" t="str">
        <x:v>UNLV</x:v>
      </x:c>
      <x:c r="H752" s="69" t="n">
        <x:v>0</x:v>
      </x:c>
      <x:c r="I752" t="str">
        <x:v>1-2</x:v>
      </x:c>
      <x:c r="J752" t="str">
        <x:f>IF(E752&lt;&gt;TRUE,"",IF(H752&gt;M752,"W",IF(H752&lt;M752,"L","T")))</x:f>
      </x:c>
      <x:c r="K752" t="str">
        <x:v>New Mexico Lobos</x:v>
      </x:c>
      <x:c r="L752" t="str">
        <x:v>UNM</x:v>
      </x:c>
      <x:c r="M752" s="69" t="n">
        <x:v>0</x:v>
      </x:c>
      <x:c r="N752" t="str">
        <x:v>2-1</x:v>
      </x:c>
      <x:c r="O752" t="str">
        <x:f>IF(E752&lt;&gt;TRUE,"",IF(M752&gt;H752,"W",IF(M752&lt;H752,"L","T")))</x:f>
      </x:c>
      <x:c r="P752" s="66" t="b">
        <x:v>0</x:v>
      </x:c>
      <x:c r="Q752" s="66" t="b">
        <x:v>1</x:v>
      </x:c>
      <x:c r="R752" t="str">
        <x:v>University Stadium (NM)</x:v>
      </x:c>
      <x:c r="S752" t="str">
        <x:v>CW</x:v>
      </x:c>
      <x:c r="T752"/>
      <x:c r="U752" s="70"/>
      <x:c r="V752" s="70"/>
      <x:c r="W752"/>
      <x:c r="X752" t="str">
        <x:v>https://www.espn.com/college-football/game/_/gameId/401864539</x:v>
      </x:c>
    </x:row>
    <x:row r="753">
      <x:c r="A753" t="str">
        <x:v>CFB</x:v>
      </x:c>
      <x:c r="B753" t="n">
        <x:v>11</x:v>
      </x:c>
      <x:c r="C753" s="68" t="n">
        <x:v>46341.104166666664</x:v>
      </x:c>
      <x:c r="D753" s="71" t="str">
        <x:v>pre</x:v>
      </x:c>
      <x:c r="E753" s="72" t="b">
        <x:v>0</x:v>
      </x:c>
      <x:c r="F753" t="str">
        <x:v>Utah State Aggies</x:v>
      </x:c>
      <x:c r="G753" t="str">
        <x:v>USU</x:v>
      </x:c>
      <x:c r="H753" s="69" t="n">
        <x:v>0</x:v>
      </x:c>
      <x:c r="I753" t="str">
        <x:v>0-3</x:v>
      </x:c>
      <x:c r="J753" t="str">
        <x:f>IF(E753&lt;&gt;TRUE,"",IF(H753&gt;M753,"W",IF(H753&lt;M753,"L","T")))</x:f>
      </x:c>
      <x:c r="K753" t="str">
        <x:v>San Diego State Aztecs</x:v>
      </x:c>
      <x:c r="L753" t="str">
        <x:v>SDSU</x:v>
      </x:c>
      <x:c r="M753" s="69" t="n">
        <x:v>0</x:v>
      </x:c>
      <x:c r="N753" t="str">
        <x:v>1-2</x:v>
      </x:c>
      <x:c r="O753" t="str">
        <x:f>IF(E753&lt;&gt;TRUE,"",IF(M753&gt;H753,"W",IF(M753&lt;H753,"L","T")))</x:f>
      </x:c>
      <x:c r="P753" s="66" t="b">
        <x:v>0</x:v>
      </x:c>
      <x:c r="Q753" s="66" t="b">
        <x:v>1</x:v>
      </x:c>
      <x:c r="R753" t="str">
        <x:v>Snapdragon Stadium</x:v>
      </x:c>
      <x:c r="S753" t="str">
        <x:v>USA Net</x:v>
      </x:c>
      <x:c r="T753"/>
      <x:c r="U753" s="70"/>
      <x:c r="V753" s="70"/>
      <x:c r="W753"/>
      <x:c r="X753" t="str">
        <x:v>https://www.espn.com/college-football/game/_/gameId/401860915</x:v>
      </x:c>
    </x:row>
    <x:row r="754">
      <x:c r="A754" t="str">
        <x:v>CFB</x:v>
      </x:c>
      <x:c r="B754" t="n">
        <x:v>11</x:v>
      </x:c>
      <x:c r="C754" s="68" t="n">
        <x:v>46341.145833333336</x:v>
      </x:c>
      <x:c r="D754" s="71" t="str">
        <x:v>pre</x:v>
      </x:c>
      <x:c r="E754" s="72" t="b">
        <x:v>0</x:v>
      </x:c>
      <x:c r="F754" t="str">
        <x:v>Colorado State Rams</x:v>
      </x:c>
      <x:c r="G754" t="str">
        <x:v>CSU</x:v>
      </x:c>
      <x:c r="H754" s="69" t="n">
        <x:v>0</x:v>
      </x:c>
      <x:c r="I754" t="str">
        <x:v>2-1</x:v>
      </x:c>
      <x:c r="J754" t="str">
        <x:f>IF(E754&lt;&gt;TRUE,"",IF(H754&gt;M754,"W",IF(H754&lt;M754,"L","T")))</x:f>
      </x:c>
      <x:c r="K754" t="str">
        <x:v>Washington State Cougars</x:v>
      </x:c>
      <x:c r="L754" t="str">
        <x:v>WSU</x:v>
      </x:c>
      <x:c r="M754" s="69" t="n">
        <x:v>0</x:v>
      </x:c>
      <x:c r="N754" t="str">
        <x:v>1-2</x:v>
      </x:c>
      <x:c r="O754" t="str">
        <x:f>IF(E754&lt;&gt;TRUE,"",IF(M754&gt;H754,"W",IF(M754&lt;H754,"L","T")))</x:f>
      </x:c>
      <x:c r="P754" s="66" t="b">
        <x:v>0</x:v>
      </x:c>
      <x:c r="Q754" s="66" t="b">
        <x:v>1</x:v>
      </x:c>
      <x:c r="R754" t="str">
        <x:v>Martin Stadium</x:v>
      </x:c>
      <x:c r="S754" t="str">
        <x:v>CBSSN</x:v>
      </x:c>
      <x:c r="T754"/>
      <x:c r="U754" s="70"/>
      <x:c r="V754" s="70"/>
      <x:c r="W754"/>
      <x:c r="X754" t="str">
        <x:v>https://www.espn.com/college-football/game/_/gameId/401860917</x:v>
      </x:c>
    </x:row>
    <x:row r="755">
      <x:c r="A755" t="str">
        <x:v>CFB</x:v>
      </x:c>
      <x:c r="B755" t="n">
        <x:v>11</x:v>
      </x:c>
      <x:c r="C755" s="68" t="n">
        <x:v>46341.20763888889</x:v>
      </x:c>
      <x:c r="D755" s="71" t="str">
        <x:v>pre</x:v>
      </x:c>
      <x:c r="E755" s="72" t="b">
        <x:v>0</x:v>
      </x:c>
      <x:c r="F755" t="str">
        <x:v>North Dakota State Bison</x:v>
      </x:c>
      <x:c r="G755" t="str">
        <x:v>NDSU</x:v>
      </x:c>
      <x:c r="H755" s="69" t="n">
        <x:v>0</x:v>
      </x:c>
      <x:c r="I755" t="str">
        <x:v>4-0</x:v>
      </x:c>
      <x:c r="J755" t="str">
        <x:f>IF(E755&lt;&gt;TRUE,"",IF(H755&gt;M755,"W",IF(H755&lt;M755,"L","T")))</x:f>
      </x:c>
      <x:c r="K755" t="str">
        <x:v>Hawai'i Rainbow Warriors</x:v>
      </x:c>
      <x:c r="L755" t="str">
        <x:v>HAW</x:v>
      </x:c>
      <x:c r="M755" s="69" t="n">
        <x:v>0</x:v>
      </x:c>
      <x:c r="N755" t="str">
        <x:v>1-2</x:v>
      </x:c>
      <x:c r="O755" t="str">
        <x:f>IF(E755&lt;&gt;TRUE,"",IF(M755&gt;H755,"W",IF(M755&lt;H755,"L","T")))</x:f>
      </x:c>
      <x:c r="P755" s="66" t="b">
        <x:v>0</x:v>
      </x:c>
      <x:c r="Q755" s="66" t="b">
        <x:v>1</x:v>
      </x:c>
      <x:c r="R755" t="str">
        <x:v>Clarence T.C. Ching Athletics Complex</x:v>
      </x:c>
      <x:c r="S755" t="str">
        <x:v>CW</x:v>
      </x:c>
      <x:c r="T755"/>
      <x:c r="U755" s="70"/>
      <x:c r="V755" s="70"/>
      <x:c r="W755"/>
      <x:c r="X755" t="str">
        <x:v>https://www.espn.com/college-football/game/_/gameId/401864537</x:v>
      </x:c>
    </x:row>
    <x:row r="756">
      <x:c r="A756" t="str">
        <x:v>CFB</x:v>
      </x:c>
      <x:c r="B756" t="n">
        <x:v>12</x:v>
      </x:c>
      <x:c r="C756" s="68" t="n">
        <x:v>46344</x:v>
      </x:c>
      <x:c r="D756" s="71" t="str">
        <x:v>pre</x:v>
      </x:c>
      <x:c r="E756" s="72" t="b">
        <x:v>0</x:v>
      </x:c>
      <x:c r="F756" t="str">
        <x:v>Ball State Cardinals</x:v>
      </x:c>
      <x:c r="G756" t="str">
        <x:v>BALL</x:v>
      </x:c>
      <x:c r="H756" s="69" t="n">
        <x:v>0</x:v>
      </x:c>
      <x:c r="I756" t="str">
        <x:v>1-2</x:v>
      </x:c>
      <x:c r="J756" t="str">
        <x:f>IF(E756&lt;&gt;TRUE,"",IF(H756&gt;M756,"W",IF(H756&lt;M756,"L","T")))</x:f>
      </x:c>
      <x:c r="K756" t="str">
        <x:v>Ohio Bobcats</x:v>
      </x:c>
      <x:c r="L756" t="str">
        <x:v>OHIO</x:v>
      </x:c>
      <x:c r="M756" s="69" t="n">
        <x:v>0</x:v>
      </x:c>
      <x:c r="N756" t="str">
        <x:v>1-2</x:v>
      </x:c>
      <x:c r="O756" t="str">
        <x:f>IF(E756&lt;&gt;TRUE,"",IF(M756&gt;H756,"W",IF(M756&lt;H756,"L","T")))</x:f>
      </x:c>
      <x:c r="P756" s="66" t="b">
        <x:v>0</x:v>
      </x:c>
      <x:c r="Q756" s="66" t="b">
        <x:v>1</x:v>
      </x:c>
      <x:c r="R756" t="str">
        <x:v>Peden Stadium</x:v>
      </x:c>
      <x:c r="S756" t="str"/>
      <x:c r="T756"/>
      <x:c r="U756" s="70"/>
      <x:c r="V756" s="70"/>
      <x:c r="W756"/>
      <x:c r="X756" t="str">
        <x:v>https://www.espn.com/college-football/game/_/gameId/401866464</x:v>
      </x:c>
    </x:row>
    <x:row r="757">
      <x:c r="A757" t="str">
        <x:v>CFB</x:v>
      </x:c>
      <x:c r="B757" t="n">
        <x:v>12</x:v>
      </x:c>
      <x:c r="C757" s="68" t="n">
        <x:v>46344</x:v>
      </x:c>
      <x:c r="D757" s="71" t="str">
        <x:v>pre</x:v>
      </x:c>
      <x:c r="E757" s="72" t="b">
        <x:v>0</x:v>
      </x:c>
      <x:c r="F757" t="str">
        <x:v>Eastern Michigan Eagles</x:v>
      </x:c>
      <x:c r="G757" t="str">
        <x:v>EMU</x:v>
      </x:c>
      <x:c r="H757" s="69" t="n">
        <x:v>0</x:v>
      </x:c>
      <x:c r="I757" t="str">
        <x:v>1-3</x:v>
      </x:c>
      <x:c r="J757" t="str">
        <x:f>IF(E757&lt;&gt;TRUE,"",IF(H757&gt;M757,"W",IF(H757&lt;M757,"L","T")))</x:f>
      </x:c>
      <x:c r="K757" t="str">
        <x:v>Western Michigan Broncos</x:v>
      </x:c>
      <x:c r="L757" t="str">
        <x:v>WMU</x:v>
      </x:c>
      <x:c r="M757" s="69" t="n">
        <x:v>0</x:v>
      </x:c>
      <x:c r="N757" t="str">
        <x:v>2-1</x:v>
      </x:c>
      <x:c r="O757" t="str">
        <x:f>IF(E757&lt;&gt;TRUE,"",IF(M757&gt;H757,"W",IF(M757&lt;H757,"L","T")))</x:f>
      </x:c>
      <x:c r="P757" s="66" t="b">
        <x:v>0</x:v>
      </x:c>
      <x:c r="Q757" s="66" t="b">
        <x:v>1</x:v>
      </x:c>
      <x:c r="R757" t="str">
        <x:v>Waldo Stadium</x:v>
      </x:c>
      <x:c r="S757" t="str"/>
      <x:c r="T757"/>
      <x:c r="U757" s="70"/>
      <x:c r="V757" s="70"/>
      <x:c r="W757"/>
      <x:c r="X757" t="str">
        <x:v>https://www.espn.com/college-football/game/_/gameId/401866465</x:v>
      </x:c>
    </x:row>
    <x:row r="758">
      <x:c r="A758" t="str">
        <x:v>CFB</x:v>
      </x:c>
      <x:c r="B758" t="n">
        <x:v>12</x:v>
      </x:c>
      <x:c r="C758" s="68" t="n">
        <x:v>46344</x:v>
      </x:c>
      <x:c r="D758" s="71" t="str">
        <x:v>pre</x:v>
      </x:c>
      <x:c r="E758" s="72" t="b">
        <x:v>0</x:v>
      </x:c>
      <x:c r="F758" t="str">
        <x:v>Miami (OH) RedHawks</x:v>
      </x:c>
      <x:c r="G758" t="str">
        <x:v>M-OH</x:v>
      </x:c>
      <x:c r="H758" s="69" t="n">
        <x:v>0</x:v>
      </x:c>
      <x:c r="I758" t="str">
        <x:v>1-2</x:v>
      </x:c>
      <x:c r="J758" t="str">
        <x:f>IF(E758&lt;&gt;TRUE,"",IF(H758&gt;M758,"W",IF(H758&lt;M758,"L","T")))</x:f>
      </x:c>
      <x:c r="K758" t="str">
        <x:v>Kent State Golden Flashes</x:v>
      </x:c>
      <x:c r="L758" t="str">
        <x:v>KENT</x:v>
      </x:c>
      <x:c r="M758" s="69" t="n">
        <x:v>0</x:v>
      </x:c>
      <x:c r="N758" t="str">
        <x:v>1-2</x:v>
      </x:c>
      <x:c r="O758" t="str">
        <x:f>IF(E758&lt;&gt;TRUE,"",IF(M758&gt;H758,"W",IF(M758&lt;H758,"L","T")))</x:f>
      </x:c>
      <x:c r="P758" s="66" t="b">
        <x:v>0</x:v>
      </x:c>
      <x:c r="Q758" s="66" t="b">
        <x:v>1</x:v>
      </x:c>
      <x:c r="R758" t="str">
        <x:v>Zoeller Field at Dix Stadium</x:v>
      </x:c>
      <x:c r="S758" t="str"/>
      <x:c r="T758"/>
      <x:c r="U758" s="70"/>
      <x:c r="V758" s="70"/>
      <x:c r="W758"/>
      <x:c r="X758" t="str">
        <x:v>https://www.espn.com/college-football/game/_/gameId/401866466</x:v>
      </x:c>
    </x:row>
    <x:row r="759">
      <x:c r="A759" t="str">
        <x:v>CFB</x:v>
      </x:c>
      <x:c r="B759" t="n">
        <x:v>12</x:v>
      </x:c>
      <x:c r="C759" s="68" t="n">
        <x:v>46344.208333333336</x:v>
      </x:c>
      <x:c r="D759" s="71" t="str">
        <x:v>pre</x:v>
      </x:c>
      <x:c r="E759" s="72" t="b">
        <x:v>0</x:v>
      </x:c>
      <x:c r="F759" t="str">
        <x:v>Akron Zips</x:v>
      </x:c>
      <x:c r="G759" t="str">
        <x:v>AKR</x:v>
      </x:c>
      <x:c r="H759" s="69" t="n">
        <x:v>0</x:v>
      </x:c>
      <x:c r="I759" t="str">
        <x:v>1-2</x:v>
      </x:c>
      <x:c r="J759" t="str">
        <x:f>IF(E759&lt;&gt;TRUE,"",IF(H759&gt;M759,"W",IF(H759&lt;M759,"L","T")))</x:f>
      </x:c>
      <x:c r="K759" t="str">
        <x:v>Massachusetts Minutemen</x:v>
      </x:c>
      <x:c r="L759" t="str">
        <x:v>MASS</x:v>
      </x:c>
      <x:c r="M759" s="69" t="n">
        <x:v>0</x:v>
      </x:c>
      <x:c r="N759" t="str">
        <x:v>3-0</x:v>
      </x:c>
      <x:c r="O759" t="str">
        <x:f>IF(E759&lt;&gt;TRUE,"",IF(M759&gt;H759,"W",IF(M759&lt;H759,"L","T")))</x:f>
      </x:c>
      <x:c r="P759" s="66" t="b">
        <x:v>0</x:v>
      </x:c>
      <x:c r="Q759" s="66" t="b">
        <x:v>1</x:v>
      </x:c>
      <x:c r="R759" t="str">
        <x:v>Warren McGuirk Alumni Stadium</x:v>
      </x:c>
      <x:c r="S759" t="str"/>
      <x:c r="T759"/>
      <x:c r="U759" s="70"/>
      <x:c r="V759" s="70"/>
      <x:c r="W759"/>
      <x:c r="X759" t="str">
        <x:v>https://www.espn.com/college-football/game/_/gameId/401866467</x:v>
      </x:c>
    </x:row>
    <x:row r="760">
      <x:c r="A760" t="str">
        <x:v>CFB</x:v>
      </x:c>
      <x:c r="B760" t="n">
        <x:v>12</x:v>
      </x:c>
      <x:c r="C760" s="68" t="n">
        <x:v>46344.208333333336</x:v>
      </x:c>
      <x:c r="D760" s="71" t="str">
        <x:v>pre</x:v>
      </x:c>
      <x:c r="E760" s="72" t="b">
        <x:v>0</x:v>
      </x:c>
      <x:c r="F760" t="str">
        <x:v>Central Michigan Chippewas</x:v>
      </x:c>
      <x:c r="G760" t="str">
        <x:v>CMU</x:v>
      </x:c>
      <x:c r="H760" s="69" t="n">
        <x:v>0</x:v>
      </x:c>
      <x:c r="I760" t="str">
        <x:v>2-1</x:v>
      </x:c>
      <x:c r="J760" t="str">
        <x:f>IF(E760&lt;&gt;TRUE,"",IF(H760&gt;M760,"W",IF(H760&lt;M760,"L","T")))</x:f>
      </x:c>
      <x:c r="K760" t="str">
        <x:v>Buffalo Bulls</x:v>
      </x:c>
      <x:c r="L760" t="str">
        <x:v>BUFF</x:v>
      </x:c>
      <x:c r="M760" s="69" t="n">
        <x:v>0</x:v>
      </x:c>
      <x:c r="N760" t="str">
        <x:v>1-2</x:v>
      </x:c>
      <x:c r="O760" t="str">
        <x:f>IF(E760&lt;&gt;TRUE,"",IF(M760&gt;H760,"W",IF(M760&lt;H760,"L","T")))</x:f>
      </x:c>
      <x:c r="P760" s="66" t="b">
        <x:v>0</x:v>
      </x:c>
      <x:c r="Q760" s="66" t="b">
        <x:v>1</x:v>
      </x:c>
      <x:c r="R760" t="str">
        <x:v>Broadview Stadium</x:v>
      </x:c>
      <x:c r="S760" t="str"/>
      <x:c r="T760"/>
      <x:c r="U760" s="70"/>
      <x:c r="V760" s="70"/>
      <x:c r="W760"/>
      <x:c r="X760" t="str">
        <x:v>https://www.espn.com/college-football/game/_/gameId/401866469</x:v>
      </x:c>
    </x:row>
    <x:row r="761">
      <x:c r="A761" t="str">
        <x:v>CFB</x:v>
      </x:c>
      <x:c r="B761" t="n">
        <x:v>12</x:v>
      </x:c>
      <x:c r="C761" s="68" t="n">
        <x:v>46346.020833333336</x:v>
      </x:c>
      <x:c r="D761" s="71" t="str">
        <x:v>pre</x:v>
      </x:c>
      <x:c r="E761" s="72" t="b">
        <x:v>0</x:v>
      </x:c>
      <x:c r="F761" t="str">
        <x:v>Rice Owls</x:v>
      </x:c>
      <x:c r="G761" t="str">
        <x:v>RICE</x:v>
      </x:c>
      <x:c r="H761" s="69" t="n">
        <x:v>0</x:v>
      </x:c>
      <x:c r="I761" t="str">
        <x:v>1-2</x:v>
      </x:c>
      <x:c r="J761" t="str">
        <x:f>IF(E761&lt;&gt;TRUE,"",IF(H761&gt;M761,"W",IF(H761&lt;M761,"L","T")))</x:f>
      </x:c>
      <x:c r="K761" t="str">
        <x:v>Temple Owls</x:v>
      </x:c>
      <x:c r="L761" t="str">
        <x:v>TEM</x:v>
      </x:c>
      <x:c r="M761" s="69" t="n">
        <x:v>0</x:v>
      </x:c>
      <x:c r="N761" t="str">
        <x:v>1-2</x:v>
      </x:c>
      <x:c r="O761" t="str">
        <x:f>IF(E761&lt;&gt;TRUE,"",IF(M761&gt;H761,"W",IF(M761&lt;H761,"L","T")))</x:f>
      </x:c>
      <x:c r="P761" s="66" t="b">
        <x:v>0</x:v>
      </x:c>
      <x:c r="Q761" s="66" t="b">
        <x:v>1</x:v>
      </x:c>
      <x:c r="R761" t="str">
        <x:v>Lincoln Financial Field</x:v>
      </x:c>
      <x:c r="S761" t="str">
        <x:v>ESPN</x:v>
      </x:c>
      <x:c r="T761"/>
      <x:c r="U761" s="70"/>
      <x:c r="V761" s="70"/>
      <x:c r="W761"/>
      <x:c r="X761" t="str">
        <x:v>https://www.espn.com/college-football/game/_/gameId/401862830</x:v>
      </x:c>
    </x:row>
    <x:row r="762">
      <x:c r="A762" t="str">
        <x:v>CFB</x:v>
      </x:c>
      <x:c r="B762" t="n">
        <x:v>12</x:v>
      </x:c>
      <x:c r="C762" s="68" t="n">
        <x:v>46346.958333333336</x:v>
      </x:c>
      <x:c r="D762" s="71" t="str">
        <x:v>pre</x:v>
      </x:c>
      <x:c r="E762" s="72" t="b">
        <x:v>0</x:v>
      </x:c>
      <x:c r="F762" t="str">
        <x:v>Iowa State Cyclones</x:v>
      </x:c>
      <x:c r="G762" t="str">
        <x:v>ISU</x:v>
      </x:c>
      <x:c r="H762" s="69" t="n">
        <x:v>0</x:v>
      </x:c>
      <x:c r="I762" t="str">
        <x:v>2-1</x:v>
      </x:c>
      <x:c r="J762" t="str">
        <x:f>IF(E762&lt;&gt;TRUE,"",IF(H762&gt;M762,"W",IF(H762&lt;M762,"L","T")))</x:f>
      </x:c>
      <x:c r="K762" t="str">
        <x:v>UCF Knights</x:v>
      </x:c>
      <x:c r="L762" t="str">
        <x:v>UCF</x:v>
      </x:c>
      <x:c r="M762" s="69" t="n">
        <x:v>0</x:v>
      </x:c>
      <x:c r="N762" t="str">
        <x:v>2-1</x:v>
      </x:c>
      <x:c r="O762" t="str">
        <x:f>IF(E762&lt;&gt;TRUE,"",IF(M762&gt;H762,"W",IF(M762&lt;H762,"L","T")))</x:f>
      </x:c>
      <x:c r="P762" s="66" t="b">
        <x:v>0</x:v>
      </x:c>
      <x:c r="Q762" s="66" t="b">
        <x:v>1</x:v>
      </x:c>
      <x:c r="R762" t="str">
        <x:v>Acrisure Bounce House</x:v>
      </x:c>
      <x:c r="S762" t="str">
        <x:v>FS1</x:v>
      </x:c>
      <x:c r="T762"/>
      <x:c r="U762" s="70"/>
      <x:c r="V762" s="70"/>
      <x:c r="W762"/>
      <x:c r="X762" t="str">
        <x:v>https://www.espn.com/college-football/game/_/gameId/401856869</x:v>
      </x:c>
    </x:row>
    <x:row r="763">
      <x:c r="A763" t="str">
        <x:v>CFB</x:v>
      </x:c>
      <x:c r="B763" t="n">
        <x:v>12</x:v>
      </x:c>
      <x:c r="C763" s="68" t="n">
        <x:v>46347.020833333336</x:v>
      </x:c>
      <x:c r="D763" s="71" t="str">
        <x:v>pre</x:v>
      </x:c>
      <x:c r="E763" s="72" t="b">
        <x:v>0</x:v>
      </x:c>
      <x:c r="F763" t="str">
        <x:v>Clemson Tigers</x:v>
      </x:c>
      <x:c r="G763" t="str">
        <x:v>CLEM</x:v>
      </x:c>
      <x:c r="H763" s="69" t="n">
        <x:v>0</x:v>
      </x:c>
      <x:c r="I763" t="str">
        <x:v>2-1</x:v>
      </x:c>
      <x:c r="J763" t="str">
        <x:f>IF(E763&lt;&gt;TRUE,"",IF(H763&gt;M763,"W",IF(H763&lt;M763,"L","T")))</x:f>
      </x:c>
      <x:c r="K763" t="str">
        <x:v>Duke Blue Devils</x:v>
      </x:c>
      <x:c r="L763" t="str">
        <x:v>DUKE</x:v>
      </x:c>
      <x:c r="M763" s="69" t="n">
        <x:v>0</x:v>
      </x:c>
      <x:c r="N763" t="str">
        <x:v>3-0</x:v>
      </x:c>
      <x:c r="O763" t="str">
        <x:f>IF(E763&lt;&gt;TRUE,"",IF(M763&gt;H763,"W",IF(M763&lt;H763,"L","T")))</x:f>
      </x:c>
      <x:c r="P763" s="66" t="b">
        <x:v>0</x:v>
      </x:c>
      <x:c r="Q763" s="66" t="b">
        <x:v>1</x:v>
      </x:c>
      <x:c r="R763" t="str">
        <x:v>Wallace Wade Stadium</x:v>
      </x:c>
      <x:c r="S763" t="str">
        <x:v>ESPN</x:v>
      </x:c>
      <x:c r="T763"/>
      <x:c r="U763" s="70"/>
      <x:c r="V763" s="70"/>
      <x:c r="W763"/>
      <x:c r="X763" t="str">
        <x:v>https://www.espn.com/college-football/game/_/gameId/401858303</x:v>
      </x:c>
    </x:row>
    <x:row r="764">
      <x:c r="A764" t="str">
        <x:v>CFB</x:v>
      </x:c>
      <x:c r="B764" t="n">
        <x:v>12</x:v>
      </x:c>
      <x:c r="C764" s="68" t="n">
        <x:v>46347.020833333336</x:v>
      </x:c>
      <x:c r="D764" s="71" t="str">
        <x:v>pre</x:v>
      </x:c>
      <x:c r="E764" s="72" t="b">
        <x:v>0</x:v>
      </x:c>
      <x:c r="F764" t="str">
        <x:v>Bowling Green Falcons</x:v>
      </x:c>
      <x:c r="G764" t="str">
        <x:v>BGSU</x:v>
      </x:c>
      <x:c r="H764" s="69" t="n">
        <x:v>0</x:v>
      </x:c>
      <x:c r="I764" t="str">
        <x:v>0-3</x:v>
      </x:c>
      <x:c r="J764" t="str">
        <x:f>IF(E764&lt;&gt;TRUE,"",IF(H764&gt;M764,"W",IF(H764&lt;M764,"L","T")))</x:f>
      </x:c>
      <x:c r="K764" t="str">
        <x:v>Toledo Rockets</x:v>
      </x:c>
      <x:c r="L764" t="str">
        <x:v>TOL</x:v>
      </x:c>
      <x:c r="M764" s="69" t="n">
        <x:v>0</x:v>
      </x:c>
      <x:c r="N764" t="str">
        <x:v>2-1</x:v>
      </x:c>
      <x:c r="O764" t="str">
        <x:f>IF(E764&lt;&gt;TRUE,"",IF(M764&gt;H764,"W",IF(M764&lt;H764,"L","T")))</x:f>
      </x:c>
      <x:c r="P764" s="66" t="b">
        <x:v>0</x:v>
      </x:c>
      <x:c r="Q764" s="66" t="b">
        <x:v>1</x:v>
      </x:c>
      <x:c r="R764" t="str">
        <x:v>Glass Bowl</x:v>
      </x:c>
      <x:c r="S764" t="str">
        <x:v>ESPN2</x:v>
      </x:c>
      <x:c r="T764"/>
      <x:c r="U764" s="70"/>
      <x:c r="V764" s="70"/>
      <x:c r="W764"/>
      <x:c r="X764" t="str">
        <x:v>https://www.espn.com/college-football/game/_/gameId/401866468</x:v>
      </x:c>
    </x:row>
    <x:row r="765">
      <x:c r="A765" t="str">
        <x:v>CFB</x:v>
      </x:c>
      <x:c r="B765" t="n">
        <x:v>12</x:v>
      </x:c>
      <x:c r="C765" s="68" t="n">
        <x:v>46347.041666666664</x:v>
      </x:c>
      <x:c r="D765" s="71" t="str">
        <x:v>pre</x:v>
      </x:c>
      <x:c r="E765" s="72" t="b">
        <x:v>0</x:v>
      </x:c>
      <x:c r="F765" t="str">
        <x:v>Oregon Ducks</x:v>
      </x:c>
      <x:c r="G765" t="str">
        <x:v>ORE</x:v>
      </x:c>
      <x:c r="H765" s="69" t="n">
        <x:v>0</x:v>
      </x:c>
      <x:c r="I765" t="str">
        <x:v>2-1</x:v>
      </x:c>
      <x:c r="J765" t="str">
        <x:f>IF(E765&lt;&gt;TRUE,"",IF(H765&gt;M765,"W",IF(H765&lt;M765,"L","T")))</x:f>
      </x:c>
      <x:c r="K765" t="str">
        <x:v>Michigan State Spartans</x:v>
      </x:c>
      <x:c r="L765" t="str">
        <x:v>MSU</x:v>
      </x:c>
      <x:c r="M765" s="69" t="n">
        <x:v>0</x:v>
      </x:c>
      <x:c r="N765" t="str">
        <x:v>2-1</x:v>
      </x:c>
      <x:c r="O765" t="str">
        <x:f>IF(E765&lt;&gt;TRUE,"",IF(M765&gt;H765,"W",IF(M765&lt;H765,"L","T")))</x:f>
      </x:c>
      <x:c r="P765" s="66" t="b">
        <x:v>0</x:v>
      </x:c>
      <x:c r="Q765" s="66" t="b">
        <x:v>1</x:v>
      </x:c>
      <x:c r="R765" t="str">
        <x:v>Spartan Stadium</x:v>
      </x:c>
      <x:c r="S765" t="str">
        <x:v>FOX</x:v>
      </x:c>
      <x:c r="T765"/>
      <x:c r="U765" s="70"/>
      <x:c r="V765" s="70"/>
      <x:c r="W765"/>
      <x:c r="X765" t="str">
        <x:v>https://www.espn.com/college-football/game/_/gameId/401858529</x:v>
      </x:c>
    </x:row>
    <x:row r="766">
      <x:c r="A766" t="str">
        <x:v>CFB</x:v>
      </x:c>
      <x:c r="B766" t="n">
        <x:v>12</x:v>
      </x:c>
      <x:c r="C766" s="68" t="n">
        <x:v>46347.041666666664</x:v>
      </x:c>
      <x:c r="D766" s="71" t="str">
        <x:v>pre</x:v>
      </x:c>
      <x:c r="E766" s="72" t="b">
        <x:v>0</x:v>
      </x:c>
      <x:c r="F766" t="str">
        <x:v>UTEP Miners</x:v>
      </x:c>
      <x:c r="G766" t="str">
        <x:v>UTEP</x:v>
      </x:c>
      <x:c r="H766" s="69" t="n">
        <x:v>0</x:v>
      </x:c>
      <x:c r="I766" t="str">
        <x:v>1-2</x:v>
      </x:c>
      <x:c r="J766" t="str">
        <x:f>IF(E766&lt;&gt;TRUE,"",IF(H766&gt;M766,"W",IF(H766&lt;M766,"L","T")))</x:f>
      </x:c>
      <x:c r="K766" t="str">
        <x:v>Air Force Falcons</x:v>
      </x:c>
      <x:c r="L766" t="str">
        <x:v>AFA</x:v>
      </x:c>
      <x:c r="M766" s="69" t="n">
        <x:v>0</x:v>
      </x:c>
      <x:c r="N766" t="str">
        <x:v>1-1</x:v>
      </x:c>
      <x:c r="O766" t="str">
        <x:f>IF(E766&lt;&gt;TRUE,"",IF(M766&gt;H766,"W",IF(M766&lt;H766,"L","T")))</x:f>
      </x:c>
      <x:c r="P766" s="66" t="b">
        <x:v>0</x:v>
      </x:c>
      <x:c r="Q766" s="66" t="b">
        <x:v>1</x:v>
      </x:c>
      <x:c r="R766" t="str">
        <x:v>Falcon Stadium</x:v>
      </x:c>
      <x:c r="S766" t="str">
        <x:v>CW</x:v>
      </x:c>
      <x:c r="T766"/>
      <x:c r="U766" s="70"/>
      <x:c r="V766" s="70"/>
      <x:c r="W766"/>
      <x:c r="X766" t="str">
        <x:v>https://www.espn.com/college-football/game/_/gameId/401864545</x:v>
      </x:c>
    </x:row>
    <x:row r="767">
      <x:c r="A767" t="str">
        <x:v>CFB</x:v>
      </x:c>
      <x:c r="B767" t="n">
        <x:v>12</x:v>
      </x:c>
      <x:c r="C767" s="68" t="n">
        <x:v>46347.208333333336</x:v>
      </x:c>
      <x:c r="D767" s="71" t="str">
        <x:v>pre</x:v>
      </x:c>
      <x:c r="E767" s="72" t="b">
        <x:v>0</x:v>
      </x:c>
      <x:c r="F767" t="str">
        <x:v>Vanderbilt Commodores</x:v>
      </x:c>
      <x:c r="G767" t="str">
        <x:v>VAN</x:v>
      </x:c>
      <x:c r="H767" s="69" t="n">
        <x:v>0</x:v>
      </x:c>
      <x:c r="I767" t="str">
        <x:v>3-0</x:v>
      </x:c>
      <x:c r="J767" t="str">
        <x:f>IF(E767&lt;&gt;TRUE,"",IF(H767&gt;M767,"W",IF(H767&lt;M767,"L","T")))</x:f>
      </x:c>
      <x:c r="K767" t="str">
        <x:v>Florida Gators</x:v>
      </x:c>
      <x:c r="L767" t="str">
        <x:v>FLA</x:v>
      </x:c>
      <x:c r="M767" s="69" t="n">
        <x:v>0</x:v>
      </x:c>
      <x:c r="N767" t="str">
        <x:v>3-0</x:v>
      </x:c>
      <x:c r="O767" t="str">
        <x:f>IF(E767&lt;&gt;TRUE,"",IF(M767&gt;H767,"W",IF(M767&lt;H767,"L","T")))</x:f>
      </x:c>
      <x:c r="P767" s="66" t="b">
        <x:v>0</x:v>
      </x:c>
      <x:c r="Q767" s="66" t="b">
        <x:v>1</x:v>
      </x:c>
      <x:c r="R767" t="str">
        <x:v>Ben Hill Griffin Stadium</x:v>
      </x:c>
      <x:c r="S767" t="str"/>
      <x:c r="T767"/>
      <x:c r="U767" s="70"/>
      <x:c r="V767" s="70"/>
      <x:c r="W767"/>
      <x:c r="X767" t="str">
        <x:v>https://www.espn.com/college-football/game/_/gameId/401856748</x:v>
      </x:c>
    </x:row>
    <x:row r="768">
      <x:c r="A768" t="str">
        <x:v>CFB</x:v>
      </x:c>
      <x:c r="B768" t="n">
        <x:v>12</x:v>
      </x:c>
      <x:c r="C768" s="68" t="n">
        <x:v>46347.208333333336</x:v>
      </x:c>
      <x:c r="D768" s="71" t="str">
        <x:v>pre</x:v>
      </x:c>
      <x:c r="E768" s="72" t="b">
        <x:v>0</x:v>
      </x:c>
      <x:c r="F768" t="str">
        <x:v>Kentucky Wildcats</x:v>
      </x:c>
      <x:c r="G768" t="str">
        <x:v>UK</x:v>
      </x:c>
      <x:c r="H768" s="69" t="n">
        <x:v>0</x:v>
      </x:c>
      <x:c r="I768" t="str">
        <x:v>2-1</x:v>
      </x:c>
      <x:c r="J768" t="str">
        <x:f>IF(E768&lt;&gt;TRUE,"",IF(H768&gt;M768,"W",IF(H768&lt;M768,"L","T")))</x:f>
      </x:c>
      <x:c r="K768" t="str">
        <x:v>Missouri Tigers</x:v>
      </x:c>
      <x:c r="L768" t="str">
        <x:v>MIZ</x:v>
      </x:c>
      <x:c r="M768" s="69" t="n">
        <x:v>0</x:v>
      </x:c>
      <x:c r="N768" t="str">
        <x:v>3-0</x:v>
      </x:c>
      <x:c r="O768" t="str">
        <x:f>IF(E768&lt;&gt;TRUE,"",IF(M768&gt;H768,"W",IF(M768&lt;H768,"L","T")))</x:f>
      </x:c>
      <x:c r="P768" s="66" t="b">
        <x:v>0</x:v>
      </x:c>
      <x:c r="Q768" s="66" t="b">
        <x:v>1</x:v>
      </x:c>
      <x:c r="R768" t="str">
        <x:v>Memorial Stadium</x:v>
      </x:c>
      <x:c r="S768" t="str"/>
      <x:c r="T768"/>
      <x:c r="U768" s="70"/>
      <x:c r="V768" s="70"/>
      <x:c r="W768"/>
      <x:c r="X768" t="str">
        <x:v>https://www.espn.com/college-football/game/_/gameId/401856751</x:v>
      </x:c>
    </x:row>
    <x:row r="769">
      <x:c r="A769" t="str">
        <x:v>CFB</x:v>
      </x:c>
      <x:c r="B769" t="n">
        <x:v>12</x:v>
      </x:c>
      <x:c r="C769" s="68" t="n">
        <x:v>46347.208333333336</x:v>
      </x:c>
      <x:c r="D769" s="71" t="str">
        <x:v>pre</x:v>
      </x:c>
      <x:c r="E769" s="72" t="b">
        <x:v>0</x:v>
      </x:c>
      <x:c r="F769" t="str">
        <x:v>Texas A&amp;M Aggies</x:v>
      </x:c>
      <x:c r="G769" t="str">
        <x:v>TA&amp;M</x:v>
      </x:c>
      <x:c r="H769" s="69" t="n">
        <x:v>0</x:v>
      </x:c>
      <x:c r="I769" t="str">
        <x:v>2-1</x:v>
      </x:c>
      <x:c r="J769" t="str">
        <x:f>IF(E769&lt;&gt;TRUE,"",IF(H769&gt;M769,"W",IF(H769&lt;M769,"L","T")))</x:f>
      </x:c>
      <x:c r="K769" t="str">
        <x:v>Oklahoma Sooners</x:v>
      </x:c>
      <x:c r="L769" t="str">
        <x:v>OU</x:v>
      </x:c>
      <x:c r="M769" s="69" t="n">
        <x:v>0</x:v>
      </x:c>
      <x:c r="N769" t="str">
        <x:v>2-1</x:v>
      </x:c>
      <x:c r="O769" t="str">
        <x:f>IF(E769&lt;&gt;TRUE,"",IF(M769&gt;H769,"W",IF(M769&lt;H769,"L","T")))</x:f>
      </x:c>
      <x:c r="P769" s="66" t="b">
        <x:v>0</x:v>
      </x:c>
      <x:c r="Q769" s="66" t="b">
        <x:v>1</x:v>
      </x:c>
      <x:c r="R769" t="str">
        <x:v>Memorial Stadium (Norman, OK)</x:v>
      </x:c>
      <x:c r="S769" t="str"/>
      <x:c r="T769" t="str">
        <x:v>OU -2.5</x:v>
      </x:c>
      <x:c r="U769" s="70" t="n">
        <x:v>-2.5</x:v>
      </x:c>
      <x:c r="V769" s="70" t="n">
        <x:v>51.5</x:v>
      </x:c>
      <x:c r="W769" t="str">
        <x:v>DraftKings</x:v>
      </x:c>
      <x:c r="X769" t="str">
        <x:v>https://www.espn.com/college-football/game/_/gameId/401856752</x:v>
      </x:c>
    </x:row>
    <x:row r="770">
      <x:c r="A770" t="str">
        <x:v>CFB</x:v>
      </x:c>
      <x:c r="B770" t="n">
        <x:v>12</x:v>
      </x:c>
      <x:c r="C770" s="68" t="n">
        <x:v>46347.208333333336</x:v>
      </x:c>
      <x:c r="D770" s="71" t="str">
        <x:v>pre</x:v>
      </x:c>
      <x:c r="E770" s="72" t="b">
        <x:v>0</x:v>
      </x:c>
      <x:c r="F770" t="str">
        <x:v>Georgia Bulldogs</x:v>
      </x:c>
      <x:c r="G770" t="str">
        <x:v>UGA</x:v>
      </x:c>
      <x:c r="H770" s="69" t="n">
        <x:v>0</x:v>
      </x:c>
      <x:c r="I770" t="str">
        <x:v>3-0</x:v>
      </x:c>
      <x:c r="J770" t="str">
        <x:f>IF(E770&lt;&gt;TRUE,"",IF(H770&gt;M770,"W",IF(H770&lt;M770,"L","T")))</x:f>
      </x:c>
      <x:c r="K770" t="str">
        <x:v>South Carolina Gamecocks</x:v>
      </x:c>
      <x:c r="L770" t="str">
        <x:v>SC</x:v>
      </x:c>
      <x:c r="M770" s="69" t="n">
        <x:v>0</x:v>
      </x:c>
      <x:c r="N770" t="str">
        <x:v>2-1</x:v>
      </x:c>
      <x:c r="O770" t="str">
        <x:f>IF(E770&lt;&gt;TRUE,"",IF(M770&gt;H770,"W",IF(M770&lt;H770,"L","T")))</x:f>
      </x:c>
      <x:c r="P770" s="66" t="b">
        <x:v>0</x:v>
      </x:c>
      <x:c r="Q770" s="66" t="b">
        <x:v>1</x:v>
      </x:c>
      <x:c r="R770" t="str">
        <x:v>Williams-Brice Stadium</x:v>
      </x:c>
      <x:c r="S770" t="str"/>
      <x:c r="T770"/>
      <x:c r="U770" s="70"/>
      <x:c r="V770" s="70"/>
      <x:c r="W770"/>
      <x:c r="X770" t="str">
        <x:v>https://www.espn.com/college-football/game/_/gameId/401856753</x:v>
      </x:c>
    </x:row>
    <x:row r="771">
      <x:c r="A771" t="str">
        <x:v>CFB</x:v>
      </x:c>
      <x:c r="B771" t="n">
        <x:v>12</x:v>
      </x:c>
      <x:c r="C771" s="68" t="n">
        <x:v>46347.208333333336</x:v>
      </x:c>
      <x:c r="D771" s="71" t="str">
        <x:v>pre</x:v>
      </x:c>
      <x:c r="E771" s="72" t="b">
        <x:v>0</x:v>
      </x:c>
      <x:c r="F771" t="str">
        <x:v>LSU Tigers</x:v>
      </x:c>
      <x:c r="G771" t="str">
        <x:v>LSU</x:v>
      </x:c>
      <x:c r="H771" s="69" t="n">
        <x:v>0</x:v>
      </x:c>
      <x:c r="I771" t="str">
        <x:v>2-1</x:v>
      </x:c>
      <x:c r="J771" t="str">
        <x:f>IF(E771&lt;&gt;TRUE,"",IF(H771&gt;M771,"W",IF(H771&lt;M771,"L","T")))</x:f>
      </x:c>
      <x:c r="K771" t="str">
        <x:v>Tennessee Volunteers</x:v>
      </x:c>
      <x:c r="L771" t="str">
        <x:v>TENN</x:v>
      </x:c>
      <x:c r="M771" s="69" t="n">
        <x:v>0</x:v>
      </x:c>
      <x:c r="N771" t="str">
        <x:v>3-0</x:v>
      </x:c>
      <x:c r="O771" t="str">
        <x:f>IF(E771&lt;&gt;TRUE,"",IF(M771&gt;H771,"W",IF(M771&lt;H771,"L","T")))</x:f>
      </x:c>
      <x:c r="P771" s="66" t="b">
        <x:v>0</x:v>
      </x:c>
      <x:c r="Q771" s="66" t="b">
        <x:v>1</x:v>
      </x:c>
      <x:c r="R771" t="str">
        <x:v>Neyland Stadium</x:v>
      </x:c>
      <x:c r="S771" t="str"/>
      <x:c r="T771" t="str">
        <x:v>LSU -1.5</x:v>
      </x:c>
      <x:c r="U771" s="70" t="n">
        <x:v>1.5</x:v>
      </x:c>
      <x:c r="V771" s="70" t="n">
        <x:v>57.5</x:v>
      </x:c>
      <x:c r="W771" t="str">
        <x:v>DraftKings</x:v>
      </x:c>
      <x:c r="X771" t="str">
        <x:v>https://www.espn.com/college-football/game/_/gameId/401856754</x:v>
      </x:c>
    </x:row>
    <x:row r="772">
      <x:c r="A772" t="str">
        <x:v>CFB</x:v>
      </x:c>
      <x:c r="B772" t="n">
        <x:v>12</x:v>
      </x:c>
      <x:c r="C772" s="68" t="n">
        <x:v>46347.208333333336</x:v>
      </x:c>
      <x:c r="D772" s="71" t="str">
        <x:v>pre</x:v>
      </x:c>
      <x:c r="E772" s="72" t="b">
        <x:v>0</x:v>
      </x:c>
      <x:c r="F772" t="str">
        <x:v>Arkansas Razorbacks</x:v>
      </x:c>
      <x:c r="G772" t="str">
        <x:v>ARK</x:v>
      </x:c>
      <x:c r="H772" s="69" t="n">
        <x:v>0</x:v>
      </x:c>
      <x:c r="I772" t="str">
        <x:v>1-2</x:v>
      </x:c>
      <x:c r="J772" t="str">
        <x:f>IF(E772&lt;&gt;TRUE,"",IF(H772&gt;M772,"W",IF(H772&lt;M772,"L","T")))</x:f>
      </x:c>
      <x:c r="K772" t="str">
        <x:v>Texas Longhorns</x:v>
      </x:c>
      <x:c r="L772" t="str">
        <x:v>TEX</x:v>
      </x:c>
      <x:c r="M772" s="69" t="n">
        <x:v>0</x:v>
      </x:c>
      <x:c r="N772" t="str">
        <x:v>3-0</x:v>
      </x:c>
      <x:c r="O772" t="str">
        <x:f>IF(E772&lt;&gt;TRUE,"",IF(M772&gt;H772,"W",IF(M772&lt;H772,"L","T")))</x:f>
      </x:c>
      <x:c r="P772" s="66" t="b">
        <x:v>0</x:v>
      </x:c>
      <x:c r="Q772" s="66" t="b">
        <x:v>1</x:v>
      </x:c>
      <x:c r="R772" t="str">
        <x:v>DKR-Texas Memorial Stadium</x:v>
      </x:c>
      <x:c r="S772" t="str"/>
      <x:c r="T772"/>
      <x:c r="U772" s="70"/>
      <x:c r="V772" s="70"/>
      <x:c r="W772"/>
      <x:c r="X772" t="str">
        <x:v>https://www.espn.com/college-football/game/_/gameId/401856755</x:v>
      </x:c>
    </x:row>
    <x:row r="773">
      <x:c r="A773" t="str">
        <x:v>CFB</x:v>
      </x:c>
      <x:c r="B773" t="n">
        <x:v>12</x:v>
      </x:c>
      <x:c r="C773" s="68" t="n">
        <x:v>46347.208333333336</x:v>
      </x:c>
      <x:c r="D773" s="71" t="str">
        <x:v>pre</x:v>
      </x:c>
      <x:c r="E773" s="72" t="b">
        <x:v>0</x:v>
      </x:c>
      <x:c r="F773" t="str">
        <x:v>Arizona Wildcats</x:v>
      </x:c>
      <x:c r="G773" t="str">
        <x:v>ARIZ</x:v>
      </x:c>
      <x:c r="H773" s="69" t="n">
        <x:v>0</x:v>
      </x:c>
      <x:c r="I773" t="str">
        <x:v>2-1</x:v>
      </x:c>
      <x:c r="J773" t="str">
        <x:f>IF(E773&lt;&gt;TRUE,"",IF(H773&gt;M773,"W",IF(H773&lt;M773,"L","T")))</x:f>
      </x:c>
      <x:c r="K773" t="str">
        <x:v>Kansas State Wildcats</x:v>
      </x:c>
      <x:c r="L773" t="str">
        <x:v>KSU</x:v>
      </x:c>
      <x:c r="M773" s="69" t="n">
        <x:v>0</x:v>
      </x:c>
      <x:c r="N773" t="str">
        <x:v>3-0</x:v>
      </x:c>
      <x:c r="O773" t="str">
        <x:f>IF(E773&lt;&gt;TRUE,"",IF(M773&gt;H773,"W",IF(M773&lt;H773,"L","T")))</x:f>
      </x:c>
      <x:c r="P773" s="66" t="b">
        <x:v>0</x:v>
      </x:c>
      <x:c r="Q773" s="66" t="b">
        <x:v>1</x:v>
      </x:c>
      <x:c r="R773" t="str">
        <x:v>Bill Snyder Family Stadium</x:v>
      </x:c>
      <x:c r="S773" t="str"/>
      <x:c r="T773"/>
      <x:c r="U773" s="70"/>
      <x:c r="V773" s="70"/>
      <x:c r="W773"/>
      <x:c r="X773" t="str">
        <x:v>https://www.espn.com/college-football/game/_/gameId/401856865</x:v>
      </x:c>
    </x:row>
    <x:row r="774">
      <x:c r="A774" t="str">
        <x:v>CFB</x:v>
      </x:c>
      <x:c r="B774" t="n">
        <x:v>12</x:v>
      </x:c>
      <x:c r="C774" s="68" t="n">
        <x:v>46347.208333333336</x:v>
      </x:c>
      <x:c r="D774" s="71" t="str">
        <x:v>pre</x:v>
      </x:c>
      <x:c r="E774" s="72" t="b">
        <x:v>0</x:v>
      </x:c>
      <x:c r="F774" t="str">
        <x:v>BYU Cougars</x:v>
      </x:c>
      <x:c r="G774" t="str">
        <x:v>BYU</x:v>
      </x:c>
      <x:c r="H774" s="69" t="n">
        <x:v>0</x:v>
      </x:c>
      <x:c r="I774" t="str">
        <x:v>3-0</x:v>
      </x:c>
      <x:c r="J774" t="str">
        <x:f>IF(E774&lt;&gt;TRUE,"",IF(H774&gt;M774,"W",IF(H774&lt;M774,"L","T")))</x:f>
      </x:c>
      <x:c r="K774" t="str">
        <x:v>Kansas Jayhawks</x:v>
      </x:c>
      <x:c r="L774" t="str">
        <x:v>KU</x:v>
      </x:c>
      <x:c r="M774" s="69" t="n">
        <x:v>0</x:v>
      </x:c>
      <x:c r="N774" t="str">
        <x:v>1-2</x:v>
      </x:c>
      <x:c r="O774" t="str">
        <x:f>IF(E774&lt;&gt;TRUE,"",IF(M774&gt;H774,"W",IF(M774&lt;H774,"L","T")))</x:f>
      </x:c>
      <x:c r="P774" s="66" t="b">
        <x:v>0</x:v>
      </x:c>
      <x:c r="Q774" s="66" t="b">
        <x:v>1</x:v>
      </x:c>
      <x:c r="R774" t="str">
        <x:v>David Booth Kansas Memorial Stadium</x:v>
      </x:c>
      <x:c r="S774" t="str"/>
      <x:c r="T774"/>
      <x:c r="U774" s="70"/>
      <x:c r="V774" s="70"/>
      <x:c r="W774"/>
      <x:c r="X774" t="str">
        <x:v>https://www.espn.com/college-football/game/_/gameId/401856866</x:v>
      </x:c>
    </x:row>
    <x:row r="775">
      <x:c r="A775" t="str">
        <x:v>CFB</x:v>
      </x:c>
      <x:c r="B775" t="n">
        <x:v>12</x:v>
      </x:c>
      <x:c r="C775" s="68" t="n">
        <x:v>46347.208333333336</x:v>
      </x:c>
      <x:c r="D775" s="71" t="str">
        <x:v>pre</x:v>
      </x:c>
      <x:c r="E775" s="72" t="b">
        <x:v>0</x:v>
      </x:c>
      <x:c r="F775" t="str">
        <x:v>Colorado Buffaloes</x:v>
      </x:c>
      <x:c r="G775" t="str">
        <x:v>COLO</x:v>
      </x:c>
      <x:c r="H775" s="69" t="n">
        <x:v>0</x:v>
      </x:c>
      <x:c r="I775" t="str">
        <x:v>2-1</x:v>
      </x:c>
      <x:c r="J775" t="str">
        <x:f>IF(E775&lt;&gt;TRUE,"",IF(H775&gt;M775,"W",IF(H775&lt;M775,"L","T")))</x:f>
      </x:c>
      <x:c r="K775" t="str">
        <x:v>Cincinnati Bearcats</x:v>
      </x:c>
      <x:c r="L775" t="str">
        <x:v>CIN</x:v>
      </x:c>
      <x:c r="M775" s="69" t="n">
        <x:v>0</x:v>
      </x:c>
      <x:c r="N775" t="str">
        <x:v>3-0</x:v>
      </x:c>
      <x:c r="O775" t="str">
        <x:f>IF(E775&lt;&gt;TRUE,"",IF(M775&gt;H775,"W",IF(M775&lt;H775,"L","T")))</x:f>
      </x:c>
      <x:c r="P775" s="66" t="b">
        <x:v>0</x:v>
      </x:c>
      <x:c r="Q775" s="66" t="b">
        <x:v>1</x:v>
      </x:c>
      <x:c r="R775" t="str">
        <x:v>Nippert Stadium</x:v>
      </x:c>
      <x:c r="S775" t="str"/>
      <x:c r="T775"/>
      <x:c r="U775" s="70"/>
      <x:c r="V775" s="70"/>
      <x:c r="W775"/>
      <x:c r="X775" t="str">
        <x:v>https://www.espn.com/college-football/game/_/gameId/401856867</x:v>
      </x:c>
    </x:row>
    <x:row r="776">
      <x:c r="A776" t="str">
        <x:v>CFB</x:v>
      </x:c>
      <x:c r="B776" t="n">
        <x:v>12</x:v>
      </x:c>
      <x:c r="C776" s="68" t="n">
        <x:v>46347.208333333336</x:v>
      </x:c>
      <x:c r="D776" s="71" t="str">
        <x:v>pre</x:v>
      </x:c>
      <x:c r="E776" s="72" t="b">
        <x:v>0</x:v>
      </x:c>
      <x:c r="F776" t="str">
        <x:v>Houston Cougars</x:v>
      </x:c>
      <x:c r="G776" t="str">
        <x:v>HOU</x:v>
      </x:c>
      <x:c r="H776" s="69" t="n">
        <x:v>0</x:v>
      </x:c>
      <x:c r="I776" t="str">
        <x:v>2-1</x:v>
      </x:c>
      <x:c r="J776" t="str">
        <x:f>IF(E776&lt;&gt;TRUE,"",IF(H776&gt;M776,"W",IF(H776&lt;M776,"L","T")))</x:f>
      </x:c>
      <x:c r="K776" t="str">
        <x:v>West Virginia Mountaineers</x:v>
      </x:c>
      <x:c r="L776" t="str">
        <x:v>WVU</x:v>
      </x:c>
      <x:c r="M776" s="69" t="n">
        <x:v>0</x:v>
      </x:c>
      <x:c r="N776" t="str">
        <x:v>3-0</x:v>
      </x:c>
      <x:c r="O776" t="str">
        <x:f>IF(E776&lt;&gt;TRUE,"",IF(M776&gt;H776,"W",IF(M776&lt;H776,"L","T")))</x:f>
      </x:c>
      <x:c r="P776" s="66" t="b">
        <x:v>0</x:v>
      </x:c>
      <x:c r="Q776" s="66" t="b">
        <x:v>1</x:v>
      </x:c>
      <x:c r="R776" t="str">
        <x:v>Milan Puskar Stadium</x:v>
      </x:c>
      <x:c r="S776" t="str"/>
      <x:c r="T776"/>
      <x:c r="U776" s="70"/>
      <x:c r="V776" s="70"/>
      <x:c r="W776"/>
      <x:c r="X776" t="str">
        <x:v>https://www.espn.com/college-football/game/_/gameId/401856868</x:v>
      </x:c>
    </x:row>
    <x:row r="777">
      <x:c r="A777" t="str">
        <x:v>CFB</x:v>
      </x:c>
      <x:c r="B777" t="n">
        <x:v>12</x:v>
      </x:c>
      <x:c r="C777" s="68" t="n">
        <x:v>46347.208333333336</x:v>
      </x:c>
      <x:c r="D777" s="71" t="str">
        <x:v>pre</x:v>
      </x:c>
      <x:c r="E777" s="72" t="b">
        <x:v>0</x:v>
      </x:c>
      <x:c r="F777" t="str">
        <x:v>Oklahoma State Cowboys</x:v>
      </x:c>
      <x:c r="G777" t="str">
        <x:v>OKST</x:v>
      </x:c>
      <x:c r="H777" s="69" t="n">
        <x:v>0</x:v>
      </x:c>
      <x:c r="I777" t="str">
        <x:v>2-1</x:v>
      </x:c>
      <x:c r="J777" t="str">
        <x:f>IF(E777&lt;&gt;TRUE,"",IF(H777&gt;M777,"W",IF(H777&lt;M777,"L","T")))</x:f>
      </x:c>
      <x:c r="K777" t="str">
        <x:v>Arizona State Sun Devils</x:v>
      </x:c>
      <x:c r="L777" t="str">
        <x:v>ASU</x:v>
      </x:c>
      <x:c r="M777" s="69" t="n">
        <x:v>0</x:v>
      </x:c>
      <x:c r="N777" t="str">
        <x:v>2-1</x:v>
      </x:c>
      <x:c r="O777" t="str">
        <x:f>IF(E777&lt;&gt;TRUE,"",IF(M777&gt;H777,"W",IF(M777&lt;H777,"L","T")))</x:f>
      </x:c>
      <x:c r="P777" s="66" t="b">
        <x:v>0</x:v>
      </x:c>
      <x:c r="Q777" s="66" t="b">
        <x:v>1</x:v>
      </x:c>
      <x:c r="R777" t="str">
        <x:v>Mountain America Stadium</x:v>
      </x:c>
      <x:c r="S777" t="str"/>
      <x:c r="T777"/>
      <x:c r="U777" s="70"/>
      <x:c r="V777" s="70"/>
      <x:c r="W777"/>
      <x:c r="X777" t="str">
        <x:v>https://www.espn.com/college-football/game/_/gameId/401856870</x:v>
      </x:c>
    </x:row>
    <x:row r="778">
      <x:c r="A778" t="str">
        <x:v>CFB</x:v>
      </x:c>
      <x:c r="B778" t="n">
        <x:v>12</x:v>
      </x:c>
      <x:c r="C778" s="68" t="n">
        <x:v>46347.208333333336</x:v>
      </x:c>
      <x:c r="D778" s="71" t="str">
        <x:v>pre</x:v>
      </x:c>
      <x:c r="E778" s="72" t="b">
        <x:v>0</x:v>
      </x:c>
      <x:c r="F778" t="str">
        <x:v>Texas Tech Red Raiders</x:v>
      </x:c>
      <x:c r="G778" t="str">
        <x:v>TTU</x:v>
      </x:c>
      <x:c r="H778" s="69" t="n">
        <x:v>0</x:v>
      </x:c>
      <x:c r="I778" t="str">
        <x:v>3-0</x:v>
      </x:c>
      <x:c r="J778" t="str">
        <x:f>IF(E778&lt;&gt;TRUE,"",IF(H778&gt;M778,"W",IF(H778&lt;M778,"L","T")))</x:f>
      </x:c>
      <x:c r="K778" t="str">
        <x:v>Baylor Bears</x:v>
      </x:c>
      <x:c r="L778" t="str">
        <x:v>BAY</x:v>
      </x:c>
      <x:c r="M778" s="69" t="n">
        <x:v>0</x:v>
      </x:c>
      <x:c r="N778" t="str">
        <x:v>2-1</x:v>
      </x:c>
      <x:c r="O778" t="str">
        <x:f>IF(E778&lt;&gt;TRUE,"",IF(M778&gt;H778,"W",IF(M778&lt;H778,"L","T")))</x:f>
      </x:c>
      <x:c r="P778" s="66" t="b">
        <x:v>0</x:v>
      </x:c>
      <x:c r="Q778" s="66" t="b">
        <x:v>1</x:v>
      </x:c>
      <x:c r="R778" t="str">
        <x:v>McLane Stadium</x:v>
      </x:c>
      <x:c r="S778" t="str"/>
      <x:c r="T778"/>
      <x:c r="U778" s="70"/>
      <x:c r="V778" s="70"/>
      <x:c r="W778"/>
      <x:c r="X778" t="str">
        <x:v>https://www.espn.com/college-football/game/_/gameId/401856871</x:v>
      </x:c>
    </x:row>
    <x:row r="779">
      <x:c r="A779" t="str">
        <x:v>CFB</x:v>
      </x:c>
      <x:c r="B779" t="n">
        <x:v>12</x:v>
      </x:c>
      <x:c r="C779" s="68" t="n">
        <x:v>46347.208333333336</x:v>
      </x:c>
      <x:c r="D779" s="71" t="str">
        <x:v>pre</x:v>
      </x:c>
      <x:c r="E779" s="72" t="b">
        <x:v>0</x:v>
      </x:c>
      <x:c r="F779" t="str">
        <x:v>Utah Utes</x:v>
      </x:c>
      <x:c r="G779" t="str">
        <x:v>UTAH</x:v>
      </x:c>
      <x:c r="H779" s="69" t="n">
        <x:v>0</x:v>
      </x:c>
      <x:c r="I779" t="str">
        <x:v>3-0</x:v>
      </x:c>
      <x:c r="J779" t="str">
        <x:f>IF(E779&lt;&gt;TRUE,"",IF(H779&gt;M779,"W",IF(H779&lt;M779,"L","T")))</x:f>
      </x:c>
      <x:c r="K779" t="str">
        <x:v>TCU Horned Frogs</x:v>
      </x:c>
      <x:c r="L779" t="str">
        <x:v>TCU</x:v>
      </x:c>
      <x:c r="M779" s="69" t="n">
        <x:v>0</x:v>
      </x:c>
      <x:c r="N779" t="str">
        <x:v>2-1</x:v>
      </x:c>
      <x:c r="O779" t="str">
        <x:f>IF(E779&lt;&gt;TRUE,"",IF(M779&gt;H779,"W",IF(M779&lt;H779,"L","T")))</x:f>
      </x:c>
      <x:c r="P779" s="66" t="b">
        <x:v>0</x:v>
      </x:c>
      <x:c r="Q779" s="66" t="b">
        <x:v>1</x:v>
      </x:c>
      <x:c r="R779" t="str">
        <x:v>Amon G. Carter Stadium</x:v>
      </x:c>
      <x:c r="S779" t="str"/>
      <x:c r="T779"/>
      <x:c r="U779" s="70"/>
      <x:c r="V779" s="70"/>
      <x:c r="W779"/>
      <x:c r="X779" t="str">
        <x:v>https://www.espn.com/college-football/game/_/gameId/401856872</x:v>
      </x:c>
    </x:row>
    <x:row r="780">
      <x:c r="A780" t="str">
        <x:v>CFB</x:v>
      </x:c>
      <x:c r="B780" t="n">
        <x:v>12</x:v>
      </x:c>
      <x:c r="C780" s="68" t="n">
        <x:v>46347.208333333336</x:v>
      </x:c>
      <x:c r="D780" s="71" t="str">
        <x:v>pre</x:v>
      </x:c>
      <x:c r="E780" s="72" t="b">
        <x:v>0</x:v>
      </x:c>
      <x:c r="F780" t="str">
        <x:v>Virginia Tech Hokies</x:v>
      </x:c>
      <x:c r="G780" t="str">
        <x:v>VT</x:v>
      </x:c>
      <x:c r="H780" s="69" t="n">
        <x:v>0</x:v>
      </x:c>
      <x:c r="I780" t="str">
        <x:v>3-0</x:v>
      </x:c>
      <x:c r="J780" t="str">
        <x:f>IF(E780&lt;&gt;TRUE,"",IF(H780&gt;M780,"W",IF(H780&lt;M780,"L","T")))</x:f>
      </x:c>
      <x:c r="K780" t="str">
        <x:v>Miami Hurricanes</x:v>
      </x:c>
      <x:c r="L780" t="str">
        <x:v>MIA</x:v>
      </x:c>
      <x:c r="M780" s="69" t="n">
        <x:v>0</x:v>
      </x:c>
      <x:c r="N780" t="str">
        <x:v>3-0</x:v>
      </x:c>
      <x:c r="O780" t="str">
        <x:f>IF(E780&lt;&gt;TRUE,"",IF(M780&gt;H780,"W",IF(M780&lt;H780,"L","T")))</x:f>
      </x:c>
      <x:c r="P780" s="66" t="b">
        <x:v>0</x:v>
      </x:c>
      <x:c r="Q780" s="66" t="b">
        <x:v>1</x:v>
      </x:c>
      <x:c r="R780" t="str">
        <x:v>Hard Rock Stadium</x:v>
      </x:c>
      <x:c r="S780" t="str"/>
      <x:c r="T780" t="str">
        <x:v>MIA -16.5</x:v>
      </x:c>
      <x:c r="U780" s="70" t="n">
        <x:v>-16.5</x:v>
      </x:c>
      <x:c r="V780" s="70" t="n">
        <x:v>56.5</x:v>
      </x:c>
      <x:c r="W780" t="str">
        <x:v>DraftKings</x:v>
      </x:c>
      <x:c r="X780" t="str">
        <x:v>https://www.espn.com/college-football/game/_/gameId/401858302</x:v>
      </x:c>
    </x:row>
    <x:row r="781">
      <x:c r="A781" t="str">
        <x:v>CFB</x:v>
      </x:c>
      <x:c r="B781" t="n">
        <x:v>12</x:v>
      </x:c>
      <x:c r="C781" s="68" t="n">
        <x:v>46347.208333333336</x:v>
      </x:c>
      <x:c r="D781" s="71" t="str">
        <x:v>pre</x:v>
      </x:c>
      <x:c r="E781" s="72" t="b">
        <x:v>0</x:v>
      </x:c>
      <x:c r="F781" t="str">
        <x:v>NC State Wolfpack</x:v>
      </x:c>
      <x:c r="G781" t="str">
        <x:v>NCSU</x:v>
      </x:c>
      <x:c r="H781" s="69" t="n">
        <x:v>0</x:v>
      </x:c>
      <x:c r="I781" t="str">
        <x:v>1-2</x:v>
      </x:c>
      <x:c r="J781" t="str">
        <x:f>IF(E781&lt;&gt;TRUE,"",IF(H781&gt;M781,"W",IF(H781&lt;M781,"L","T")))</x:f>
      </x:c>
      <x:c r="K781" t="str">
        <x:v>Florida State Seminoles</x:v>
      </x:c>
      <x:c r="L781" t="str">
        <x:v>FSU</x:v>
      </x:c>
      <x:c r="M781" s="69" t="n">
        <x:v>0</x:v>
      </x:c>
      <x:c r="N781" t="str">
        <x:v>1-2</x:v>
      </x:c>
      <x:c r="O781" t="str">
        <x:f>IF(E781&lt;&gt;TRUE,"",IF(M781&gt;H781,"W",IF(M781&lt;H781,"L","T")))</x:f>
      </x:c>
      <x:c r="P781" s="66" t="b">
        <x:v>0</x:v>
      </x:c>
      <x:c r="Q781" s="66" t="b">
        <x:v>1</x:v>
      </x:c>
      <x:c r="R781" t="str">
        <x:v>Doak Campbell Stadium</x:v>
      </x:c>
      <x:c r="S781" t="str"/>
      <x:c r="T781"/>
      <x:c r="U781" s="70"/>
      <x:c r="V781" s="70"/>
      <x:c r="W781"/>
      <x:c r="X781" t="str">
        <x:v>https://www.espn.com/college-football/game/_/gameId/401858304</x:v>
      </x:c>
    </x:row>
    <x:row r="782">
      <x:c r="A782" t="str">
        <x:v>CFB</x:v>
      </x:c>
      <x:c r="B782" t="n">
        <x:v>12</x:v>
      </x:c>
      <x:c r="C782" s="68" t="n">
        <x:v>46347.208333333336</x:v>
      </x:c>
      <x:c r="D782" s="71" t="str">
        <x:v>pre</x:v>
      </x:c>
      <x:c r="E782" s="72" t="b">
        <x:v>0</x:v>
      </x:c>
      <x:c r="F782" t="str">
        <x:v>North Carolina Tar Heels</x:v>
      </x:c>
      <x:c r="G782" t="str">
        <x:v>UNC</x:v>
      </x:c>
      <x:c r="H782" s="69" t="n">
        <x:v>0</x:v>
      </x:c>
      <x:c r="I782" t="str">
        <x:v>2-1</x:v>
      </x:c>
      <x:c r="J782" t="str">
        <x:f>IF(E782&lt;&gt;TRUE,"",IF(H782&gt;M782,"W",IF(H782&lt;M782,"L","T")))</x:f>
      </x:c>
      <x:c r="K782" t="str">
        <x:v>Virginia Cavaliers</x:v>
      </x:c>
      <x:c r="L782" t="str">
        <x:v>UVA</x:v>
      </x:c>
      <x:c r="M782" s="69" t="n">
        <x:v>0</x:v>
      </x:c>
      <x:c r="N782" t="str">
        <x:v>2-1</x:v>
      </x:c>
      <x:c r="O782" t="str">
        <x:f>IF(E782&lt;&gt;TRUE,"",IF(M782&gt;H782,"W",IF(M782&lt;H782,"L","T")))</x:f>
      </x:c>
      <x:c r="P782" s="66" t="b">
        <x:v>0</x:v>
      </x:c>
      <x:c r="Q782" s="66" t="b">
        <x:v>1</x:v>
      </x:c>
      <x:c r="R782" t="str">
        <x:v>Scott Stadium</x:v>
      </x:c>
      <x:c r="S782" t="str"/>
      <x:c r="T782"/>
      <x:c r="U782" s="70"/>
      <x:c r="V782" s="70"/>
      <x:c r="W782"/>
      <x:c r="X782" t="str">
        <x:v>https://www.espn.com/college-football/game/_/gameId/401858305</x:v>
      </x:c>
    </x:row>
    <x:row r="783">
      <x:c r="A783" t="str">
        <x:v>CFB</x:v>
      </x:c>
      <x:c r="B783" t="n">
        <x:v>12</x:v>
      </x:c>
      <x:c r="C783" s="68" t="n">
        <x:v>46347.208333333336</x:v>
      </x:c>
      <x:c r="D783" s="71" t="str">
        <x:v>pre</x:v>
      </x:c>
      <x:c r="E783" s="72" t="b">
        <x:v>0</x:v>
      </x:c>
      <x:c r="F783" t="str">
        <x:v>Pittsburgh Panthers</x:v>
      </x:c>
      <x:c r="G783" t="str">
        <x:v>PITT</x:v>
      </x:c>
      <x:c r="H783" s="69" t="n">
        <x:v>0</x:v>
      </x:c>
      <x:c r="I783" t="str">
        <x:v>3-0</x:v>
      </x:c>
      <x:c r="J783" t="str">
        <x:f>IF(E783&lt;&gt;TRUE,"",IF(H783&gt;M783,"W",IF(H783&lt;M783,"L","T")))</x:f>
      </x:c>
      <x:c r="K783" t="str">
        <x:v>Louisville Cardinals</x:v>
      </x:c>
      <x:c r="L783" t="str">
        <x:v>LOU</x:v>
      </x:c>
      <x:c r="M783" s="69" t="n">
        <x:v>0</x:v>
      </x:c>
      <x:c r="N783" t="str">
        <x:v>2-1</x:v>
      </x:c>
      <x:c r="O783" t="str">
        <x:f>IF(E783&lt;&gt;TRUE,"",IF(M783&gt;H783,"W",IF(M783&lt;H783,"L","T")))</x:f>
      </x:c>
      <x:c r="P783" s="66" t="b">
        <x:v>0</x:v>
      </x:c>
      <x:c r="Q783" s="66" t="b">
        <x:v>1</x:v>
      </x:c>
      <x:c r="R783" t="str">
        <x:v>L&amp;N Federal Credit Union Stadium</x:v>
      </x:c>
      <x:c r="S783" t="str"/>
      <x:c r="T783"/>
      <x:c r="U783" s="70"/>
      <x:c r="V783" s="70"/>
      <x:c r="W783"/>
      <x:c r="X783" t="str">
        <x:v>https://www.espn.com/college-football/game/_/gameId/401858306</x:v>
      </x:c>
    </x:row>
    <x:row r="784">
      <x:c r="A784" t="str">
        <x:v>CFB</x:v>
      </x:c>
      <x:c r="B784" t="n">
        <x:v>12</x:v>
      </x:c>
      <x:c r="C784" s="68" t="n">
        <x:v>46347.208333333336</x:v>
      </x:c>
      <x:c r="D784" s="71" t="str">
        <x:v>pre</x:v>
      </x:c>
      <x:c r="E784" s="72" t="b">
        <x:v>0</x:v>
      </x:c>
      <x:c r="F784" t="str">
        <x:v>Stanford Cardinal</x:v>
      </x:c>
      <x:c r="G784" t="str">
        <x:v>STAN</x:v>
      </x:c>
      <x:c r="H784" s="69" t="n">
        <x:v>0</x:v>
      </x:c>
      <x:c r="I784" t="str">
        <x:v>1-2</x:v>
      </x:c>
      <x:c r="J784" t="str">
        <x:f>IF(E784&lt;&gt;TRUE,"",IF(H784&gt;M784,"W",IF(H784&lt;M784,"L","T")))</x:f>
      </x:c>
      <x:c r="K784" t="str">
        <x:v>California Golden Bears</x:v>
      </x:c>
      <x:c r="L784" t="str">
        <x:v>CAL</x:v>
      </x:c>
      <x:c r="M784" s="69" t="n">
        <x:v>0</x:v>
      </x:c>
      <x:c r="N784" t="str">
        <x:v>2-1</x:v>
      </x:c>
      <x:c r="O784" t="str">
        <x:f>IF(E784&lt;&gt;TRUE,"",IF(M784&gt;H784,"W",IF(M784&lt;H784,"L","T")))</x:f>
      </x:c>
      <x:c r="P784" s="66" t="b">
        <x:v>0</x:v>
      </x:c>
      <x:c r="Q784" s="66" t="b">
        <x:v>1</x:v>
      </x:c>
      <x:c r="R784" t="str">
        <x:v>California Memorial Stadium</x:v>
      </x:c>
      <x:c r="S784" t="str"/>
      <x:c r="T784"/>
      <x:c r="U784" s="70"/>
      <x:c r="V784" s="70"/>
      <x:c r="W784"/>
      <x:c r="X784" t="str">
        <x:v>https://www.espn.com/college-football/game/_/gameId/401858308</x:v>
      </x:c>
    </x:row>
    <x:row r="785">
      <x:c r="A785" t="str">
        <x:v>CFB</x:v>
      </x:c>
      <x:c r="B785" t="n">
        <x:v>12</x:v>
      </x:c>
      <x:c r="C785" s="68" t="n">
        <x:v>46347.208333333336</x:v>
      </x:c>
      <x:c r="D785" s="71" t="str">
        <x:v>pre</x:v>
      </x:c>
      <x:c r="E785" s="72" t="b">
        <x:v>0</x:v>
      </x:c>
      <x:c r="F785" t="str">
        <x:v>Syracuse Orange</x:v>
      </x:c>
      <x:c r="G785" t="str">
        <x:v>SYR</x:v>
      </x:c>
      <x:c r="H785" s="69" t="n">
        <x:v>0</x:v>
      </x:c>
      <x:c r="I785" t="str">
        <x:v>1-2</x:v>
      </x:c>
      <x:c r="J785" t="str">
        <x:f>IF(E785&lt;&gt;TRUE,"",IF(H785&gt;M785,"W",IF(H785&lt;M785,"L","T")))</x:f>
      </x:c>
      <x:c r="K785" t="str">
        <x:v>Boston College Eagles</x:v>
      </x:c>
      <x:c r="L785" t="str">
        <x:v>BC</x:v>
      </x:c>
      <x:c r="M785" s="69" t="n">
        <x:v>0</x:v>
      </x:c>
      <x:c r="N785" t="str">
        <x:v>2-1</x:v>
      </x:c>
      <x:c r="O785" t="str">
        <x:f>IF(E785&lt;&gt;TRUE,"",IF(M785&gt;H785,"W",IF(M785&lt;H785,"L","T")))</x:f>
      </x:c>
      <x:c r="P785" s="66" t="b">
        <x:v>0</x:v>
      </x:c>
      <x:c r="Q785" s="66" t="b">
        <x:v>1</x:v>
      </x:c>
      <x:c r="R785" t="str">
        <x:v>Alumni Stadium (Chestnut Hill, MA)</x:v>
      </x:c>
      <x:c r="S785" t="str"/>
      <x:c r="T785"/>
      <x:c r="U785" s="70"/>
      <x:c r="V785" s="70"/>
      <x:c r="W785"/>
      <x:c r="X785" t="str">
        <x:v>https://www.espn.com/college-football/game/_/gameId/401858309</x:v>
      </x:c>
    </x:row>
    <x:row r="786">
      <x:c r="A786" t="str">
        <x:v>CFB</x:v>
      </x:c>
      <x:c r="B786" t="n">
        <x:v>12</x:v>
      </x:c>
      <x:c r="C786" s="68" t="n">
        <x:v>46347.208333333336</x:v>
      </x:c>
      <x:c r="D786" s="71" t="str">
        <x:v>pre</x:v>
      </x:c>
      <x:c r="E786" s="72" t="b">
        <x:v>0</x:v>
      </x:c>
      <x:c r="F786" t="str">
        <x:v>Wake Forest Demon Deacons</x:v>
      </x:c>
      <x:c r="G786" t="str">
        <x:v>WAKE</x:v>
      </x:c>
      <x:c r="H786" s="69" t="n">
        <x:v>0</x:v>
      </x:c>
      <x:c r="I786" t="str">
        <x:v>2-1</x:v>
      </x:c>
      <x:c r="J786" t="str">
        <x:f>IF(E786&lt;&gt;TRUE,"",IF(H786&gt;M786,"W",IF(H786&lt;M786,"L","T")))</x:f>
      </x:c>
      <x:c r="K786" t="str">
        <x:v>Georgia Tech Yellow Jackets</x:v>
      </x:c>
      <x:c r="L786" t="str">
        <x:v>GT</x:v>
      </x:c>
      <x:c r="M786" s="69" t="n">
        <x:v>0</x:v>
      </x:c>
      <x:c r="N786" t="str">
        <x:v>1-2</x:v>
      </x:c>
      <x:c r="O786" t="str">
        <x:f>IF(E786&lt;&gt;TRUE,"",IF(M786&gt;H786,"W",IF(M786&lt;H786,"L","T")))</x:f>
      </x:c>
      <x:c r="P786" s="66" t="b">
        <x:v>0</x:v>
      </x:c>
      <x:c r="Q786" s="66" t="b">
        <x:v>1</x:v>
      </x:c>
      <x:c r="R786" t="str">
        <x:v>Bobby Dodd Stadium</x:v>
      </x:c>
      <x:c r="S786" t="str"/>
      <x:c r="T786"/>
      <x:c r="U786" s="70"/>
      <x:c r="V786" s="70"/>
      <x:c r="W786"/>
      <x:c r="X786" t="str">
        <x:v>https://www.espn.com/college-football/game/_/gameId/401858310</x:v>
      </x:c>
    </x:row>
    <x:row r="787">
      <x:c r="A787" t="str">
        <x:v>CFB</x:v>
      </x:c>
      <x:c r="B787" t="n">
        <x:v>12</x:v>
      </x:c>
      <x:c r="C787" s="68" t="n">
        <x:v>46347.208333333336</x:v>
      </x:c>
      <x:c r="D787" s="71" t="str">
        <x:v>pre</x:v>
      </x:c>
      <x:c r="E787" s="72" t="b">
        <x:v>0</x:v>
      </x:c>
      <x:c r="F787" t="str">
        <x:v>Iowa Hawkeyes</x:v>
      </x:c>
      <x:c r="G787" t="str">
        <x:v>IOWA</x:v>
      </x:c>
      <x:c r="H787" s="69" t="n">
        <x:v>0</x:v>
      </x:c>
      <x:c r="I787" t="str">
        <x:v>3-0</x:v>
      </x:c>
      <x:c r="J787" t="str">
        <x:f>IF(E787&lt;&gt;TRUE,"",IF(H787&gt;M787,"W",IF(H787&lt;M787,"L","T")))</x:f>
      </x:c>
      <x:c r="K787" t="str">
        <x:v>Illinois Fighting Illini</x:v>
      </x:c>
      <x:c r="L787" t="str">
        <x:v>ILL</x:v>
      </x:c>
      <x:c r="M787" s="69" t="n">
        <x:v>0</x:v>
      </x:c>
      <x:c r="N787" t="str">
        <x:v>2-1</x:v>
      </x:c>
      <x:c r="O787" t="str">
        <x:f>IF(E787&lt;&gt;TRUE,"",IF(M787&gt;H787,"W",IF(M787&lt;H787,"L","T")))</x:f>
      </x:c>
      <x:c r="P787" s="66" t="b">
        <x:v>0</x:v>
      </x:c>
      <x:c r="Q787" s="66" t="b">
        <x:v>1</x:v>
      </x:c>
      <x:c r="R787" t="str">
        <x:v>Gies Memorial Stadium</x:v>
      </x:c>
      <x:c r="S787" t="str"/>
      <x:c r="T787"/>
      <x:c r="U787" s="70"/>
      <x:c r="V787" s="70"/>
      <x:c r="W787"/>
      <x:c r="X787" t="str">
        <x:v>https://www.espn.com/college-football/game/_/gameId/401858527</x:v>
      </x:c>
    </x:row>
    <x:row r="788">
      <x:c r="A788" t="str">
        <x:v>CFB</x:v>
      </x:c>
      <x:c r="B788" t="n">
        <x:v>12</x:v>
      </x:c>
      <x:c r="C788" s="68" t="n">
        <x:v>46347.208333333336</x:v>
      </x:c>
      <x:c r="D788" s="71" t="str">
        <x:v>pre</x:v>
      </x:c>
      <x:c r="E788" s="72" t="b">
        <x:v>0</x:v>
      </x:c>
      <x:c r="F788" t="str">
        <x:v>UCLA Bruins</x:v>
      </x:c>
      <x:c r="G788" t="str">
        <x:v>UCLA</x:v>
      </x:c>
      <x:c r="H788" s="69" t="n">
        <x:v>0</x:v>
      </x:c>
      <x:c r="I788" t="str">
        <x:v>3-0</x:v>
      </x:c>
      <x:c r="J788" t="str">
        <x:f>IF(E788&lt;&gt;TRUE,"",IF(H788&gt;M788,"W",IF(H788&lt;M788,"L","T")))</x:f>
      </x:c>
      <x:c r="K788" t="str">
        <x:v>Michigan Wolverines</x:v>
      </x:c>
      <x:c r="L788" t="str">
        <x:v>MICH</x:v>
      </x:c>
      <x:c r="M788" s="69" t="n">
        <x:v>0</x:v>
      </x:c>
      <x:c r="N788" t="str">
        <x:v>3-0</x:v>
      </x:c>
      <x:c r="O788" t="str">
        <x:f>IF(E788&lt;&gt;TRUE,"",IF(M788&gt;H788,"W",IF(M788&lt;H788,"L","T")))</x:f>
      </x:c>
      <x:c r="P788" s="66" t="b">
        <x:v>0</x:v>
      </x:c>
      <x:c r="Q788" s="66" t="b">
        <x:v>1</x:v>
      </x:c>
      <x:c r="R788" t="str">
        <x:v>Michigan Stadium</x:v>
      </x:c>
      <x:c r="S788" t="str"/>
      <x:c r="T788"/>
      <x:c r="U788" s="70"/>
      <x:c r="V788" s="70"/>
      <x:c r="W788"/>
      <x:c r="X788" t="str">
        <x:v>https://www.espn.com/college-football/game/_/gameId/401858528</x:v>
      </x:c>
    </x:row>
    <x:row r="789">
      <x:c r="A789" t="str">
        <x:v>CFB</x:v>
      </x:c>
      <x:c r="B789" t="n">
        <x:v>12</x:v>
      </x:c>
      <x:c r="C789" s="68" t="n">
        <x:v>46347.208333333336</x:v>
      </x:c>
      <x:c r="D789" s="71" t="str">
        <x:v>pre</x:v>
      </x:c>
      <x:c r="E789" s="72" t="b">
        <x:v>0</x:v>
      </x:c>
      <x:c r="F789" t="str">
        <x:v>Northwestern Wildcats</x:v>
      </x:c>
      <x:c r="G789" t="str">
        <x:v>NU</x:v>
      </x:c>
      <x:c r="H789" s="69" t="n">
        <x:v>0</x:v>
      </x:c>
      <x:c r="I789" t="str">
        <x:v>2-0</x:v>
      </x:c>
      <x:c r="J789" t="str">
        <x:f>IF(E789&lt;&gt;TRUE,"",IF(H789&gt;M789,"W",IF(H789&lt;M789,"L","T")))</x:f>
      </x:c>
      <x:c r="K789" t="str">
        <x:v>Minnesota Golden Gophers</x:v>
      </x:c>
      <x:c r="L789" t="str">
        <x:v>MINN</x:v>
      </x:c>
      <x:c r="M789" s="69" t="n">
        <x:v>0</x:v>
      </x:c>
      <x:c r="N789" t="str">
        <x:v>2-1</x:v>
      </x:c>
      <x:c r="O789" t="str">
        <x:f>IF(E789&lt;&gt;TRUE,"",IF(M789&gt;H789,"W",IF(M789&lt;H789,"L","T")))</x:f>
      </x:c>
      <x:c r="P789" s="66" t="b">
        <x:v>0</x:v>
      </x:c>
      <x:c r="Q789" s="66" t="b">
        <x:v>1</x:v>
      </x:c>
      <x:c r="R789" t="str">
        <x:v>Huntington Bank Stadium</x:v>
      </x:c>
      <x:c r="S789" t="str"/>
      <x:c r="T789"/>
      <x:c r="U789" s="70"/>
      <x:c r="V789" s="70"/>
      <x:c r="W789"/>
      <x:c r="X789" t="str">
        <x:v>https://www.espn.com/college-football/game/_/gameId/401858530</x:v>
      </x:c>
    </x:row>
    <x:row r="790">
      <x:c r="A790" t="str">
        <x:v>CFB</x:v>
      </x:c>
      <x:c r="B790" t="n">
        <x:v>12</x:v>
      </x:c>
      <x:c r="C790" s="68" t="n">
        <x:v>46347.208333333336</x:v>
      </x:c>
      <x:c r="D790" s="71" t="str">
        <x:v>pre</x:v>
      </x:c>
      <x:c r="E790" s="72" t="b">
        <x:v>0</x:v>
      </x:c>
      <x:c r="F790" t="str">
        <x:v>Ohio State Buckeyes</x:v>
      </x:c>
      <x:c r="G790" t="str">
        <x:v>OSU</x:v>
      </x:c>
      <x:c r="H790" s="69" t="n">
        <x:v>0</x:v>
      </x:c>
      <x:c r="I790" t="str">
        <x:v>2-1</x:v>
      </x:c>
      <x:c r="J790" t="str">
        <x:f>IF(E790&lt;&gt;TRUE,"",IF(H790&gt;M790,"W",IF(H790&lt;M790,"L","T")))</x:f>
      </x:c>
      <x:c r="K790" t="str">
        <x:v>Nebraska Cornhuskers</x:v>
      </x:c>
      <x:c r="L790" t="str">
        <x:v>NEB</x:v>
      </x:c>
      <x:c r="M790" s="69" t="n">
        <x:v>0</x:v>
      </x:c>
      <x:c r="N790" t="str">
        <x:v>3-0</x:v>
      </x:c>
      <x:c r="O790" t="str">
        <x:f>IF(E790&lt;&gt;TRUE,"",IF(M790&gt;H790,"W",IF(M790&lt;H790,"L","T")))</x:f>
      </x:c>
      <x:c r="P790" s="66" t="b">
        <x:v>0</x:v>
      </x:c>
      <x:c r="Q790" s="66" t="b">
        <x:v>1</x:v>
      </x:c>
      <x:c r="R790" t="str">
        <x:v>Memorial Stadium (Lincoln, NE)</x:v>
      </x:c>
      <x:c r="S790" t="str"/>
      <x:c r="T790"/>
      <x:c r="U790" s="70"/>
      <x:c r="V790" s="70"/>
      <x:c r="W790"/>
      <x:c r="X790" t="str">
        <x:v>https://www.espn.com/college-football/game/_/gameId/401858531</x:v>
      </x:c>
    </x:row>
    <x:row r="791">
      <x:c r="A791" t="str">
        <x:v>CFB</x:v>
      </x:c>
      <x:c r="B791" t="n">
        <x:v>12</x:v>
      </x:c>
      <x:c r="C791" s="68" t="n">
        <x:v>46347.208333333336</x:v>
      </x:c>
      <x:c r="D791" s="71" t="str">
        <x:v>pre</x:v>
      </x:c>
      <x:c r="E791" s="72" t="b">
        <x:v>0</x:v>
      </x:c>
      <x:c r="F791" t="str">
        <x:v>Rutgers Scarlet Knights</x:v>
      </x:c>
      <x:c r="G791" t="str">
        <x:v>RUTG</x:v>
      </x:c>
      <x:c r="H791" s="69" t="n">
        <x:v>0</x:v>
      </x:c>
      <x:c r="I791" t="str">
        <x:v>0-3</x:v>
      </x:c>
      <x:c r="J791" t="str">
        <x:f>IF(E791&lt;&gt;TRUE,"",IF(H791&gt;M791,"W",IF(H791&lt;M791,"L","T")))</x:f>
      </x:c>
      <x:c r="K791" t="str">
        <x:v>Penn State Nittany Lions</x:v>
      </x:c>
      <x:c r="L791" t="str">
        <x:v>PSU</x:v>
      </x:c>
      <x:c r="M791" s="69" t="n">
        <x:v>0</x:v>
      </x:c>
      <x:c r="N791" t="str">
        <x:v>3-0</x:v>
      </x:c>
      <x:c r="O791" t="str">
        <x:f>IF(E791&lt;&gt;TRUE,"",IF(M791&gt;H791,"W",IF(M791&lt;H791,"L","T")))</x:f>
      </x:c>
      <x:c r="P791" s="66" t="b">
        <x:v>0</x:v>
      </x:c>
      <x:c r="Q791" s="66" t="b">
        <x:v>1</x:v>
      </x:c>
      <x:c r="R791" t="str">
        <x:v>Beaver Stadium</x:v>
      </x:c>
      <x:c r="S791" t="str"/>
      <x:c r="T791"/>
      <x:c r="U791" s="70"/>
      <x:c r="V791" s="70"/>
      <x:c r="W791"/>
      <x:c r="X791" t="str">
        <x:v>https://www.espn.com/college-football/game/_/gameId/401858532</x:v>
      </x:c>
    </x:row>
    <x:row r="792">
      <x:c r="A792" t="str">
        <x:v>CFB</x:v>
      </x:c>
      <x:c r="B792" t="n">
        <x:v>12</x:v>
      </x:c>
      <x:c r="C792" s="68" t="n">
        <x:v>46347.208333333336</x:v>
      </x:c>
      <x:c r="D792" s="71" t="str">
        <x:v>pre</x:v>
      </x:c>
      <x:c r="E792" s="72" t="b">
        <x:v>0</x:v>
      </x:c>
      <x:c r="F792" t="str">
        <x:v>Wisconsin Badgers</x:v>
      </x:c>
      <x:c r="G792" t="str">
        <x:v>WIS</x:v>
      </x:c>
      <x:c r="H792" s="69" t="n">
        <x:v>0</x:v>
      </x:c>
      <x:c r="I792" t="str">
        <x:v>2-1</x:v>
      </x:c>
      <x:c r="J792" t="str">
        <x:f>IF(E792&lt;&gt;TRUE,"",IF(H792&gt;M792,"W",IF(H792&lt;M792,"L","T")))</x:f>
      </x:c>
      <x:c r="K792" t="str">
        <x:v>Purdue Boilermakers</x:v>
      </x:c>
      <x:c r="L792" t="str">
        <x:v>PUR</x:v>
      </x:c>
      <x:c r="M792" s="69" t="n">
        <x:v>0</x:v>
      </x:c>
      <x:c r="N792" t="str">
        <x:v>1-2</x:v>
      </x:c>
      <x:c r="O792" t="str">
        <x:f>IF(E792&lt;&gt;TRUE,"",IF(M792&gt;H792,"W",IF(M792&lt;H792,"L","T")))</x:f>
      </x:c>
      <x:c r="P792" s="66" t="b">
        <x:v>0</x:v>
      </x:c>
      <x:c r="Q792" s="66" t="b">
        <x:v>1</x:v>
      </x:c>
      <x:c r="R792" t="str">
        <x:v>Ross-Ade Stadium</x:v>
      </x:c>
      <x:c r="S792" t="str"/>
      <x:c r="T792"/>
      <x:c r="U792" s="70"/>
      <x:c r="V792" s="70"/>
      <x:c r="W792"/>
      <x:c r="X792" t="str">
        <x:v>https://www.espn.com/college-football/game/_/gameId/401858533</x:v>
      </x:c>
    </x:row>
    <x:row r="793">
      <x:c r="A793" t="str">
        <x:v>CFB</x:v>
      </x:c>
      <x:c r="B793" t="n">
        <x:v>12</x:v>
      </x:c>
      <x:c r="C793" s="68" t="n">
        <x:v>46347.208333333336</x:v>
      </x:c>
      <x:c r="D793" s="71" t="str">
        <x:v>pre</x:v>
      </x:c>
      <x:c r="E793" s="72" t="b">
        <x:v>0</x:v>
      </x:c>
      <x:c r="F793" t="str">
        <x:v>Maryland Terrapins</x:v>
      </x:c>
      <x:c r="G793" t="str">
        <x:v>MD</x:v>
      </x:c>
      <x:c r="H793" s="69" t="n">
        <x:v>0</x:v>
      </x:c>
      <x:c r="I793" t="str">
        <x:v>2-1</x:v>
      </x:c>
      <x:c r="J793" t="str">
        <x:f>IF(E793&lt;&gt;TRUE,"",IF(H793&gt;M793,"W",IF(H793&lt;M793,"L","T")))</x:f>
      </x:c>
      <x:c r="K793" t="str">
        <x:v>USC Trojans</x:v>
      </x:c>
      <x:c r="L793" t="str">
        <x:v>USC</x:v>
      </x:c>
      <x:c r="M793" s="69" t="n">
        <x:v>0</x:v>
      </x:c>
      <x:c r="N793" t="str">
        <x:v>4-0</x:v>
      </x:c>
      <x:c r="O793" t="str">
        <x:f>IF(E793&lt;&gt;TRUE,"",IF(M793&gt;H793,"W",IF(M793&lt;H793,"L","T")))</x:f>
      </x:c>
      <x:c r="P793" s="66" t="b">
        <x:v>0</x:v>
      </x:c>
      <x:c r="Q793" s="66" t="b">
        <x:v>1</x:v>
      </x:c>
      <x:c r="R793" t="str">
        <x:v>Los Angeles Memorial Coliseum</x:v>
      </x:c>
      <x:c r="S793" t="str"/>
      <x:c r="T793"/>
      <x:c r="U793" s="70"/>
      <x:c r="V793" s="70"/>
      <x:c r="W793"/>
      <x:c r="X793" t="str">
        <x:v>https://www.espn.com/college-football/game/_/gameId/401858534</x:v>
      </x:c>
    </x:row>
    <x:row r="794">
      <x:c r="A794" t="str">
        <x:v>CFB</x:v>
      </x:c>
      <x:c r="B794" t="n">
        <x:v>12</x:v>
      </x:c>
      <x:c r="C794" s="68" t="n">
        <x:v>46347.208333333336</x:v>
      </x:c>
      <x:c r="D794" s="71" t="str">
        <x:v>pre</x:v>
      </x:c>
      <x:c r="E794" s="72" t="b">
        <x:v>0</x:v>
      </x:c>
      <x:c r="F794" t="str">
        <x:v>Indiana Hoosiers</x:v>
      </x:c>
      <x:c r="G794" t="str">
        <x:v>IU</x:v>
      </x:c>
      <x:c r="H794" s="69" t="n">
        <x:v>0</x:v>
      </x:c>
      <x:c r="I794" t="str">
        <x:v>3-0</x:v>
      </x:c>
      <x:c r="J794" t="str">
        <x:f>IF(E794&lt;&gt;TRUE,"",IF(H794&gt;M794,"W",IF(H794&lt;M794,"L","T")))</x:f>
      </x:c>
      <x:c r="K794" t="str">
        <x:v>Washington Huskies</x:v>
      </x:c>
      <x:c r="L794" t="str">
        <x:v>WASH</x:v>
      </x:c>
      <x:c r="M794" s="69" t="n">
        <x:v>0</x:v>
      </x:c>
      <x:c r="N794" t="str">
        <x:v>3-0</x:v>
      </x:c>
      <x:c r="O794" t="str">
        <x:f>IF(E794&lt;&gt;TRUE,"",IF(M794&gt;H794,"W",IF(M794&lt;H794,"L","T")))</x:f>
      </x:c>
      <x:c r="P794" s="66" t="b">
        <x:v>0</x:v>
      </x:c>
      <x:c r="Q794" s="66" t="b">
        <x:v>1</x:v>
      </x:c>
      <x:c r="R794" t="str">
        <x:v>Husky Stadium</x:v>
      </x:c>
      <x:c r="S794" t="str"/>
      <x:c r="T794"/>
      <x:c r="U794" s="70"/>
      <x:c r="V794" s="70"/>
      <x:c r="W794"/>
      <x:c r="X794" t="str">
        <x:v>https://www.espn.com/college-football/game/_/gameId/401858535</x:v>
      </x:c>
    </x:row>
    <x:row r="795">
      <x:c r="A795" t="str">
        <x:v>CFB</x:v>
      </x:c>
      <x:c r="B795" t="n">
        <x:v>12</x:v>
      </x:c>
      <x:c r="C795" s="68" t="n">
        <x:v>46347.208333333336</x:v>
      </x:c>
      <x:c r="D795" s="71" t="str">
        <x:v>pre</x:v>
      </x:c>
      <x:c r="E795" s="72" t="b">
        <x:v>0</x:v>
      </x:c>
      <x:c r="F795" t="str">
        <x:v>Charlotte 49ers</x:v>
      </x:c>
      <x:c r="G795" t="str">
        <x:v>CLT</x:v>
      </x:c>
      <x:c r="H795" s="69" t="n">
        <x:v>0</x:v>
      </x:c>
      <x:c r="I795" t="str">
        <x:v>0-3</x:v>
      </x:c>
      <x:c r="J795" t="str">
        <x:f>IF(E795&lt;&gt;TRUE,"",IF(H795&gt;M795,"W",IF(H795&lt;M795,"L","T")))</x:f>
      </x:c>
      <x:c r="K795" t="str">
        <x:v>Tulsa Golden Hurricane</x:v>
      </x:c>
      <x:c r="L795" t="str">
        <x:v>TLSA</x:v>
      </x:c>
      <x:c r="M795" s="69" t="n">
        <x:v>0</x:v>
      </x:c>
      <x:c r="N795" t="str">
        <x:v>3-0</x:v>
      </x:c>
      <x:c r="O795" t="str">
        <x:f>IF(E795&lt;&gt;TRUE,"",IF(M795&gt;H795,"W",IF(M795&lt;H795,"L","T")))</x:f>
      </x:c>
      <x:c r="P795" s="66" t="b">
        <x:v>0</x:v>
      </x:c>
      <x:c r="Q795" s="66" t="b">
        <x:v>1</x:v>
      </x:c>
      <x:c r="R795" t="str">
        <x:v>H. A. Chapman Stadium</x:v>
      </x:c>
      <x:c r="S795" t="str"/>
      <x:c r="T795"/>
      <x:c r="U795" s="70"/>
      <x:c r="V795" s="70"/>
      <x:c r="W795"/>
      <x:c r="X795" t="str">
        <x:v>https://www.espn.com/college-football/game/_/gameId/401862832</x:v>
      </x:c>
    </x:row>
    <x:row r="796">
      <x:c r="A796" t="str">
        <x:v>CFB</x:v>
      </x:c>
      <x:c r="B796" t="n">
        <x:v>12</x:v>
      </x:c>
      <x:c r="C796" s="68" t="n">
        <x:v>46347.208333333336</x:v>
      </x:c>
      <x:c r="D796" s="71" t="str">
        <x:v>pre</x:v>
      </x:c>
      <x:c r="E796" s="72" t="b">
        <x:v>0</x:v>
      </x:c>
      <x:c r="F796" t="str">
        <x:v>South Florida Bulls</x:v>
      </x:c>
      <x:c r="G796" t="str">
        <x:v>USF</x:v>
      </x:c>
      <x:c r="H796" s="69" t="n">
        <x:v>0</x:v>
      </x:c>
      <x:c r="I796" t="str">
        <x:v>3-0</x:v>
      </x:c>
      <x:c r="J796" t="str">
        <x:f>IF(E796&lt;&gt;TRUE,"",IF(H796&gt;M796,"W",IF(H796&lt;M796,"L","T")))</x:f>
      </x:c>
      <x:c r="K796" t="str">
        <x:v>Florida Atlantic Owls</x:v>
      </x:c>
      <x:c r="L796" t="str">
        <x:v>FAU</x:v>
      </x:c>
      <x:c r="M796" s="69" t="n">
        <x:v>0</x:v>
      </x:c>
      <x:c r="N796" t="str">
        <x:v>2-1</x:v>
      </x:c>
      <x:c r="O796" t="str">
        <x:f>IF(E796&lt;&gt;TRUE,"",IF(M796&gt;H796,"W",IF(M796&lt;H796,"L","T")))</x:f>
      </x:c>
      <x:c r="P796" s="66" t="b">
        <x:v>0</x:v>
      </x:c>
      <x:c r="Q796" s="66" t="b">
        <x:v>1</x:v>
      </x:c>
      <x:c r="R796" t="str">
        <x:v>Flagler Credit Union Stadium</x:v>
      </x:c>
      <x:c r="S796" t="str"/>
      <x:c r="T796"/>
      <x:c r="U796" s="70"/>
      <x:c r="V796" s="70"/>
      <x:c r="W796"/>
      <x:c r="X796" t="str">
        <x:v>https://www.espn.com/college-football/game/_/gameId/401862833</x:v>
      </x:c>
    </x:row>
    <x:row r="797">
      <x:c r="A797" t="str">
        <x:v>CFB</x:v>
      </x:c>
      <x:c r="B797" t="n">
        <x:v>12</x:v>
      </x:c>
      <x:c r="C797" s="68" t="n">
        <x:v>46347.208333333336</x:v>
      </x:c>
      <x:c r="D797" s="71" t="str">
        <x:v>pre</x:v>
      </x:c>
      <x:c r="E797" s="72" t="b">
        <x:v>0</x:v>
      </x:c>
      <x:c r="F797" t="str">
        <x:v>North Texas Mean Green</x:v>
      </x:c>
      <x:c r="G797" t="str">
        <x:v>UNT</x:v>
      </x:c>
      <x:c r="H797" s="69" t="n">
        <x:v>0</x:v>
      </x:c>
      <x:c r="I797" t="str">
        <x:v>1-2</x:v>
      </x:c>
      <x:c r="J797" t="str">
        <x:f>IF(E797&lt;&gt;TRUE,"",IF(H797&gt;M797,"W",IF(H797&lt;M797,"L","T")))</x:f>
      </x:c>
      <x:c r="K797" t="str">
        <x:v>Tulane Green Wave</x:v>
      </x:c>
      <x:c r="L797" t="str">
        <x:v>TULN</x:v>
      </x:c>
      <x:c r="M797" s="69" t="n">
        <x:v>0</x:v>
      </x:c>
      <x:c r="N797" t="str">
        <x:v>1-2</x:v>
      </x:c>
      <x:c r="O797" t="str">
        <x:f>IF(E797&lt;&gt;TRUE,"",IF(M797&gt;H797,"W",IF(M797&lt;H797,"L","T")))</x:f>
      </x:c>
      <x:c r="P797" s="66" t="b">
        <x:v>0</x:v>
      </x:c>
      <x:c r="Q797" s="66" t="b">
        <x:v>1</x:v>
      </x:c>
      <x:c r="R797" t="str">
        <x:v>Yulman Stadium</x:v>
      </x:c>
      <x:c r="S797" t="str"/>
      <x:c r="T797"/>
      <x:c r="U797" s="70"/>
      <x:c r="V797" s="70"/>
      <x:c r="W797"/>
      <x:c r="X797" t="str">
        <x:v>https://www.espn.com/college-football/game/_/gameId/401862835</x:v>
      </x:c>
    </x:row>
    <x:row r="798">
      <x:c r="A798" t="str">
        <x:v>CFB</x:v>
      </x:c>
      <x:c r="B798" t="n">
        <x:v>12</x:v>
      </x:c>
      <x:c r="C798" s="68" t="n">
        <x:v>46347.208333333336</x:v>
      </x:c>
      <x:c r="D798" s="71" t="str">
        <x:v>pre</x:v>
      </x:c>
      <x:c r="E798" s="72" t="b">
        <x:v>0</x:v>
      </x:c>
      <x:c r="F798" t="str">
        <x:v>UTSA Roadrunners</x:v>
      </x:c>
      <x:c r="G798" t="str">
        <x:v>UTSA</x:v>
      </x:c>
      <x:c r="H798" s="69" t="n">
        <x:v>0</x:v>
      </x:c>
      <x:c r="I798" t="str">
        <x:v>2-1</x:v>
      </x:c>
      <x:c r="J798" t="str">
        <x:f>IF(E798&lt;&gt;TRUE,"",IF(H798&gt;M798,"W",IF(H798&lt;M798,"L","T")))</x:f>
      </x:c>
      <x:c r="K798" t="str">
        <x:v>UAB Blazers</x:v>
      </x:c>
      <x:c r="L798" t="str">
        <x:v>UAB</x:v>
      </x:c>
      <x:c r="M798" s="69" t="n">
        <x:v>0</x:v>
      </x:c>
      <x:c r="N798" t="str">
        <x:v>1-2</x:v>
      </x:c>
      <x:c r="O798" t="str">
        <x:f>IF(E798&lt;&gt;TRUE,"",IF(M798&gt;H798,"W",IF(M798&lt;H798,"L","T")))</x:f>
      </x:c>
      <x:c r="P798" s="66" t="b">
        <x:v>0</x:v>
      </x:c>
      <x:c r="Q798" s="66" t="b">
        <x:v>1</x:v>
      </x:c>
      <x:c r="R798" t="str">
        <x:v>Protective Stadium</x:v>
      </x:c>
      <x:c r="S798" t="str"/>
      <x:c r="T798"/>
      <x:c r="U798" s="70"/>
      <x:c r="V798" s="70"/>
      <x:c r="W798"/>
      <x:c r="X798" t="str">
        <x:v>https://www.espn.com/college-football/game/_/gameId/401862836</x:v>
      </x:c>
    </x:row>
    <x:row r="799">
      <x:c r="A799" t="str">
        <x:v>CFB</x:v>
      </x:c>
      <x:c r="B799" t="n">
        <x:v>12</x:v>
      </x:c>
      <x:c r="C799" s="68" t="n">
        <x:v>46347.208333333336</x:v>
      </x:c>
      <x:c r="D799" s="71" t="str">
        <x:v>pre</x:v>
      </x:c>
      <x:c r="E799" s="72" t="b">
        <x:v>0</x:v>
      </x:c>
      <x:c r="F799" t="str">
        <x:v>Hawai'i Rainbow Warriors</x:v>
      </x:c>
      <x:c r="G799" t="str">
        <x:v>HAW</x:v>
      </x:c>
      <x:c r="H799" s="69" t="n">
        <x:v>0</x:v>
      </x:c>
      <x:c r="I799" t="str">
        <x:v>1-2</x:v>
      </x:c>
      <x:c r="J799" t="str">
        <x:f>IF(E799&lt;&gt;TRUE,"",IF(H799&gt;M799,"W",IF(H799&lt;M799,"L","T")))</x:f>
      </x:c>
      <x:c r="K799" t="str">
        <x:v>Nevada Wolf Pack</x:v>
      </x:c>
      <x:c r="L799" t="str">
        <x:v>NEV</x:v>
      </x:c>
      <x:c r="M799" s="69" t="n">
        <x:v>0</x:v>
      </x:c>
      <x:c r="N799" t="str">
        <x:v>1-2</x:v>
      </x:c>
      <x:c r="O799" t="str">
        <x:f>IF(E799&lt;&gt;TRUE,"",IF(M799&gt;H799,"W",IF(M799&lt;H799,"L","T")))</x:f>
      </x:c>
      <x:c r="P799" s="66" t="b">
        <x:v>0</x:v>
      </x:c>
      <x:c r="Q799" s="66" t="b">
        <x:v>1</x:v>
      </x:c>
      <x:c r="R799" t="str">
        <x:v>Mackay Stadium</x:v>
      </x:c>
      <x:c r="S799" t="str"/>
      <x:c r="T799"/>
      <x:c r="U799" s="70"/>
      <x:c r="V799" s="70"/>
      <x:c r="W799"/>
      <x:c r="X799" t="str">
        <x:v>https://www.espn.com/college-football/game/_/gameId/401864541</x:v>
      </x:c>
    </x:row>
    <x:row r="800">
      <x:c r="A800" t="str">
        <x:v>CFB</x:v>
      </x:c>
      <x:c r="B800" t="n">
        <x:v>12</x:v>
      </x:c>
      <x:c r="C800" s="68" t="n">
        <x:v>46347.208333333336</x:v>
      </x:c>
      <x:c r="D800" s="71" t="str">
        <x:v>pre</x:v>
      </x:c>
      <x:c r="E800" s="72" t="b">
        <x:v>0</x:v>
      </x:c>
      <x:c r="F800" t="str">
        <x:v>UL Monroe Warhawks</x:v>
      </x:c>
      <x:c r="G800" t="str">
        <x:v>ULM</x:v>
      </x:c>
      <x:c r="H800" s="69" t="n">
        <x:v>0</x:v>
      </x:c>
      <x:c r="I800" t="str">
        <x:v>0-3</x:v>
      </x:c>
      <x:c r="J800" t="str">
        <x:f>IF(E800&lt;&gt;TRUE,"",IF(H800&gt;M800,"W",IF(H800&lt;M800,"L","T")))</x:f>
      </x:c>
      <x:c r="K800" t="str">
        <x:v>App State Mountaineers</x:v>
      </x:c>
      <x:c r="L800" t="str">
        <x:v>APP</x:v>
      </x:c>
      <x:c r="M800" s="69" t="n">
        <x:v>0</x:v>
      </x:c>
      <x:c r="N800" t="str">
        <x:v>3-0</x:v>
      </x:c>
      <x:c r="O800" t="str">
        <x:f>IF(E800&lt;&gt;TRUE,"",IF(M800&gt;H800,"W",IF(M800&lt;H800,"L","T")))</x:f>
      </x:c>
      <x:c r="P800" s="66" t="b">
        <x:v>0</x:v>
      </x:c>
      <x:c r="Q800" s="66" t="b">
        <x:v>1</x:v>
      </x:c>
      <x:c r="R800" t="str">
        <x:v>Kidd Brewer Stadium</x:v>
      </x:c>
      <x:c r="S800" t="str"/>
      <x:c r="T800"/>
      <x:c r="U800" s="70"/>
      <x:c r="V800" s="70"/>
      <x:c r="W800"/>
      <x:c r="X800" t="str">
        <x:v>https://www.espn.com/college-football/game/_/gameId/401869929</x:v>
      </x:c>
    </x:row>
    <x:row r="801">
      <x:c r="A801" t="str">
        <x:v>CFB</x:v>
      </x:c>
      <x:c r="B801" t="n">
        <x:v>12</x:v>
      </x:c>
      <x:c r="C801" s="68" t="n">
        <x:v>46347.208333333336</x:v>
      </x:c>
      <x:c r="D801" s="71" t="str">
        <x:v>pre</x:v>
      </x:c>
      <x:c r="E801" s="72" t="b">
        <x:v>0</x:v>
      </x:c>
      <x:c r="F801" t="str">
        <x:v>Arkansas State Red Wolves</x:v>
      </x:c>
      <x:c r="G801" t="str">
        <x:v>ARST</x:v>
      </x:c>
      <x:c r="H801" s="69" t="n">
        <x:v>0</x:v>
      </x:c>
      <x:c r="I801" t="str">
        <x:v>1-2</x:v>
      </x:c>
      <x:c r="J801" t="str">
        <x:f>IF(E801&lt;&gt;TRUE,"",IF(H801&gt;M801,"W",IF(H801&lt;M801,"L","T")))</x:f>
      </x:c>
      <x:c r="K801" t="str">
        <x:v>Louisiana Tech Bulldogs</x:v>
      </x:c>
      <x:c r="L801" t="str">
        <x:v>LT</x:v>
      </x:c>
      <x:c r="M801" s="69" t="n">
        <x:v>0</x:v>
      </x:c>
      <x:c r="N801" t="str">
        <x:v>1-2</x:v>
      </x:c>
      <x:c r="O801" t="str">
        <x:f>IF(E801&lt;&gt;TRUE,"",IF(M801&gt;H801,"W",IF(M801&lt;H801,"L","T")))</x:f>
      </x:c>
      <x:c r="P801" s="66" t="b">
        <x:v>0</x:v>
      </x:c>
      <x:c r="Q801" s="66" t="b">
        <x:v>1</x:v>
      </x:c>
      <x:c r="R801" t="str">
        <x:v>Joe Aillet Stadium</x:v>
      </x:c>
      <x:c r="S801" t="str"/>
      <x:c r="T801"/>
      <x:c r="U801" s="70"/>
      <x:c r="V801" s="70"/>
      <x:c r="W801"/>
      <x:c r="X801" t="str">
        <x:v>https://www.espn.com/college-football/game/_/gameId/401869938</x:v>
      </x:c>
    </x:row>
    <x:row r="802">
      <x:c r="A802" t="str">
        <x:v>CFB</x:v>
      </x:c>
      <x:c r="B802" t="n">
        <x:v>12</x:v>
      </x:c>
      <x:c r="C802" s="68" t="n">
        <x:v>46347.208333333336</x:v>
      </x:c>
      <x:c r="D802" s="71" t="str">
        <x:v>pre</x:v>
      </x:c>
      <x:c r="E802" s="72" t="b">
        <x:v>0</x:v>
      </x:c>
      <x:c r="F802" t="str">
        <x:v>Coastal Carolina Chanticleers</x:v>
      </x:c>
      <x:c r="G802" t="str">
        <x:v>CCU</x:v>
      </x:c>
      <x:c r="H802" s="69" t="n">
        <x:v>0</x:v>
      </x:c>
      <x:c r="I802" t="str">
        <x:v>1-2</x:v>
      </x:c>
      <x:c r="J802" t="str">
        <x:f>IF(E802&lt;&gt;TRUE,"",IF(H802&gt;M802,"W",IF(H802&lt;M802,"L","T")))</x:f>
      </x:c>
      <x:c r="K802" t="str">
        <x:v>Louisiana Ragin' Cajuns</x:v>
      </x:c>
      <x:c r="L802" t="str">
        <x:v>UL</x:v>
      </x:c>
      <x:c r="M802" s="69" t="n">
        <x:v>0</x:v>
      </x:c>
      <x:c r="N802" t="str">
        <x:v>2-1</x:v>
      </x:c>
      <x:c r="O802" t="str">
        <x:f>IF(E802&lt;&gt;TRUE,"",IF(M802&gt;H802,"W",IF(M802&lt;H802,"L","T")))</x:f>
      </x:c>
      <x:c r="P802" s="66" t="b">
        <x:v>0</x:v>
      </x:c>
      <x:c r="Q802" s="66" t="b">
        <x:v>1</x:v>
      </x:c>
      <x:c r="R802" t="str">
        <x:v>Our Lady of Lourdes Stadium</x:v>
      </x:c>
      <x:c r="S802" t="str"/>
      <x:c r="T802"/>
      <x:c r="U802" s="70"/>
      <x:c r="V802" s="70"/>
      <x:c r="W802"/>
      <x:c r="X802" t="str">
        <x:v>https://www.espn.com/college-football/game/_/gameId/401869946</x:v>
      </x:c>
    </x:row>
    <x:row r="803">
      <x:c r="A803" t="str">
        <x:v>CFB</x:v>
      </x:c>
      <x:c r="B803" t="n">
        <x:v>12</x:v>
      </x:c>
      <x:c r="C803" s="68" t="n">
        <x:v>46347.208333333336</x:v>
      </x:c>
      <x:c r="D803" s="71" t="str">
        <x:v>pre</x:v>
      </x:c>
      <x:c r="E803" s="72" t="b">
        <x:v>0</x:v>
      </x:c>
      <x:c r="F803" t="str">
        <x:v>Georgia Southern Eagles</x:v>
      </x:c>
      <x:c r="G803" t="str">
        <x:v>GASO</x:v>
      </x:c>
      <x:c r="H803" s="69" t="n">
        <x:v>0</x:v>
      </x:c>
      <x:c r="I803" t="str">
        <x:v>1-2</x:v>
      </x:c>
      <x:c r="J803" t="str">
        <x:f>IF(E803&lt;&gt;TRUE,"",IF(H803&gt;M803,"W",IF(H803&lt;M803,"L","T")))</x:f>
      </x:c>
      <x:c r="K803" t="str">
        <x:v>Troy Trojans</x:v>
      </x:c>
      <x:c r="L803" t="str">
        <x:v>TROY</x:v>
      </x:c>
      <x:c r="M803" s="69" t="n">
        <x:v>0</x:v>
      </x:c>
      <x:c r="N803" t="str">
        <x:v>2-1</x:v>
      </x:c>
      <x:c r="O803" t="str">
        <x:f>IF(E803&lt;&gt;TRUE,"",IF(M803&gt;H803,"W",IF(M803&lt;H803,"L","T")))</x:f>
      </x:c>
      <x:c r="P803" s="66" t="b">
        <x:v>0</x:v>
      </x:c>
      <x:c r="Q803" s="66" t="b">
        <x:v>1</x:v>
      </x:c>
      <x:c r="R803" t="str">
        <x:v>Veterans Memorial Stadium (AL)</x:v>
      </x:c>
      <x:c r="S803" t="str"/>
      <x:c r="T803"/>
      <x:c r="U803" s="70"/>
      <x:c r="V803" s="70"/>
      <x:c r="W803"/>
      <x:c r="X803" t="str">
        <x:v>https://www.espn.com/college-football/game/_/gameId/401869953</x:v>
      </x:c>
    </x:row>
    <x:row r="804">
      <x:c r="A804" t="str">
        <x:v>CFB</x:v>
      </x:c>
      <x:c r="B804" t="n">
        <x:v>12</x:v>
      </x:c>
      <x:c r="C804" s="68" t="n">
        <x:v>46347.208333333336</x:v>
      </x:c>
      <x:c r="D804" s="71" t="str">
        <x:v>pre</x:v>
      </x:c>
      <x:c r="E804" s="72" t="b">
        <x:v>0</x:v>
      </x:c>
      <x:c r="F804" t="str">
        <x:v>Georgia State Panthers</x:v>
      </x:c>
      <x:c r="G804" t="str">
        <x:v>GAST</x:v>
      </x:c>
      <x:c r="H804" s="69" t="n">
        <x:v>0</x:v>
      </x:c>
      <x:c r="I804" t="str">
        <x:v>2-1</x:v>
      </x:c>
      <x:c r="J804" t="str">
        <x:f>IF(E804&lt;&gt;TRUE,"",IF(H804&gt;M804,"W",IF(H804&lt;M804,"L","T")))</x:f>
      </x:c>
      <x:c r="K804" t="str">
        <x:v>Marshall Thundering Herd</x:v>
      </x:c>
      <x:c r="L804" t="str">
        <x:v>MRSH</x:v>
      </x:c>
      <x:c r="M804" s="69" t="n">
        <x:v>0</x:v>
      </x:c>
      <x:c r="N804" t="str">
        <x:v>2-1</x:v>
      </x:c>
      <x:c r="O804" t="str">
        <x:f>IF(E804&lt;&gt;TRUE,"",IF(M804&gt;H804,"W",IF(M804&lt;H804,"L","T")))</x:f>
      </x:c>
      <x:c r="P804" s="66" t="b">
        <x:v>0</x:v>
      </x:c>
      <x:c r="Q804" s="66" t="b">
        <x:v>1</x:v>
      </x:c>
      <x:c r="R804" t="str">
        <x:v>Joan C. Edwards Stadium</x:v>
      </x:c>
      <x:c r="S804" t="str"/>
      <x:c r="T804"/>
      <x:c r="U804" s="70"/>
      <x:c r="V804" s="70"/>
      <x:c r="W804"/>
      <x:c r="X804" t="str">
        <x:v>https://www.espn.com/college-football/game/_/gameId/401869958</x:v>
      </x:c>
    </x:row>
    <x:row r="805">
      <x:c r="A805" t="str">
        <x:v>CFB</x:v>
      </x:c>
      <x:c r="B805" t="n">
        <x:v>12</x:v>
      </x:c>
      <x:c r="C805" s="68" t="n">
        <x:v>46347.208333333336</x:v>
      </x:c>
      <x:c r="D805" s="71" t="str">
        <x:v>pre</x:v>
      </x:c>
      <x:c r="E805" s="72" t="b">
        <x:v>0</x:v>
      </x:c>
      <x:c r="F805" t="str">
        <x:v>South Alabama Jaguars</x:v>
      </x:c>
      <x:c r="G805" t="str">
        <x:v>USA</x:v>
      </x:c>
      <x:c r="H805" s="69" t="n">
        <x:v>0</x:v>
      </x:c>
      <x:c r="I805" t="str">
        <x:v>2-1</x:v>
      </x:c>
      <x:c r="J805" t="str">
        <x:f>IF(E805&lt;&gt;TRUE,"",IF(H805&gt;M805,"W",IF(H805&lt;M805,"L","T")))</x:f>
      </x:c>
      <x:c r="K805" t="str">
        <x:v>Southern Miss Golden Eagles</x:v>
      </x:c>
      <x:c r="L805" t="str">
        <x:v>USM</x:v>
      </x:c>
      <x:c r="M805" s="69" t="n">
        <x:v>0</x:v>
      </x:c>
      <x:c r="N805" t="str">
        <x:v>1-2</x:v>
      </x:c>
      <x:c r="O805" t="str">
        <x:f>IF(E805&lt;&gt;TRUE,"",IF(M805&gt;H805,"W",IF(M805&lt;H805,"L","T")))</x:f>
      </x:c>
      <x:c r="P805" s="66" t="b">
        <x:v>0</x:v>
      </x:c>
      <x:c r="Q805" s="66" t="b">
        <x:v>1</x:v>
      </x:c>
      <x:c r="R805" t="str">
        <x:v>M. M. Roberts Stadium</x:v>
      </x:c>
      <x:c r="S805" t="str"/>
      <x:c r="T805"/>
      <x:c r="U805" s="70"/>
      <x:c r="V805" s="70"/>
      <x:c r="W805"/>
      <x:c r="X805" t="str">
        <x:v>https://www.espn.com/college-football/game/_/gameId/401871101</x:v>
      </x:c>
    </x:row>
    <x:row r="806">
      <x:c r="A806" t="str">
        <x:v>CFB</x:v>
      </x:c>
      <x:c r="B806" t="n">
        <x:v>12</x:v>
      </x:c>
      <x:c r="C806" s="68" t="n">
        <x:v>46347.708333333336</x:v>
      </x:c>
      <x:c r="D806" s="71" t="str">
        <x:v>pre</x:v>
      </x:c>
      <x:c r="E806" s="72" t="b">
        <x:v>0</x:v>
      </x:c>
      <x:c r="F806" t="str">
        <x:v>Wofford Terriers</x:v>
      </x:c>
      <x:c r="G806" t="str">
        <x:v>WOF</x:v>
      </x:c>
      <x:c r="H806" s="69" t="n">
        <x:v>0</x:v>
      </x:c>
      <x:c r="I806" t="str">
        <x:v>2-2</x:v>
      </x:c>
      <x:c r="J806" t="str">
        <x:f>IF(E806&lt;&gt;TRUE,"",IF(H806&gt;M806,"W",IF(H806&lt;M806,"L","T")))</x:f>
      </x:c>
      <x:c r="K806" t="str">
        <x:v>Ole Miss Rebels</x:v>
      </x:c>
      <x:c r="L806" t="str">
        <x:v>MISS</x:v>
      </x:c>
      <x:c r="M806" s="69" t="n">
        <x:v>0</x:v>
      </x:c>
      <x:c r="N806" t="str">
        <x:v>3-0</x:v>
      </x:c>
      <x:c r="O806" t="str">
        <x:f>IF(E806&lt;&gt;TRUE,"",IF(M806&gt;H806,"W",IF(M806&lt;H806,"L","T")))</x:f>
      </x:c>
      <x:c r="P806" s="66" t="b">
        <x:v>0</x:v>
      </x:c>
      <x:c r="Q806" s="66" t="b">
        <x:v>0</x:v>
      </x:c>
      <x:c r="R806" t="str">
        <x:v>Vaught-Hemingway Stadium</x:v>
      </x:c>
      <x:c r="S806" t="str">
        <x:v>SECN+</x:v>
      </x:c>
      <x:c r="T806"/>
      <x:c r="U806" s="70"/>
      <x:c r="V806" s="70"/>
      <x:c r="W806"/>
      <x:c r="X806" t="str">
        <x:v>https://www.espn.com/college-football/game/_/gameId/401856749</x:v>
      </x:c>
    </x:row>
    <x:row r="807">
      <x:c r="A807" t="str">
        <x:v>CFB</x:v>
      </x:c>
      <x:c r="B807" t="n">
        <x:v>12</x:v>
      </x:c>
      <x:c r="C807" s="68" t="n">
        <x:v>46347.708333333336</x:v>
      </x:c>
      <x:c r="D807" s="71" t="str">
        <x:v>pre</x:v>
      </x:c>
      <x:c r="E807" s="72" t="b">
        <x:v>0</x:v>
      </x:c>
      <x:c r="F807" t="str">
        <x:v>East Carolina Pirates</x:v>
      </x:c>
      <x:c r="G807" t="str">
        <x:v>ECU</x:v>
      </x:c>
      <x:c r="H807" s="69" t="n">
        <x:v>0</x:v>
      </x:c>
      <x:c r="I807" t="str">
        <x:v>1-2</x:v>
      </x:c>
      <x:c r="J807" t="str">
        <x:f>IF(E807&lt;&gt;TRUE,"",IF(H807&gt;M807,"W",IF(H807&lt;M807,"L","T")))</x:f>
      </x:c>
      <x:c r="K807" t="str">
        <x:v>Army Black Knights</x:v>
      </x:c>
      <x:c r="L807" t="str">
        <x:v>ARMY</x:v>
      </x:c>
      <x:c r="M807" s="69" t="n">
        <x:v>0</x:v>
      </x:c>
      <x:c r="N807" t="str">
        <x:v>1-1</x:v>
      </x:c>
      <x:c r="O807" t="str">
        <x:f>IF(E807&lt;&gt;TRUE,"",IF(M807&gt;H807,"W",IF(M807&lt;H807,"L","T")))</x:f>
      </x:c>
      <x:c r="P807" s="66" t="b">
        <x:v>0</x:v>
      </x:c>
      <x:c r="Q807" s="66" t="b">
        <x:v>1</x:v>
      </x:c>
      <x:c r="R807" t="str">
        <x:v>Michie Stadium</x:v>
      </x:c>
      <x:c r="S807" t="str">
        <x:v>CBSSN</x:v>
      </x:c>
      <x:c r="T807"/>
      <x:c r="U807" s="70"/>
      <x:c r="V807" s="70"/>
      <x:c r="W807"/>
      <x:c r="X807" t="str">
        <x:v>https://www.espn.com/college-football/game/_/gameId/401862831</x:v>
      </x:c>
    </x:row>
    <x:row r="808">
      <x:c r="A808" t="str">
        <x:v>CFB</x:v>
      </x:c>
      <x:c r="B808" t="n">
        <x:v>12</x:v>
      </x:c>
      <x:c r="C808" s="68" t="n">
        <x:v>46347.708333333336</x:v>
      </x:c>
      <x:c r="D808" s="71" t="str">
        <x:v>pre</x:v>
      </x:c>
      <x:c r="E808" s="72" t="b">
        <x:v>0</x:v>
      </x:c>
      <x:c r="F808" t="str">
        <x:v>Memphis Tigers</x:v>
      </x:c>
      <x:c r="G808" t="str">
        <x:v>MEM</x:v>
      </x:c>
      <x:c r="H808" s="69" t="n">
        <x:v>0</x:v>
      </x:c>
      <x:c r="I808" t="str">
        <x:v>3-1</x:v>
      </x:c>
      <x:c r="J808" t="str">
        <x:f>IF(E808&lt;&gt;TRUE,"",IF(H808&gt;M808,"W",IF(H808&lt;M808,"L","T")))</x:f>
      </x:c>
      <x:c r="K808" t="str">
        <x:v>Navy Midshipmen</x:v>
      </x:c>
      <x:c r="L808" t="str">
        <x:v>NAVY</x:v>
      </x:c>
      <x:c r="M808" s="69" t="n">
        <x:v>0</x:v>
      </x:c>
      <x:c r="N808" t="str">
        <x:v>1-1</x:v>
      </x:c>
      <x:c r="O808" t="str">
        <x:f>IF(E808&lt;&gt;TRUE,"",IF(M808&gt;H808,"W",IF(M808&lt;H808,"L","T")))</x:f>
      </x:c>
      <x:c r="P808" s="66" t="b">
        <x:v>0</x:v>
      </x:c>
      <x:c r="Q808" s="66" t="b">
        <x:v>1</x:v>
      </x:c>
      <x:c r="R808" t="str">
        <x:v>Navy-Marine Corps Memorial Stadium</x:v>
      </x:c>
      <x:c r="S808" t="str"/>
      <x:c r="T808"/>
      <x:c r="U808" s="70"/>
      <x:c r="V808" s="70"/>
      <x:c r="W808"/>
      <x:c r="X808" t="str">
        <x:v>https://www.espn.com/college-football/game/_/gameId/401862834</x:v>
      </x:c>
    </x:row>
    <x:row r="809">
      <x:c r="A809" t="str">
        <x:v>CFB</x:v>
      </x:c>
      <x:c r="B809" t="n">
        <x:v>12</x:v>
      </x:c>
      <x:c r="C809" s="68" t="n">
        <x:v>46347.75</x:v>
      </x:c>
      <x:c r="D809" s="71" t="str">
        <x:v>pre</x:v>
      </x:c>
      <x:c r="E809" s="72" t="b">
        <x:v>0</x:v>
      </x:c>
      <x:c r="F809" t="str">
        <x:v>Tennessee Tech Golden Eagles</x:v>
      </x:c>
      <x:c r="G809" t="str">
        <x:v>TNTC</x:v>
      </x:c>
      <x:c r="H809" s="69" t="n">
        <x:v>0</x:v>
      </x:c>
      <x:c r="I809" t="str">
        <x:v>3-0</x:v>
      </x:c>
      <x:c r="J809" t="str">
        <x:f>IF(E809&lt;&gt;TRUE,"",IF(H809&gt;M809,"W",IF(H809&lt;M809,"L","T")))</x:f>
      </x:c>
      <x:c r="K809" t="str">
        <x:v>Mississippi State Bulldogs</x:v>
      </x:c>
      <x:c r="L809" t="str">
        <x:v>MSST</x:v>
      </x:c>
      <x:c r="M809" s="69" t="n">
        <x:v>0</x:v>
      </x:c>
      <x:c r="N809" t="str">
        <x:v>3-0</x:v>
      </x:c>
      <x:c r="O809" t="str">
        <x:f>IF(E809&lt;&gt;TRUE,"",IF(M809&gt;H809,"W",IF(M809&lt;H809,"L","T")))</x:f>
      </x:c>
      <x:c r="P809" s="66" t="b">
        <x:v>0</x:v>
      </x:c>
      <x:c r="Q809" s="66" t="b">
        <x:v>0</x:v>
      </x:c>
      <x:c r="R809" t="str">
        <x:v>Davis Wade Stadium</x:v>
      </x:c>
      <x:c r="S809" t="str">
        <x:v>SECN+</x:v>
      </x:c>
      <x:c r="T809"/>
      <x:c r="U809" s="70"/>
      <x:c r="V809" s="70"/>
      <x:c r="W809"/>
      <x:c r="X809" t="str">
        <x:v>https://www.espn.com/college-football/game/_/gameId/401856750</x:v>
      </x:c>
    </x:row>
    <x:row r="810">
      <x:c r="A810" t="str">
        <x:v>CFB</x:v>
      </x:c>
      <x:c r="B810" t="n">
        <x:v>12</x:v>
      </x:c>
      <x:c r="C810" s="68" t="n">
        <x:v>46347.75</x:v>
      </x:c>
      <x:c r="D810" s="71" t="str">
        <x:v>pre</x:v>
      </x:c>
      <x:c r="E810" s="72" t="b">
        <x:v>0</x:v>
      </x:c>
      <x:c r="F810" t="str">
        <x:v>Western Kentucky Hilltoppers</x:v>
      </x:c>
      <x:c r="G810" t="str">
        <x:v>WKU</x:v>
      </x:c>
      <x:c r="H810" s="69" t="n">
        <x:v>0</x:v>
      </x:c>
      <x:c r="I810" t="str">
        <x:v>0-3</x:v>
      </x:c>
      <x:c r="J810" t="str">
        <x:f>IF(E810&lt;&gt;TRUE,"",IF(H810&gt;M810,"W",IF(H810&lt;M810,"L","T")))</x:f>
      </x:c>
      <x:c r="K810" t="str">
        <x:v>Liberty Flames</x:v>
      </x:c>
      <x:c r="L810" t="str">
        <x:v>LIB</x:v>
      </x:c>
      <x:c r="M810" s="69" t="n">
        <x:v>0</x:v>
      </x:c>
      <x:c r="N810" t="str">
        <x:v>2-1</x:v>
      </x:c>
      <x:c r="O810" t="str">
        <x:f>IF(E810&lt;&gt;TRUE,"",IF(M810&gt;H810,"W",IF(M810&lt;H810,"L","T")))</x:f>
      </x:c>
      <x:c r="P810" s="66" t="b">
        <x:v>0</x:v>
      </x:c>
      <x:c r="Q810" s="66" t="b">
        <x:v>1</x:v>
      </x:c>
      <x:c r="R810" t="str">
        <x:v>Williams Stadium (VA)</x:v>
      </x:c>
      <x:c r="S810" t="str"/>
      <x:c r="T810"/>
      <x:c r="U810" s="70"/>
      <x:c r="V810" s="70"/>
      <x:c r="W810"/>
      <x:c r="X810" t="str">
        <x:v>https://www.espn.com/college-football/game/_/gameId/401871080</x:v>
      </x:c>
    </x:row>
    <x:row r="811">
      <x:c r="A811" t="str">
        <x:v>CFB</x:v>
      </x:c>
      <x:c r="B811" t="n">
        <x:v>12</x:v>
      </x:c>
      <x:c r="C811" s="68" t="n">
        <x:v>46347.791666666664</x:v>
      </x:c>
      <x:c r="D811" s="71" t="str">
        <x:v>pre</x:v>
      </x:c>
      <x:c r="E811" s="72" t="b">
        <x:v>0</x:v>
      </x:c>
      <x:c r="F811" t="str">
        <x:v>Chattanooga Mocs</x:v>
      </x:c>
      <x:c r="G811" t="str">
        <x:v>UTC</x:v>
      </x:c>
      <x:c r="H811" s="69" t="n">
        <x:v>0</x:v>
      </x:c>
      <x:c r="I811" t="str">
        <x:v>2-2</x:v>
      </x:c>
      <x:c r="J811" t="str">
        <x:f>IF(E811&lt;&gt;TRUE,"",IF(H811&gt;M811,"W",IF(H811&lt;M811,"L","T")))</x:f>
      </x:c>
      <x:c r="K811" t="str">
        <x:v>Alabama Crimson Tide</x:v>
      </x:c>
      <x:c r="L811" t="str">
        <x:v>ALA</x:v>
      </x:c>
      <x:c r="M811" s="69" t="n">
        <x:v>0</x:v>
      </x:c>
      <x:c r="N811" t="str">
        <x:v>3-0</x:v>
      </x:c>
      <x:c r="O811" t="str">
        <x:f>IF(E811&lt;&gt;TRUE,"",IF(M811&gt;H811,"W",IF(M811&lt;H811,"L","T")))</x:f>
      </x:c>
      <x:c r="P811" s="66" t="b">
        <x:v>0</x:v>
      </x:c>
      <x:c r="Q811" s="66" t="b">
        <x:v>0</x:v>
      </x:c>
      <x:c r="R811" t="str">
        <x:v>Bryant-Denny Stadium</x:v>
      </x:c>
      <x:c r="S811" t="str">
        <x:v>SECN+</x:v>
      </x:c>
      <x:c r="T811"/>
      <x:c r="U811" s="70"/>
      <x:c r="V811" s="70"/>
      <x:c r="W811"/>
      <x:c r="X811" t="str">
        <x:v>https://www.espn.com/college-football/game/_/gameId/401856746</x:v>
      </x:c>
    </x:row>
    <x:row r="812">
      <x:c r="A812" t="str">
        <x:v>CFB</x:v>
      </x:c>
      <x:c r="B812" t="n">
        <x:v>12</x:v>
      </x:c>
      <x:c r="C812" s="68" t="n">
        <x:v>46347.791666666664</x:v>
      </x:c>
      <x:c r="D812" s="71" t="str">
        <x:v>pre</x:v>
      </x:c>
      <x:c r="E812" s="72" t="b">
        <x:v>0</x:v>
      </x:c>
      <x:c r="F812" t="str">
        <x:v>Missouri State Bears</x:v>
      </x:c>
      <x:c r="G812" t="str">
        <x:v>MOST</x:v>
      </x:c>
      <x:c r="H812" s="69" t="n">
        <x:v>0</x:v>
      </x:c>
      <x:c r="I812" t="str">
        <x:v>1-2</x:v>
      </x:c>
      <x:c r="J812" t="str">
        <x:f>IF(E812&lt;&gt;TRUE,"",IF(H812&gt;M812,"W",IF(H812&lt;M812,"L","T")))</x:f>
      </x:c>
      <x:c r="K812" t="str">
        <x:v>Jacksonville State Gamecocks</x:v>
      </x:c>
      <x:c r="L812" t="str">
        <x:v>JXST</x:v>
      </x:c>
      <x:c r="M812" s="69" t="n">
        <x:v>0</x:v>
      </x:c>
      <x:c r="N812" t="str">
        <x:v>2-2</x:v>
      </x:c>
      <x:c r="O812" t="str">
        <x:f>IF(E812&lt;&gt;TRUE,"",IF(M812&gt;H812,"W",IF(M812&lt;H812,"L","T")))</x:f>
      </x:c>
      <x:c r="P812" s="66" t="b">
        <x:v>0</x:v>
      </x:c>
      <x:c r="Q812" s="66" t="b">
        <x:v>1</x:v>
      </x:c>
      <x:c r="R812" t="str">
        <x:v>AmFirst Stadium</x:v>
      </x:c>
      <x:c r="S812" t="str"/>
      <x:c r="T812"/>
      <x:c r="U812" s="70"/>
      <x:c r="V812" s="70"/>
      <x:c r="W812"/>
      <x:c r="X812" t="str">
        <x:v>https://www.espn.com/college-football/game/_/gameId/401871079</x:v>
      </x:c>
    </x:row>
    <x:row r="813">
      <x:c r="A813" t="str">
        <x:v>CFB</x:v>
      </x:c>
      <x:c r="B813" t="n">
        <x:v>12</x:v>
      </x:c>
      <x:c r="C813" s="68" t="n">
        <x:v>46347.791666666664</x:v>
      </x:c>
      <x:c r="D813" s="71" t="str">
        <x:v>pre</x:v>
      </x:c>
      <x:c r="E813" s="72" t="b">
        <x:v>0</x:v>
      </x:c>
      <x:c r="F813" t="str">
        <x:v>Middle Tennessee Blue Raiders</x:v>
      </x:c>
      <x:c r="G813" t="str">
        <x:v>MTSU</x:v>
      </x:c>
      <x:c r="H813" s="69" t="n">
        <x:v>0</x:v>
      </x:c>
      <x:c r="I813" t="str">
        <x:v>2-1</x:v>
      </x:c>
      <x:c r="J813" t="str">
        <x:f>IF(E813&lt;&gt;TRUE,"",IF(H813&gt;M813,"W",IF(H813&lt;M813,"L","T")))</x:f>
      </x:c>
      <x:c r="K813" t="str">
        <x:v>Sam Houston Bearkats</x:v>
      </x:c>
      <x:c r="L813" t="str">
        <x:v>SHSU</x:v>
      </x:c>
      <x:c r="M813" s="69" t="n">
        <x:v>0</x:v>
      </x:c>
      <x:c r="N813" t="str">
        <x:v>1-2</x:v>
      </x:c>
      <x:c r="O813" t="str">
        <x:f>IF(E813&lt;&gt;TRUE,"",IF(M813&gt;H813,"W",IF(M813&lt;H813,"L","T")))</x:f>
      </x:c>
      <x:c r="P813" s="66" t="b">
        <x:v>0</x:v>
      </x:c>
      <x:c r="Q813" s="66" t="b">
        <x:v>1</x:v>
      </x:c>
      <x:c r="R813" t="str">
        <x:v>Elliott T. Bowers Stadium</x:v>
      </x:c>
      <x:c r="S813" t="str"/>
      <x:c r="T813"/>
      <x:c r="U813" s="70"/>
      <x:c r="V813" s="70"/>
      <x:c r="W813"/>
      <x:c r="X813" t="str">
        <x:v>https://www.espn.com/college-football/game/_/gameId/401871081</x:v>
      </x:c>
    </x:row>
    <x:row r="814">
      <x:c r="A814" t="str">
        <x:v>CFB</x:v>
      </x:c>
      <x:c r="B814" t="n">
        <x:v>12</x:v>
      </x:c>
      <x:c r="C814" s="68" t="n">
        <x:v>46347.833333333336</x:v>
      </x:c>
      <x:c r="D814" s="71" t="str">
        <x:v>pre</x:v>
      </x:c>
      <x:c r="E814" s="72" t="b">
        <x:v>0</x:v>
      </x:c>
      <x:c r="F814" t="str">
        <x:v>Delaware Blue Hens</x:v>
      </x:c>
      <x:c r="G814" t="str">
        <x:v>DEL</x:v>
      </x:c>
      <x:c r="H814" s="69" t="n">
        <x:v>0</x:v>
      </x:c>
      <x:c r="I814" t="str">
        <x:v>2-1</x:v>
      </x:c>
      <x:c r="J814" t="str">
        <x:f>IF(E814&lt;&gt;TRUE,"",IF(H814&gt;M814,"W",IF(H814&lt;M814,"L","T")))</x:f>
      </x:c>
      <x:c r="K814" t="str">
        <x:v>New Mexico State Aggies</x:v>
      </x:c>
      <x:c r="L814" t="str">
        <x:v>NMSU</x:v>
      </x:c>
      <x:c r="M814" s="69" t="n">
        <x:v>0</x:v>
      </x:c>
      <x:c r="N814" t="str">
        <x:v>1-2</x:v>
      </x:c>
      <x:c r="O814" t="str">
        <x:f>IF(E814&lt;&gt;TRUE,"",IF(M814&gt;H814,"W",IF(M814&lt;H814,"L","T")))</x:f>
      </x:c>
      <x:c r="P814" s="66" t="b">
        <x:v>0</x:v>
      </x:c>
      <x:c r="Q814" s="66" t="b">
        <x:v>1</x:v>
      </x:c>
      <x:c r="R814" t="str">
        <x:v>Aggie Memorial Stadium</x:v>
      </x:c>
      <x:c r="S814" t="str"/>
      <x:c r="T814"/>
      <x:c r="U814" s="70"/>
      <x:c r="V814" s="70"/>
      <x:c r="W814"/>
      <x:c r="X814" t="str">
        <x:v>https://www.espn.com/college-football/game/_/gameId/401871077</x:v>
      </x:c>
    </x:row>
    <x:row r="815">
      <x:c r="A815" t="str">
        <x:v>CFB</x:v>
      </x:c>
      <x:c r="B815" t="n">
        <x:v>12</x:v>
      </x:c>
      <x:c r="C815" s="68" t="n">
        <x:v>46347.833333333336</x:v>
      </x:c>
      <x:c r="D815" s="71" t="str">
        <x:v>pre</x:v>
      </x:c>
      <x:c r="E815" s="72" t="b">
        <x:v>0</x:v>
      </x:c>
      <x:c r="F815" t="str">
        <x:v>Florida International Panthers</x:v>
      </x:c>
      <x:c r="G815" t="str">
        <x:v>FIU</x:v>
      </x:c>
      <x:c r="H815" s="69" t="n">
        <x:v>0</x:v>
      </x:c>
      <x:c r="I815" t="str">
        <x:v>1-2</x:v>
      </x:c>
      <x:c r="J815" t="str">
        <x:f>IF(E815&lt;&gt;TRUE,"",IF(H815&gt;M815,"W",IF(H815&lt;M815,"L","T")))</x:f>
      </x:c>
      <x:c r="K815" t="str">
        <x:v>Kennesaw State Owls</x:v>
      </x:c>
      <x:c r="L815" t="str">
        <x:v>KENN</x:v>
      </x:c>
      <x:c r="M815" s="69" t="n">
        <x:v>0</x:v>
      </x:c>
      <x:c r="N815" t="str">
        <x:v>1-2</x:v>
      </x:c>
      <x:c r="O815" t="str">
        <x:f>IF(E815&lt;&gt;TRUE,"",IF(M815&gt;H815,"W",IF(M815&lt;H815,"L","T")))</x:f>
      </x:c>
      <x:c r="P815" s="66" t="b">
        <x:v>0</x:v>
      </x:c>
      <x:c r="Q815" s="66" t="b">
        <x:v>1</x:v>
      </x:c>
      <x:c r="R815" t="str">
        <x:v>Walens Family Field at Fifth Third Stadium</x:v>
      </x:c>
      <x:c r="S815" t="str"/>
      <x:c r="T815"/>
      <x:c r="U815" s="70"/>
      <x:c r="V815" s="70"/>
      <x:c r="W815"/>
      <x:c r="X815" t="str">
        <x:v>https://www.espn.com/college-football/game/_/gameId/401871078</x:v>
      </x:c>
    </x:row>
    <x:row r="816">
      <x:c r="A816" t="str">
        <x:v>CFB</x:v>
      </x:c>
      <x:c r="B816" t="n">
        <x:v>12</x:v>
      </x:c>
      <x:c r="C816" s="68" t="n">
        <x:v>46347.854166666664</x:v>
      </x:c>
      <x:c r="D816" s="71" t="str">
        <x:v>pre</x:v>
      </x:c>
      <x:c r="E816" s="72" t="b">
        <x:v>0</x:v>
      </x:c>
      <x:c r="F816" t="str">
        <x:v>Samford Bulldogs</x:v>
      </x:c>
      <x:c r="G816" t="str">
        <x:v>SAM</x:v>
      </x:c>
      <x:c r="H816" s="69" t="n">
        <x:v>0</x:v>
      </x:c>
      <x:c r="I816" t="str">
        <x:v>0-3</x:v>
      </x:c>
      <x:c r="J816" t="str">
        <x:f>IF(E816&lt;&gt;TRUE,"",IF(H816&gt;M816,"W",IF(H816&lt;M816,"L","T")))</x:f>
      </x:c>
      <x:c r="K816" t="str">
        <x:v>Auburn Tigers</x:v>
      </x:c>
      <x:c r="L816" t="str">
        <x:v>AUB</x:v>
      </x:c>
      <x:c r="M816" s="69" t="n">
        <x:v>0</x:v>
      </x:c>
      <x:c r="N816" t="str">
        <x:v>2-1</x:v>
      </x:c>
      <x:c r="O816" t="str">
        <x:f>IF(E816&lt;&gt;TRUE,"",IF(M816&gt;H816,"W",IF(M816&lt;H816,"L","T")))</x:f>
      </x:c>
      <x:c r="P816" s="66" t="b">
        <x:v>0</x:v>
      </x:c>
      <x:c r="Q816" s="66" t="b">
        <x:v>0</x:v>
      </x:c>
      <x:c r="R816" t="str">
        <x:v>Jordan-Hare Stadium</x:v>
      </x:c>
      <x:c r="S816" t="str">
        <x:v>SECN+</x:v>
      </x:c>
      <x:c r="T816"/>
      <x:c r="U816" s="70"/>
      <x:c r="V816" s="70"/>
      <x:c r="W816"/>
      <x:c r="X816" t="str">
        <x:v>https://www.espn.com/college-football/game/_/gameId/401856747</x:v>
      </x:c>
    </x:row>
    <x:row r="817">
      <x:c r="A817" t="str">
        <x:v>CFB</x:v>
      </x:c>
      <x:c r="B817" t="n">
        <x:v>12</x:v>
      </x:c>
      <x:c r="C817" s="68" t="n">
        <x:v>46347.854166666664</x:v>
      </x:c>
      <x:c r="D817" s="71" t="str">
        <x:v>pre</x:v>
      </x:c>
      <x:c r="E817" s="72" t="b">
        <x:v>0</x:v>
      </x:c>
      <x:c r="F817" t="str">
        <x:v>Old Dominion Monarchs</x:v>
      </x:c>
      <x:c r="G817" t="str">
        <x:v>ODU</x:v>
      </x:c>
      <x:c r="H817" s="69" t="n">
        <x:v>0</x:v>
      </x:c>
      <x:c r="I817" t="str">
        <x:v>1-2</x:v>
      </x:c>
      <x:c r="J817" t="str">
        <x:f>IF(E817&lt;&gt;TRUE,"",IF(H817&gt;M817,"W",IF(H817&lt;M817,"L","T")))</x:f>
      </x:c>
      <x:c r="K817" t="str">
        <x:v>UConn Huskies</x:v>
      </x:c>
      <x:c r="L817" t="str">
        <x:v>CONN</x:v>
      </x:c>
      <x:c r="M817" s="69" t="n">
        <x:v>0</x:v>
      </x:c>
      <x:c r="N817" t="str">
        <x:v>2-1</x:v>
      </x:c>
      <x:c r="O817" t="str">
        <x:f>IF(E817&lt;&gt;TRUE,"",IF(M817&gt;H817,"W",IF(M817&lt;H817,"L","T")))</x:f>
      </x:c>
      <x:c r="P817" s="66" t="b">
        <x:v>0</x:v>
      </x:c>
      <x:c r="Q817" s="66" t="b">
        <x:v>0</x:v>
      </x:c>
      <x:c r="R817" t="str">
        <x:v>Pratt &amp; Whitney Stadium</x:v>
      </x:c>
      <x:c r="S817" t="str">
        <x:v>CBSSN</x:v>
      </x:c>
      <x:c r="T817"/>
      <x:c r="U817" s="70"/>
      <x:c r="V817" s="70"/>
      <x:c r="W817"/>
      <x:c r="X817" t="str">
        <x:v>https://www.espn.com/college-football/game/_/gameId/401861968</x:v>
      </x:c>
    </x:row>
    <x:row r="818">
      <x:c r="A818" t="str">
        <x:v>CFB</x:v>
      </x:c>
      <x:c r="B818" t="n">
        <x:v>12</x:v>
      </x:c>
      <x:c r="C818" s="68" t="n">
        <x:v>46347.875</x:v>
      </x:c>
      <x:c r="D818" s="71" t="str">
        <x:v>pre</x:v>
      </x:c>
      <x:c r="E818" s="72" t="b">
        <x:v>0</x:v>
      </x:c>
      <x:c r="F818" t="str">
        <x:v>Northern Illinois Huskies</x:v>
      </x:c>
      <x:c r="G818" t="str">
        <x:v>NIU</x:v>
      </x:c>
      <x:c r="H818" s="69" t="n">
        <x:v>0</x:v>
      </x:c>
      <x:c r="I818" t="str">
        <x:v>0-3</x:v>
      </x:c>
      <x:c r="J818" t="str">
        <x:f>IF(E818&lt;&gt;TRUE,"",IF(H818&gt;M818,"W",IF(H818&lt;M818,"L","T")))</x:f>
      </x:c>
      <x:c r="K818" t="str">
        <x:v>North Dakota State Bison</x:v>
      </x:c>
      <x:c r="L818" t="str">
        <x:v>NDSU</x:v>
      </x:c>
      <x:c r="M818" s="69" t="n">
        <x:v>0</x:v>
      </x:c>
      <x:c r="N818" t="str">
        <x:v>4-0</x:v>
      </x:c>
      <x:c r="O818" t="str">
        <x:f>IF(E818&lt;&gt;TRUE,"",IF(M818&gt;H818,"W",IF(M818&lt;H818,"L","T")))</x:f>
      </x:c>
      <x:c r="P818" s="66" t="b">
        <x:v>0</x:v>
      </x:c>
      <x:c r="Q818" s="66" t="b">
        <x:v>1</x:v>
      </x:c>
      <x:c r="R818" t="str">
        <x:v>Fargodome</x:v>
      </x:c>
      <x:c r="S818" t="str">
        <x:v>CW</x:v>
      </x:c>
      <x:c r="T818"/>
      <x:c r="U818" s="70"/>
      <x:c r="V818" s="70"/>
      <x:c r="W818"/>
      <x:c r="X818" t="str">
        <x:v>https://www.espn.com/college-football/game/_/gameId/401864543</x:v>
      </x:c>
    </x:row>
    <x:row r="819">
      <x:c r="A819" t="str">
        <x:v>CFB</x:v>
      </x:c>
      <x:c r="B819" t="n">
        <x:v>12</x:v>
      </x:c>
      <x:c r="C819" s="68" t="n">
        <x:v>46347.958333333336</x:v>
      </x:c>
      <x:c r="D819" s="71" t="str">
        <x:v>pre</x:v>
      </x:c>
      <x:c r="E819" s="72" t="b">
        <x:v>0</x:v>
      </x:c>
      <x:c r="F819" t="str">
        <x:v>Washington State Cougars</x:v>
      </x:c>
      <x:c r="G819" t="str">
        <x:v>WSU</x:v>
      </x:c>
      <x:c r="H819" s="69" t="n">
        <x:v>0</x:v>
      </x:c>
      <x:c r="I819" t="str">
        <x:v>1-2</x:v>
      </x:c>
      <x:c r="J819" t="str">
        <x:f>IF(E819&lt;&gt;TRUE,"",IF(H819&gt;M819,"W",IF(H819&lt;M819,"L","T")))</x:f>
      </x:c>
      <x:c r="K819" t="str">
        <x:v>Texas State Bobcats</x:v>
      </x:c>
      <x:c r="L819" t="str">
        <x:v>TXST</x:v>
      </x:c>
      <x:c r="M819" s="69" t="n">
        <x:v>0</x:v>
      </x:c>
      <x:c r="N819" t="str">
        <x:v>1-2</x:v>
      </x:c>
      <x:c r="O819" t="str">
        <x:f>IF(E819&lt;&gt;TRUE,"",IF(M819&gt;H819,"W",IF(M819&lt;H819,"L","T")))</x:f>
      </x:c>
      <x:c r="P819" s="66" t="b">
        <x:v>0</x:v>
      </x:c>
      <x:c r="Q819" s="66" t="b">
        <x:v>1</x:v>
      </x:c>
      <x:c r="R819" t="str">
        <x:v>UFCU Stadium</x:v>
      </x:c>
      <x:c r="S819" t="str">
        <x:v>USA Net</x:v>
      </x:c>
      <x:c r="T819"/>
      <x:c r="U819" s="70"/>
      <x:c r="V819" s="70"/>
      <x:c r="W819"/>
      <x:c r="X819" t="str">
        <x:v>https://www.espn.com/college-football/game/_/gameId/401860920</x:v>
      </x:c>
    </x:row>
    <x:row r="820">
      <x:c r="A820" t="str">
        <x:v>CFB</x:v>
      </x:c>
      <x:c r="B820" t="n">
        <x:v>12</x:v>
      </x:c>
      <x:c r="C820" s="68" t="n">
        <x:v>46348</x:v>
      </x:c>
      <x:c r="D820" s="71" t="str">
        <x:v>pre</x:v>
      </x:c>
      <x:c r="E820" s="72" t="b">
        <x:v>0</x:v>
      </x:c>
      <x:c r="F820" t="str">
        <x:v>UNLV Rebels</x:v>
      </x:c>
      <x:c r="G820" t="str">
        <x:v>UNLV</x:v>
      </x:c>
      <x:c r="H820" s="69" t="n">
        <x:v>0</x:v>
      </x:c>
      <x:c r="I820" t="str">
        <x:v>1-2</x:v>
      </x:c>
      <x:c r="J820" t="str">
        <x:f>IF(E820&lt;&gt;TRUE,"",IF(H820&gt;M820,"W",IF(H820&lt;M820,"L","T")))</x:f>
      </x:c>
      <x:c r="K820" t="str">
        <x:v>San José State Spartans</x:v>
      </x:c>
      <x:c r="L820" t="str">
        <x:v>SJSU</x:v>
      </x:c>
      <x:c r="M820" s="69" t="n">
        <x:v>0</x:v>
      </x:c>
      <x:c r="N820" t="str">
        <x:v>2-2</x:v>
      </x:c>
      <x:c r="O820" t="str">
        <x:f>IF(E820&lt;&gt;TRUE,"",IF(M820&gt;H820,"W",IF(M820&lt;H820,"L","T")))</x:f>
      </x:c>
      <x:c r="P820" s="66" t="b">
        <x:v>0</x:v>
      </x:c>
      <x:c r="Q820" s="66" t="b">
        <x:v>1</x:v>
      </x:c>
      <x:c r="R820" t="str">
        <x:v>CEFCU Stadium</x:v>
      </x:c>
      <x:c r="S820" t="str">
        <x:v>CBSSN</x:v>
      </x:c>
      <x:c r="T820"/>
      <x:c r="U820" s="70"/>
      <x:c r="V820" s="70"/>
      <x:c r="W820"/>
      <x:c r="X820" t="str">
        <x:v>https://www.espn.com/college-football/game/_/gameId/401864544</x:v>
      </x:c>
    </x:row>
    <x:row r="821">
      <x:c r="A821" t="str">
        <x:v>CFB</x:v>
      </x:c>
      <x:c r="B821" t="n">
        <x:v>12</x:v>
      </x:c>
      <x:c r="C821" s="68" t="n">
        <x:v>46348.020833333336</x:v>
      </x:c>
      <x:c r="D821" s="71" t="str">
        <x:v>pre</x:v>
      </x:c>
      <x:c r="E821" s="72" t="b">
        <x:v>0</x:v>
      </x:c>
      <x:c r="F821" t="str">
        <x:v>SMU Mustangs</x:v>
      </x:c>
      <x:c r="G821" t="str">
        <x:v>SMU</x:v>
      </x:c>
      <x:c r="H821" s="69" t="n">
        <x:v>0</x:v>
      </x:c>
      <x:c r="I821" t="str">
        <x:v>2-1</x:v>
      </x:c>
      <x:c r="J821" t="str">
        <x:f>IF(E821&lt;&gt;TRUE,"",IF(H821&gt;M821,"W",IF(H821&lt;M821,"L","T")))</x:f>
      </x:c>
      <x:c r="K821" t="str">
        <x:v>Notre Dame Fighting Irish</x:v>
      </x:c>
      <x:c r="L821" t="str">
        <x:v>ND</x:v>
      </x:c>
      <x:c r="M821" s="69" t="n">
        <x:v>0</x:v>
      </x:c>
      <x:c r="N821" t="str">
        <x:v>3-0</x:v>
      </x:c>
      <x:c r="O821" t="str">
        <x:f>IF(E821&lt;&gt;TRUE,"",IF(M821&gt;H821,"W",IF(M821&lt;H821,"L","T")))</x:f>
      </x:c>
      <x:c r="P821" s="66" t="b">
        <x:v>0</x:v>
      </x:c>
      <x:c r="Q821" s="66" t="b">
        <x:v>0</x:v>
      </x:c>
      <x:c r="R821" t="str">
        <x:v>Notre Dame Stadium</x:v>
      </x:c>
      <x:c r="S821" t="str">
        <x:v>NBC</x:v>
      </x:c>
      <x:c r="T821" t="str">
        <x:v>ND -17.5</x:v>
      </x:c>
      <x:c r="U821" s="70" t="n">
        <x:v>-17.5</x:v>
      </x:c>
      <x:c r="V821" s="70" t="n">
        <x:v>56.5</x:v>
      </x:c>
      <x:c r="W821" t="str">
        <x:v>DraftKings</x:v>
      </x:c>
      <x:c r="X821" t="str">
        <x:v>https://www.espn.com/college-football/game/_/gameId/401858307</x:v>
      </x:c>
    </x:row>
    <x:row r="822">
      <x:c r="A822" t="str">
        <x:v>CFB</x:v>
      </x:c>
      <x:c r="B822" t="n">
        <x:v>12</x:v>
      </x:c>
      <x:c r="C822" s="68" t="n">
        <x:v>46348.020833333336</x:v>
      </x:c>
      <x:c r="D822" s="71" t="str">
        <x:v>pre</x:v>
      </x:c>
      <x:c r="E822" s="72" t="b">
        <x:v>0</x:v>
      </x:c>
      <x:c r="F822" t="str">
        <x:v>Colorado State Rams</x:v>
      </x:c>
      <x:c r="G822" t="str">
        <x:v>CSU</x:v>
      </x:c>
      <x:c r="H822" s="69" t="n">
        <x:v>0</x:v>
      </x:c>
      <x:c r="I822" t="str">
        <x:v>2-1</x:v>
      </x:c>
      <x:c r="J822" t="str">
        <x:f>IF(E822&lt;&gt;TRUE,"",IF(H822&gt;M822,"W",IF(H822&lt;M822,"L","T")))</x:f>
      </x:c>
      <x:c r="K822" t="str">
        <x:v>Fresno State Bulldogs</x:v>
      </x:c>
      <x:c r="L822" t="str">
        <x:v>FRES</x:v>
      </x:c>
      <x:c r="M822" s="69" t="n">
        <x:v>0</x:v>
      </x:c>
      <x:c r="N822" t="str">
        <x:v>2-1</x:v>
      </x:c>
      <x:c r="O822" t="str">
        <x:f>IF(E822&lt;&gt;TRUE,"",IF(M822&gt;H822,"W",IF(M822&lt;H822,"L","T")))</x:f>
      </x:c>
      <x:c r="P822" s="66" t="b">
        <x:v>0</x:v>
      </x:c>
      <x:c r="Q822" s="66" t="b">
        <x:v>1</x:v>
      </x:c>
      <x:c r="R822" t="str">
        <x:v>Valley Children's Stadium</x:v>
      </x:c>
      <x:c r="S822" t="str">
        <x:v>CW</x:v>
      </x:c>
      <x:c r="T822"/>
      <x:c r="U822" s="70"/>
      <x:c r="V822" s="70"/>
      <x:c r="W822"/>
      <x:c r="X822" t="str">
        <x:v>https://www.espn.com/college-football/game/_/gameId/401860918</x:v>
      </x:c>
    </x:row>
    <x:row r="823">
      <x:c r="A823" t="str">
        <x:v>CFB</x:v>
      </x:c>
      <x:c r="B823" t="n">
        <x:v>12</x:v>
      </x:c>
      <x:c r="C823" s="68" t="n">
        <x:v>46348.083333333336</x:v>
      </x:c>
      <x:c r="D823" s="71" t="str">
        <x:v>pre</x:v>
      </x:c>
      <x:c r="E823" s="72" t="b">
        <x:v>0</x:v>
      </x:c>
      <x:c r="F823" t="str">
        <x:v>New Mexico Lobos</x:v>
      </x:c>
      <x:c r="G823" t="str">
        <x:v>UNM</x:v>
      </x:c>
      <x:c r="H823" s="69" t="n">
        <x:v>0</x:v>
      </x:c>
      <x:c r="I823" t="str">
        <x:v>2-1</x:v>
      </x:c>
      <x:c r="J823" t="str">
        <x:f>IF(E823&lt;&gt;TRUE,"",IF(H823&gt;M823,"W",IF(H823&lt;M823,"L","T")))</x:f>
      </x:c>
      <x:c r="K823" t="str">
        <x:v>Wyoming Cowboys</x:v>
      </x:c>
      <x:c r="L823" t="str">
        <x:v>WYO</x:v>
      </x:c>
      <x:c r="M823" s="69" t="n">
        <x:v>0</x:v>
      </x:c>
      <x:c r="N823" t="str">
        <x:v>1-2</x:v>
      </x:c>
      <x:c r="O823" t="str">
        <x:f>IF(E823&lt;&gt;TRUE,"",IF(M823&gt;H823,"W",IF(M823&lt;H823,"L","T")))</x:f>
      </x:c>
      <x:c r="P823" s="66" t="b">
        <x:v>0</x:v>
      </x:c>
      <x:c r="Q823" s="66" t="b">
        <x:v>1</x:v>
      </x:c>
      <x:c r="R823" t="str">
        <x:v>War Memorial Stadium</x:v>
      </x:c>
      <x:c r="S823" t="str">
        <x:v>FS1</x:v>
      </x:c>
      <x:c r="T823"/>
      <x:c r="U823" s="70"/>
      <x:c r="V823" s="70"/>
      <x:c r="W823"/>
      <x:c r="X823" t="str">
        <x:v>https://www.espn.com/college-football/game/_/gameId/401864542</x:v>
      </x:c>
    </x:row>
    <x:row r="824">
      <x:c r="A824" t="str">
        <x:v>CFB</x:v>
      </x:c>
      <x:c r="B824" t="n">
        <x:v>12</x:v>
      </x:c>
      <x:c r="C824" s="68" t="n">
        <x:v>46348.104166666664</x:v>
      </x:c>
      <x:c r="D824" s="71" t="str">
        <x:v>pre</x:v>
      </x:c>
      <x:c r="E824" s="72" t="b">
        <x:v>0</x:v>
      </x:c>
      <x:c r="F824" t="str">
        <x:v>San Diego State Aztecs</x:v>
      </x:c>
      <x:c r="G824" t="str">
        <x:v>SDSU</x:v>
      </x:c>
      <x:c r="H824" s="69" t="n">
        <x:v>0</x:v>
      </x:c>
      <x:c r="I824" t="str">
        <x:v>1-2</x:v>
      </x:c>
      <x:c r="J824" t="str">
        <x:f>IF(E824&lt;&gt;TRUE,"",IF(H824&gt;M824,"W",IF(H824&lt;M824,"L","T")))</x:f>
      </x:c>
      <x:c r="K824" t="str">
        <x:v>Boise State Broncos</x:v>
      </x:c>
      <x:c r="L824" t="str">
        <x:v>BOIS</x:v>
      </x:c>
      <x:c r="M824" s="69" t="n">
        <x:v>0</x:v>
      </x:c>
      <x:c r="N824" t="str">
        <x:v>2-1</x:v>
      </x:c>
      <x:c r="O824" t="str">
        <x:f>IF(E824&lt;&gt;TRUE,"",IF(M824&gt;H824,"W",IF(M824&lt;H824,"L","T")))</x:f>
      </x:c>
      <x:c r="P824" s="66" t="b">
        <x:v>0</x:v>
      </x:c>
      <x:c r="Q824" s="66" t="b">
        <x:v>1</x:v>
      </x:c>
      <x:c r="R824" t="str">
        <x:v>Albertsons Stadium</x:v>
      </x:c>
      <x:c r="S824" t="str">
        <x:v>USA Net</x:v>
      </x:c>
      <x:c r="T824"/>
      <x:c r="U824" s="70"/>
      <x:c r="V824" s="70"/>
      <x:c r="W824"/>
      <x:c r="X824" t="str">
        <x:v>https://www.espn.com/college-football/game/_/gameId/401860925</x:v>
      </x:c>
    </x:row>
    <x:row r="825">
      <x:c r="A825" t="str">
        <x:v>CFB</x:v>
      </x:c>
      <x:c r="B825" t="n">
        <x:v>12</x:v>
      </x:c>
      <x:c r="C825" s="68" t="n">
        <x:v>46348.145833333336</x:v>
      </x:c>
      <x:c r="D825" s="71" t="str">
        <x:v>pre</x:v>
      </x:c>
      <x:c r="E825" s="72" t="b">
        <x:v>0</x:v>
      </x:c>
      <x:c r="F825" t="str">
        <x:v>Utah State Aggies</x:v>
      </x:c>
      <x:c r="G825" t="str">
        <x:v>USU</x:v>
      </x:c>
      <x:c r="H825" s="69" t="n">
        <x:v>0</x:v>
      </x:c>
      <x:c r="I825" t="str">
        <x:v>0-3</x:v>
      </x:c>
      <x:c r="J825" t="str">
        <x:f>IF(E825&lt;&gt;TRUE,"",IF(H825&gt;M825,"W",IF(H825&lt;M825,"L","T")))</x:f>
      </x:c>
      <x:c r="K825" t="str">
        <x:v>Oregon State Beavers</x:v>
      </x:c>
      <x:c r="L825" t="str">
        <x:v>ORST</x:v>
      </x:c>
      <x:c r="M825" s="69" t="n">
        <x:v>0</x:v>
      </x:c>
      <x:c r="N825" t="str">
        <x:v>1-2</x:v>
      </x:c>
      <x:c r="O825" t="str">
        <x:f>IF(E825&lt;&gt;TRUE,"",IF(M825&gt;H825,"W",IF(M825&lt;H825,"L","T")))</x:f>
      </x:c>
      <x:c r="P825" s="66" t="b">
        <x:v>0</x:v>
      </x:c>
      <x:c r="Q825" s="66" t="b">
        <x:v>1</x:v>
      </x:c>
      <x:c r="R825" t="str">
        <x:v>Reser Stadium</x:v>
      </x:c>
      <x:c r="S825" t="str">
        <x:v>CBSSN</x:v>
      </x:c>
      <x:c r="T825"/>
      <x:c r="U825" s="70"/>
      <x:c r="V825" s="70"/>
      <x:c r="W825"/>
      <x:c r="X825" t="str">
        <x:v>https://www.espn.com/college-football/game/_/gameId/401860919</x:v>
      </x:c>
    </x:row>
    <x:row r="826">
      <x:c r="A826" t="str">
        <x:v>CFB</x:v>
      </x:c>
      <x:c r="B826" t="n">
        <x:v>13</x:v>
      </x:c>
      <x:c r="C826" s="68" t="n">
        <x:v>46350.208333333336</x:v>
      </x:c>
      <x:c r="D826" s="71" t="str">
        <x:v>pre</x:v>
      </x:c>
      <x:c r="E826" s="72" t="b">
        <x:v>0</x:v>
      </x:c>
      <x:c r="F826" t="str">
        <x:v>Miami (OH) RedHawks</x:v>
      </x:c>
      <x:c r="G826" t="str">
        <x:v>M-OH</x:v>
      </x:c>
      <x:c r="H826" s="69" t="n">
        <x:v>0</x:v>
      </x:c>
      <x:c r="I826" t="str">
        <x:v>1-2</x:v>
      </x:c>
      <x:c r="J826" t="str">
        <x:f>IF(E826&lt;&gt;TRUE,"",IF(H826&gt;M826,"W",IF(H826&lt;M826,"L","T")))</x:f>
      </x:c>
      <x:c r="K826" t="str">
        <x:v>Western Michigan Broncos</x:v>
      </x:c>
      <x:c r="L826" t="str">
        <x:v>WMU</x:v>
      </x:c>
      <x:c r="M826" s="69" t="n">
        <x:v>0</x:v>
      </x:c>
      <x:c r="N826" t="str">
        <x:v>2-1</x:v>
      </x:c>
      <x:c r="O826" t="str">
        <x:f>IF(E826&lt;&gt;TRUE,"",IF(M826&gt;H826,"W",IF(M826&lt;H826,"L","T")))</x:f>
      </x:c>
      <x:c r="P826" s="66" t="b">
        <x:v>0</x:v>
      </x:c>
      <x:c r="Q826" s="66" t="b">
        <x:v>1</x:v>
      </x:c>
      <x:c r="R826" t="str">
        <x:v>Waldo Stadium</x:v>
      </x:c>
      <x:c r="S826" t="str"/>
      <x:c r="T826"/>
      <x:c r="U826" s="70"/>
      <x:c r="V826" s="70"/>
      <x:c r="W826"/>
      <x:c r="X826" t="str">
        <x:v>https://www.espn.com/college-football/game/_/gameId/401866471</x:v>
      </x:c>
    </x:row>
    <x:row r="827">
      <x:c r="A827" t="str">
        <x:v>CFB</x:v>
      </x:c>
      <x:c r="B827" t="n">
        <x:v>13</x:v>
      </x:c>
      <x:c r="C827" s="68" t="n">
        <x:v>46351</x:v>
      </x:c>
      <x:c r="D827" s="71" t="str">
        <x:v>pre</x:v>
      </x:c>
      <x:c r="E827" s="72" t="b">
        <x:v>0</x:v>
      </x:c>
      <x:c r="F827" t="str">
        <x:v>Kent State Golden Flashes</x:v>
      </x:c>
      <x:c r="G827" t="str">
        <x:v>KENT</x:v>
      </x:c>
      <x:c r="H827" s="69" t="n">
        <x:v>0</x:v>
      </x:c>
      <x:c r="I827" t="str">
        <x:v>1-2</x:v>
      </x:c>
      <x:c r="J827" t="str">
        <x:f>IF(E827&lt;&gt;TRUE,"",IF(H827&gt;M827,"W",IF(H827&lt;M827,"L","T")))</x:f>
      </x:c>
      <x:c r="K827" t="str">
        <x:v>Eastern Michigan Eagles</x:v>
      </x:c>
      <x:c r="L827" t="str">
        <x:v>EMU</x:v>
      </x:c>
      <x:c r="M827" s="69" t="n">
        <x:v>0</x:v>
      </x:c>
      <x:c r="N827" t="str">
        <x:v>1-3</x:v>
      </x:c>
      <x:c r="O827" t="str">
        <x:f>IF(E827&lt;&gt;TRUE,"",IF(M827&gt;H827,"W",IF(M827&lt;H827,"L","T")))</x:f>
      </x:c>
      <x:c r="P827" s="66" t="b">
        <x:v>0</x:v>
      </x:c>
      <x:c r="Q827" s="66" t="b">
        <x:v>1</x:v>
      </x:c>
      <x:c r="R827" t="str">
        <x:v>Rynearson Stadium</x:v>
      </x:c>
      <x:c r="S827" t="str"/>
      <x:c r="T827"/>
      <x:c r="U827" s="70"/>
      <x:c r="V827" s="70"/>
      <x:c r="W827"/>
      <x:c r="X827" t="str">
        <x:v>https://www.espn.com/college-football/game/_/gameId/401866470</x:v>
      </x:c>
    </x:row>
    <x:row r="828">
      <x:c r="A828" t="str">
        <x:v>CFB</x:v>
      </x:c>
      <x:c r="B828" t="n">
        <x:v>13</x:v>
      </x:c>
      <x:c r="C828" s="68" t="n">
        <x:v>46353.041666666664</x:v>
      </x:c>
      <x:c r="D828" s="71" t="str">
        <x:v>pre</x:v>
      </x:c>
      <x:c r="E828" s="72" t="b">
        <x:v>0</x:v>
      </x:c>
      <x:c r="F828" t="str">
        <x:v>TCU Horned Frogs</x:v>
      </x:c>
      <x:c r="G828" t="str">
        <x:v>TCU</x:v>
      </x:c>
      <x:c r="H828" s="69" t="n">
        <x:v>0</x:v>
      </x:c>
      <x:c r="I828" t="str">
        <x:v>2-1</x:v>
      </x:c>
      <x:c r="J828" t="str">
        <x:f>IF(E828&lt;&gt;TRUE,"",IF(H828&gt;M828,"W",IF(H828&lt;M828,"L","T")))</x:f>
      </x:c>
      <x:c r="K828" t="str">
        <x:v>Texas Tech Red Raiders</x:v>
      </x:c>
      <x:c r="L828" t="str">
        <x:v>TTU</x:v>
      </x:c>
      <x:c r="M828" s="69" t="n">
        <x:v>0</x:v>
      </x:c>
      <x:c r="N828" t="str">
        <x:v>3-0</x:v>
      </x:c>
      <x:c r="O828" t="str">
        <x:f>IF(E828&lt;&gt;TRUE,"",IF(M828&gt;H828,"W",IF(M828&lt;H828,"L","T")))</x:f>
      </x:c>
      <x:c r="P828" s="66" t="b">
        <x:v>0</x:v>
      </x:c>
      <x:c r="Q828" s="66" t="b">
        <x:v>1</x:v>
      </x:c>
      <x:c r="R828" t="str">
        <x:v>Galaxy Stadium</x:v>
      </x:c>
      <x:c r="S828" t="str">
        <x:v>ESPN</x:v>
      </x:c>
      <x:c r="T828" t="str">
        <x:v>TTU -16.5</x:v>
      </x:c>
      <x:c r="U828" s="70" t="n">
        <x:v>-16.5</x:v>
      </x:c>
      <x:c r="V828" s="70" t="n">
        <x:v>55.5</x:v>
      </x:c>
      <x:c r="W828" t="str">
        <x:v>DraftKings</x:v>
      </x:c>
      <x:c r="X828" t="str">
        <x:v>https://www.espn.com/college-football/game/_/gameId/401856879</x:v>
      </x:c>
    </x:row>
    <x:row r="829">
      <x:c r="A829" t="str">
        <x:v>CFB</x:v>
      </x:c>
      <x:c r="B829" t="n">
        <x:v>13</x:v>
      </x:c>
      <x:c r="C829" s="68" t="n">
        <x:v>46353.208333333336</x:v>
      </x:c>
      <x:c r="D829" s="71" t="str">
        <x:v>pre</x:v>
      </x:c>
      <x:c r="E829" s="72" t="b">
        <x:v>0</x:v>
      </x:c>
      <x:c r="F829" t="str">
        <x:v>Florida Atlantic Owls</x:v>
      </x:c>
      <x:c r="G829" t="str">
        <x:v>FAU</x:v>
      </x:c>
      <x:c r="H829" s="69" t="n">
        <x:v>0</x:v>
      </x:c>
      <x:c r="I829" t="str">
        <x:v>2-1</x:v>
      </x:c>
      <x:c r="J829" t="str">
        <x:f>IF(E829&lt;&gt;TRUE,"",IF(H829&gt;M829,"W",IF(H829&lt;M829,"L","T")))</x:f>
      </x:c>
      <x:c r="K829" t="str">
        <x:v>East Carolina Pirates</x:v>
      </x:c>
      <x:c r="L829" t="str">
        <x:v>ECU</x:v>
      </x:c>
      <x:c r="M829" s="69" t="n">
        <x:v>0</x:v>
      </x:c>
      <x:c r="N829" t="str">
        <x:v>1-2</x:v>
      </x:c>
      <x:c r="O829" t="str">
        <x:f>IF(E829&lt;&gt;TRUE,"",IF(M829&gt;H829,"W",IF(M829&lt;H829,"L","T")))</x:f>
      </x:c>
      <x:c r="P829" s="66" t="b">
        <x:v>0</x:v>
      </x:c>
      <x:c r="Q829" s="66" t="b">
        <x:v>1</x:v>
      </x:c>
      <x:c r="R829" t="str">
        <x:v>Dowdy-Ficklen Stadium</x:v>
      </x:c>
      <x:c r="S829" t="str"/>
      <x:c r="T829"/>
      <x:c r="U829" s="70"/>
      <x:c r="V829" s="70"/>
      <x:c r="W829"/>
      <x:c r="X829" t="str">
        <x:v>https://www.espn.com/college-football/game/_/gameId/401862837</x:v>
      </x:c>
    </x:row>
    <x:row r="830">
      <x:c r="A830" t="str">
        <x:v>CFB</x:v>
      </x:c>
      <x:c r="B830" t="n">
        <x:v>13</x:v>
      </x:c>
      <x:c r="C830" s="68" t="n">
        <x:v>46353.208333333336</x:v>
      </x:c>
      <x:c r="D830" s="71" t="str">
        <x:v>pre</x:v>
      </x:c>
      <x:c r="E830" s="72" t="b">
        <x:v>0</x:v>
      </x:c>
      <x:c r="F830" t="str">
        <x:v>Temple Owls</x:v>
      </x:c>
      <x:c r="G830" t="str">
        <x:v>TEM</x:v>
      </x:c>
      <x:c r="H830" s="69" t="n">
        <x:v>0</x:v>
      </x:c>
      <x:c r="I830" t="str">
        <x:v>1-2</x:v>
      </x:c>
      <x:c r="J830" t="str">
        <x:f>IF(E830&lt;&gt;TRUE,"",IF(H830&gt;M830,"W",IF(H830&lt;M830,"L","T")))</x:f>
      </x:c>
      <x:c r="K830" t="str">
        <x:v>Memphis Tigers</x:v>
      </x:c>
      <x:c r="L830" t="str">
        <x:v>MEM</x:v>
      </x:c>
      <x:c r="M830" s="69" t="n">
        <x:v>0</x:v>
      </x:c>
      <x:c r="N830" t="str">
        <x:v>3-1</x:v>
      </x:c>
      <x:c r="O830" t="str">
        <x:f>IF(E830&lt;&gt;TRUE,"",IF(M830&gt;H830,"W",IF(M830&lt;H830,"L","T")))</x:f>
      </x:c>
      <x:c r="P830" s="66" t="b">
        <x:v>0</x:v>
      </x:c>
      <x:c r="Q830" s="66" t="b">
        <x:v>1</x:v>
      </x:c>
      <x:c r="R830" t="str">
        <x:v>Simmons Bank Liberty Stadium</x:v>
      </x:c>
      <x:c r="S830" t="str"/>
      <x:c r="T830"/>
      <x:c r="U830" s="70"/>
      <x:c r="V830" s="70"/>
      <x:c r="W830"/>
      <x:c r="X830" t="str">
        <x:v>https://www.espn.com/college-football/game/_/gameId/401862838</x:v>
      </x:c>
    </x:row>
    <x:row r="831">
      <x:c r="A831" t="str">
        <x:v>CFB</x:v>
      </x:c>
      <x:c r="B831" t="n">
        <x:v>13</x:v>
      </x:c>
      <x:c r="C831" s="68" t="n">
        <x:v>46353.208333333336</x:v>
      </x:c>
      <x:c r="D831" s="71" t="str">
        <x:v>pre</x:v>
      </x:c>
      <x:c r="E831" s="72" t="b">
        <x:v>0</x:v>
      </x:c>
      <x:c r="F831" t="str">
        <x:v>Tulane Green Wave</x:v>
      </x:c>
      <x:c r="G831" t="str">
        <x:v>TULN</x:v>
      </x:c>
      <x:c r="H831" s="69" t="n">
        <x:v>0</x:v>
      </x:c>
      <x:c r="I831" t="str">
        <x:v>1-2</x:v>
      </x:c>
      <x:c r="J831" t="str">
        <x:f>IF(E831&lt;&gt;TRUE,"",IF(H831&gt;M831,"W",IF(H831&lt;M831,"L","T")))</x:f>
      </x:c>
      <x:c r="K831" t="str">
        <x:v>South Florida Bulls</x:v>
      </x:c>
      <x:c r="L831" t="str">
        <x:v>USF</x:v>
      </x:c>
      <x:c r="M831" s="69" t="n">
        <x:v>0</x:v>
      </x:c>
      <x:c r="N831" t="str">
        <x:v>3-0</x:v>
      </x:c>
      <x:c r="O831" t="str">
        <x:f>IF(E831&lt;&gt;TRUE,"",IF(M831&gt;H831,"W",IF(M831&lt;H831,"L","T")))</x:f>
      </x:c>
      <x:c r="P831" s="66" t="b">
        <x:v>0</x:v>
      </x:c>
      <x:c r="Q831" s="66" t="b">
        <x:v>1</x:v>
      </x:c>
      <x:c r="R831" t="str">
        <x:v>Raymond James Stadium</x:v>
      </x:c>
      <x:c r="S831" t="str"/>
      <x:c r="T831"/>
      <x:c r="U831" s="70"/>
      <x:c r="V831" s="70"/>
      <x:c r="W831"/>
      <x:c r="X831" t="str">
        <x:v>https://www.espn.com/college-football/game/_/gameId/401862839</x:v>
      </x:c>
    </x:row>
    <x:row r="832">
      <x:c r="A832" t="str">
        <x:v>CFB</x:v>
      </x:c>
      <x:c r="B832" t="n">
        <x:v>13</x:v>
      </x:c>
      <x:c r="C832" s="68" t="n">
        <x:v>46353.708333333336</x:v>
      </x:c>
      <x:c r="D832" s="71" t="str">
        <x:v>pre</x:v>
      </x:c>
      <x:c r="E832" s="72" t="b">
        <x:v>0</x:v>
      </x:c>
      <x:c r="F832" t="str">
        <x:v>Mississippi State Bulldogs</x:v>
      </x:c>
      <x:c r="G832" t="str">
        <x:v>MSST</x:v>
      </x:c>
      <x:c r="H832" s="69" t="n">
        <x:v>0</x:v>
      </x:c>
      <x:c r="I832" t="str">
        <x:v>3-0</x:v>
      </x:c>
      <x:c r="J832" t="str">
        <x:f>IF(E832&lt;&gt;TRUE,"",IF(H832&gt;M832,"W",IF(H832&lt;M832,"L","T")))</x:f>
      </x:c>
      <x:c r="K832" t="str">
        <x:v>Ole Miss Rebels</x:v>
      </x:c>
      <x:c r="L832" t="str">
        <x:v>MISS</x:v>
      </x:c>
      <x:c r="M832" s="69" t="n">
        <x:v>0</x:v>
      </x:c>
      <x:c r="N832" t="str">
        <x:v>3-0</x:v>
      </x:c>
      <x:c r="O832" t="str">
        <x:f>IF(E832&lt;&gt;TRUE,"",IF(M832&gt;H832,"W",IF(M832&lt;H832,"L","T")))</x:f>
      </x:c>
      <x:c r="P832" s="66" t="b">
        <x:v>0</x:v>
      </x:c>
      <x:c r="Q832" s="66" t="b">
        <x:v>1</x:v>
      </x:c>
      <x:c r="R832" t="str">
        <x:v>Vaught-Hemingway Stadium</x:v>
      </x:c>
      <x:c r="S832" t="str">
        <x:v>ABC</x:v>
      </x:c>
      <x:c r="T832" t="str">
        <x:v>MISS -14.5</x:v>
      </x:c>
      <x:c r="U832" s="70" t="n">
        <x:v>-14.5</x:v>
      </x:c>
      <x:c r="V832" s="70" t="n">
        <x:v>57.5</x:v>
      </x:c>
      <x:c r="W832" t="str">
        <x:v>DraftKings</x:v>
      </x:c>
      <x:c r="X832" t="str">
        <x:v>https://www.espn.com/college-football/game/_/gameId/401856762</x:v>
      </x:c>
    </x:row>
    <x:row r="833">
      <x:c r="A833" t="str">
        <x:v>CFB</x:v>
      </x:c>
      <x:c r="B833" t="n">
        <x:v>13</x:v>
      </x:c>
      <x:c r="C833" s="68" t="n">
        <x:v>46353.708333333336</x:v>
      </x:c>
      <x:c r="D833" s="71" t="str">
        <x:v>pre</x:v>
      </x:c>
      <x:c r="E833" s="72" t="b">
        <x:v>0</x:v>
      </x:c>
      <x:c r="F833" t="str">
        <x:v>Nebraska Cornhuskers</x:v>
      </x:c>
      <x:c r="G833" t="str">
        <x:v>NEB</x:v>
      </x:c>
      <x:c r="H833" s="69" t="n">
        <x:v>0</x:v>
      </x:c>
      <x:c r="I833" t="str">
        <x:v>3-0</x:v>
      </x:c>
      <x:c r="J833" t="str">
        <x:f>IF(E833&lt;&gt;TRUE,"",IF(H833&gt;M833,"W",IF(H833&lt;M833,"L","T")))</x:f>
      </x:c>
      <x:c r="K833" t="str">
        <x:v>Iowa Hawkeyes</x:v>
      </x:c>
      <x:c r="L833" t="str">
        <x:v>IOWA</x:v>
      </x:c>
      <x:c r="M833" s="69" t="n">
        <x:v>0</x:v>
      </x:c>
      <x:c r="N833" t="str">
        <x:v>3-0</x:v>
      </x:c>
      <x:c r="O833" t="str">
        <x:f>IF(E833&lt;&gt;TRUE,"",IF(M833&gt;H833,"W",IF(M833&lt;H833,"L","T")))</x:f>
      </x:c>
      <x:c r="P833" s="66" t="b">
        <x:v>0</x:v>
      </x:c>
      <x:c r="Q833" s="66" t="b">
        <x:v>1</x:v>
      </x:c>
      <x:c r="R833" t="str">
        <x:v>Kinnick Stadium</x:v>
      </x:c>
      <x:c r="S833" t="str">
        <x:v>CBS</x:v>
      </x:c>
      <x:c r="T833"/>
      <x:c r="U833" s="70"/>
      <x:c r="V833" s="70"/>
      <x:c r="W833"/>
      <x:c r="X833" t="str">
        <x:v>https://www.espn.com/college-football/game/_/gameId/401858536</x:v>
      </x:c>
    </x:row>
    <x:row r="834">
      <x:c r="A834" t="str">
        <x:v>CFB</x:v>
      </x:c>
      <x:c r="B834" t="n">
        <x:v>13</x:v>
      </x:c>
      <x:c r="C834" s="68" t="n">
        <x:v>46353.708333333336</x:v>
      </x:c>
      <x:c r="D834" s="71" t="str">
        <x:v>pre</x:v>
      </x:c>
      <x:c r="E834" s="72" t="b">
        <x:v>0</x:v>
      </x:c>
      <x:c r="F834" t="str">
        <x:v>Buffalo Bulls</x:v>
      </x:c>
      <x:c r="G834" t="str">
        <x:v>BUFF</x:v>
      </x:c>
      <x:c r="H834" s="69" t="n">
        <x:v>0</x:v>
      </x:c>
      <x:c r="I834" t="str">
        <x:v>1-2</x:v>
      </x:c>
      <x:c r="J834" t="str">
        <x:f>IF(E834&lt;&gt;TRUE,"",IF(H834&gt;M834,"W",IF(H834&lt;M834,"L","T")))</x:f>
      </x:c>
      <x:c r="K834" t="str">
        <x:v>Akron Zips</x:v>
      </x:c>
      <x:c r="L834" t="str">
        <x:v>AKR</x:v>
      </x:c>
      <x:c r="M834" s="69" t="n">
        <x:v>0</x:v>
      </x:c>
      <x:c r="N834" t="str">
        <x:v>1-2</x:v>
      </x:c>
      <x:c r="O834" t="str">
        <x:f>IF(E834&lt;&gt;TRUE,"",IF(M834&gt;H834,"W",IF(M834&lt;H834,"L","T")))</x:f>
      </x:c>
      <x:c r="P834" s="66" t="b">
        <x:v>0</x:v>
      </x:c>
      <x:c r="Q834" s="66" t="b">
        <x:v>1</x:v>
      </x:c>
      <x:c r="R834" t="str">
        <x:v>InfoCision Stadium</x:v>
      </x:c>
      <x:c r="S834" t="str"/>
      <x:c r="T834"/>
      <x:c r="U834" s="70"/>
      <x:c r="V834" s="70"/>
      <x:c r="W834"/>
      <x:c r="X834" t="str">
        <x:v>https://www.espn.com/college-football/game/_/gameId/401866472</x:v>
      </x:c>
    </x:row>
    <x:row r="835">
      <x:c r="A835" t="str">
        <x:v>CFB</x:v>
      </x:c>
      <x:c r="B835" t="n">
        <x:v>13</x:v>
      </x:c>
      <x:c r="C835" s="68" t="n">
        <x:v>46353.708333333336</x:v>
      </x:c>
      <x:c r="D835" s="71" t="str">
        <x:v>pre</x:v>
      </x:c>
      <x:c r="E835" s="72" t="b">
        <x:v>0</x:v>
      </x:c>
      <x:c r="F835" t="str">
        <x:v>Toledo Rockets</x:v>
      </x:c>
      <x:c r="G835" t="str">
        <x:v>TOL</x:v>
      </x:c>
      <x:c r="H835" s="69" t="n">
        <x:v>0</x:v>
      </x:c>
      <x:c r="I835" t="str">
        <x:v>2-1</x:v>
      </x:c>
      <x:c r="J835" t="str">
        <x:f>IF(E835&lt;&gt;TRUE,"",IF(H835&gt;M835,"W",IF(H835&lt;M835,"L","T")))</x:f>
      </x:c>
      <x:c r="K835" t="str">
        <x:v>Ohio Bobcats</x:v>
      </x:c>
      <x:c r="L835" t="str">
        <x:v>OHIO</x:v>
      </x:c>
      <x:c r="M835" s="69" t="n">
        <x:v>0</x:v>
      </x:c>
      <x:c r="N835" t="str">
        <x:v>1-2</x:v>
      </x:c>
      <x:c r="O835" t="str">
        <x:f>IF(E835&lt;&gt;TRUE,"",IF(M835&gt;H835,"W",IF(M835&lt;H835,"L","T")))</x:f>
      </x:c>
      <x:c r="P835" s="66" t="b">
        <x:v>0</x:v>
      </x:c>
      <x:c r="Q835" s="66" t="b">
        <x:v>1</x:v>
      </x:c>
      <x:c r="R835" t="str">
        <x:v>Peden Stadium</x:v>
      </x:c>
      <x:c r="S835" t="str"/>
      <x:c r="T835"/>
      <x:c r="U835" s="70"/>
      <x:c r="V835" s="70"/>
      <x:c r="W835"/>
      <x:c r="X835" t="str">
        <x:v>https://www.espn.com/college-football/game/_/gameId/401866473</x:v>
      </x:c>
    </x:row>
    <x:row r="836">
      <x:c r="A836" t="str">
        <x:v>CFB</x:v>
      </x:c>
      <x:c r="B836" t="n">
        <x:v>13</x:v>
      </x:c>
      <x:c r="C836" s="68" t="n">
        <x:v>46353.833333333336</x:v>
      </x:c>
      <x:c r="D836" s="71" t="str">
        <x:v>pre</x:v>
      </x:c>
      <x:c r="E836" s="72" t="b">
        <x:v>0</x:v>
      </x:c>
      <x:c r="F836" t="str">
        <x:v>App State Mountaineers</x:v>
      </x:c>
      <x:c r="G836" t="str">
        <x:v>APP</x:v>
      </x:c>
      <x:c r="H836" s="69" t="n">
        <x:v>0</x:v>
      </x:c>
      <x:c r="I836" t="str">
        <x:v>3-0</x:v>
      </x:c>
      <x:c r="J836" t="str">
        <x:f>IF(E836&lt;&gt;TRUE,"",IF(H836&gt;M836,"W",IF(H836&lt;M836,"L","T")))</x:f>
      </x:c>
      <x:c r="K836" t="str">
        <x:v>South Alabama Jaguars</x:v>
      </x:c>
      <x:c r="L836" t="str">
        <x:v>USA</x:v>
      </x:c>
      <x:c r="M836" s="69" t="n">
        <x:v>0</x:v>
      </x:c>
      <x:c r="N836" t="str">
        <x:v>2-1</x:v>
      </x:c>
      <x:c r="O836" t="str">
        <x:f>IF(E836&lt;&gt;TRUE,"",IF(M836&gt;H836,"W",IF(M836&lt;H836,"L","T")))</x:f>
      </x:c>
      <x:c r="P836" s="66" t="b">
        <x:v>0</x:v>
      </x:c>
      <x:c r="Q836" s="66" t="b">
        <x:v>1</x:v>
      </x:c>
      <x:c r="R836" t="str">
        <x:v>Hancock Whitney Stadium</x:v>
      </x:c>
      <x:c r="S836" t="str">
        <x:v>ESPN+</x:v>
      </x:c>
      <x:c r="T836"/>
      <x:c r="U836" s="70"/>
      <x:c r="V836" s="70"/>
      <x:c r="W836"/>
      <x:c r="X836" t="str">
        <x:v>https://www.espn.com/college-football/game/_/gameId/401869930</x:v>
      </x:c>
    </x:row>
    <x:row r="837">
      <x:c r="A837" t="str">
        <x:v>CFB</x:v>
      </x:c>
      <x:c r="B837" t="n">
        <x:v>13</x:v>
      </x:c>
      <x:c r="C837" s="68" t="n">
        <x:v>46353.854166666664</x:v>
      </x:c>
      <x:c r="D837" s="71" t="str">
        <x:v>pre</x:v>
      </x:c>
      <x:c r="E837" s="72" t="b">
        <x:v>0</x:v>
      </x:c>
      <x:c r="F837" t="str">
        <x:v>Florida Gators</x:v>
      </x:c>
      <x:c r="G837" t="str">
        <x:v>FLA</x:v>
      </x:c>
      <x:c r="H837" s="69" t="n">
        <x:v>0</x:v>
      </x:c>
      <x:c r="I837" t="str">
        <x:v>3-0</x:v>
      </x:c>
      <x:c r="J837" t="str">
        <x:f>IF(E837&lt;&gt;TRUE,"",IF(H837&gt;M837,"W",IF(H837&lt;M837,"L","T")))</x:f>
      </x:c>
      <x:c r="K837" t="str">
        <x:v>Florida State Seminoles</x:v>
      </x:c>
      <x:c r="L837" t="str">
        <x:v>FSU</x:v>
      </x:c>
      <x:c r="M837" s="69" t="n">
        <x:v>0</x:v>
      </x:c>
      <x:c r="N837" t="str">
        <x:v>1-2</x:v>
      </x:c>
      <x:c r="O837" t="str">
        <x:f>IF(E837&lt;&gt;TRUE,"",IF(M837&gt;H837,"W",IF(M837&lt;H837,"L","T")))</x:f>
      </x:c>
      <x:c r="P837" s="66" t="b">
        <x:v>0</x:v>
      </x:c>
      <x:c r="Q837" s="66" t="b">
        <x:v>0</x:v>
      </x:c>
      <x:c r="R837" t="str">
        <x:v>Doak Campbell Stadium</x:v>
      </x:c>
      <x:c r="S837" t="str">
        <x:v>ABC</x:v>
      </x:c>
      <x:c r="T837" t="str">
        <x:v>FLA -4.5</x:v>
      </x:c>
      <x:c r="U837" s="70" t="n">
        <x:v>4.5</x:v>
      </x:c>
      <x:c r="V837" s="70" t="n">
        <x:v>52.5</x:v>
      </x:c>
      <x:c r="W837" t="str">
        <x:v>DraftKings</x:v>
      </x:c>
      <x:c r="X837" t="str">
        <x:v>https://www.espn.com/college-football/game/_/gameId/401856759</x:v>
      </x:c>
    </x:row>
    <x:row r="838">
      <x:c r="A838" t="str">
        <x:v>CFB</x:v>
      </x:c>
      <x:c r="B838" t="n">
        <x:v>13</x:v>
      </x:c>
      <x:c r="C838" s="68" t="n">
        <x:v>46353.854166666664</x:v>
      </x:c>
      <x:c r="D838" s="71" t="str">
        <x:v>pre</x:v>
      </x:c>
      <x:c r="E838" s="72" t="b">
        <x:v>0</x:v>
      </x:c>
      <x:c r="F838" t="str">
        <x:v>North Dakota State Bison</x:v>
      </x:c>
      <x:c r="G838" t="str">
        <x:v>NDSU</x:v>
      </x:c>
      <x:c r="H838" s="69" t="n">
        <x:v>0</x:v>
      </x:c>
      <x:c r="I838" t="str">
        <x:v>4-0</x:v>
      </x:c>
      <x:c r="J838" t="str">
        <x:f>IF(E838&lt;&gt;TRUE,"",IF(H838&gt;M838,"W",IF(H838&lt;M838,"L","T")))</x:f>
      </x:c>
      <x:c r="K838" t="str">
        <x:v>San José State Spartans</x:v>
      </x:c>
      <x:c r="L838" t="str">
        <x:v>SJSU</x:v>
      </x:c>
      <x:c r="M838" s="69" t="n">
        <x:v>0</x:v>
      </x:c>
      <x:c r="N838" t="str">
        <x:v>2-2</x:v>
      </x:c>
      <x:c r="O838" t="str">
        <x:f>IF(E838&lt;&gt;TRUE,"",IF(M838&gt;H838,"W",IF(M838&lt;H838,"L","T")))</x:f>
      </x:c>
      <x:c r="P838" s="66" t="b">
        <x:v>0</x:v>
      </x:c>
      <x:c r="Q838" s="66" t="b">
        <x:v>1</x:v>
      </x:c>
      <x:c r="R838" t="str">
        <x:v>CEFCU Stadium</x:v>
      </x:c>
      <x:c r="S838" t="str">
        <x:v>CBSSN</x:v>
      </x:c>
      <x:c r="T838"/>
      <x:c r="U838" s="70"/>
      <x:c r="V838" s="70"/>
      <x:c r="W838"/>
      <x:c r="X838" t="str">
        <x:v>https://www.espn.com/college-football/game/_/gameId/401864549</x:v>
      </x:c>
    </x:row>
    <x:row r="839">
      <x:c r="A839" t="str">
        <x:v>CFB</x:v>
      </x:c>
      <x:c r="B839" t="n">
        <x:v>13</x:v>
      </x:c>
      <x:c r="C839" s="68" t="n">
        <x:v>46354.020833333336</x:v>
      </x:c>
      <x:c r="D839" s="71" t="str">
        <x:v>pre</x:v>
      </x:c>
      <x:c r="E839" s="72" t="b">
        <x:v>0</x:v>
      </x:c>
      <x:c r="F839" t="str">
        <x:v>Texas Longhorns</x:v>
      </x:c>
      <x:c r="G839" t="str">
        <x:v>TEX</x:v>
      </x:c>
      <x:c r="H839" s="69" t="n">
        <x:v>0</x:v>
      </x:c>
      <x:c r="I839" t="str">
        <x:v>3-0</x:v>
      </x:c>
      <x:c r="J839" t="str">
        <x:f>IF(E839&lt;&gt;TRUE,"",IF(H839&gt;M839,"W",IF(H839&lt;M839,"L","T")))</x:f>
      </x:c>
      <x:c r="K839" t="str">
        <x:v>Texas A&amp;M Aggies</x:v>
      </x:c>
      <x:c r="L839" t="str">
        <x:v>TA&amp;M</x:v>
      </x:c>
      <x:c r="M839" s="69" t="n">
        <x:v>0</x:v>
      </x:c>
      <x:c r="N839" t="str">
        <x:v>2-1</x:v>
      </x:c>
      <x:c r="O839" t="str">
        <x:f>IF(E839&lt;&gt;TRUE,"",IF(M839&gt;H839,"W",IF(M839&lt;H839,"L","T")))</x:f>
      </x:c>
      <x:c r="P839" s="66" t="b">
        <x:v>0</x:v>
      </x:c>
      <x:c r="Q839" s="66" t="b">
        <x:v>1</x:v>
      </x:c>
      <x:c r="R839" t="str">
        <x:v>Kyle Field</x:v>
      </x:c>
      <x:c r="S839" t="str">
        <x:v>ABC</x:v>
      </x:c>
      <x:c r="T839" t="str">
        <x:v>TEX -2.5</x:v>
      </x:c>
      <x:c r="U839" s="70" t="n">
        <x:v>2.5</x:v>
      </x:c>
      <x:c r="V839" s="70" t="n">
        <x:v>53.5</x:v>
      </x:c>
      <x:c r="W839" t="str">
        <x:v>DraftKings</x:v>
      </x:c>
      <x:c r="X839" t="str">
        <x:v>https://www.espn.com/college-football/game/_/gameId/401856756</x:v>
      </x:c>
    </x:row>
    <x:row r="840">
      <x:c r="A840" t="str">
        <x:v>CFB</x:v>
      </x:c>
      <x:c r="B840" t="n">
        <x:v>13</x:v>
      </x:c>
      <x:c r="C840" s="68" t="n">
        <x:v>46354.020833333336</x:v>
      </x:c>
      <x:c r="D840" s="71" t="str">
        <x:v>pre</x:v>
      </x:c>
      <x:c r="E840" s="72" t="b">
        <x:v>0</x:v>
      </x:c>
      <x:c r="F840" t="str">
        <x:v>Minnesota Golden Gophers</x:v>
      </x:c>
      <x:c r="G840" t="str">
        <x:v>MINN</x:v>
      </x:c>
      <x:c r="H840" s="69" t="n">
        <x:v>0</x:v>
      </x:c>
      <x:c r="I840" t="str">
        <x:v>2-1</x:v>
      </x:c>
      <x:c r="J840" t="str">
        <x:f>IF(E840&lt;&gt;TRUE,"",IF(H840&gt;M840,"W",IF(H840&lt;M840,"L","T")))</x:f>
      </x:c>
      <x:c r="K840" t="str">
        <x:v>Wisconsin Badgers</x:v>
      </x:c>
      <x:c r="L840" t="str">
        <x:v>WIS</x:v>
      </x:c>
      <x:c r="M840" s="69" t="n">
        <x:v>0</x:v>
      </x:c>
      <x:c r="N840" t="str">
        <x:v>2-1</x:v>
      </x:c>
      <x:c r="O840" t="str">
        <x:f>IF(E840&lt;&gt;TRUE,"",IF(M840&gt;H840,"W",IF(M840&lt;H840,"L","T")))</x:f>
      </x:c>
      <x:c r="P840" s="66" t="b">
        <x:v>0</x:v>
      </x:c>
      <x:c r="Q840" s="66" t="b">
        <x:v>1</x:v>
      </x:c>
      <x:c r="R840" t="str">
        <x:v>Camp Randall Stadium</x:v>
      </x:c>
      <x:c r="S840" t="str">
        <x:v>NBC</x:v>
      </x:c>
      <x:c r="T840"/>
      <x:c r="U840" s="70"/>
      <x:c r="V840" s="70"/>
      <x:c r="W840"/>
      <x:c r="X840" t="str">
        <x:v>https://www.espn.com/college-football/game/_/gameId/401858544</x:v>
      </x:c>
    </x:row>
    <x:row r="841">
      <x:c r="A841" t="str">
        <x:v>CFB</x:v>
      </x:c>
      <x:c r="B841" t="n">
        <x:v>13</x:v>
      </x:c>
      <x:c r="C841" s="68" t="n">
        <x:v>46354.083333333336</x:v>
      </x:c>
      <x:c r="D841" s="71" t="str">
        <x:v>pre</x:v>
      </x:c>
      <x:c r="E841" s="72" t="b">
        <x:v>0</x:v>
      </x:c>
      <x:c r="F841" t="str">
        <x:v>West Virginia Mountaineers</x:v>
      </x:c>
      <x:c r="G841" t="str">
        <x:v>WVU</x:v>
      </x:c>
      <x:c r="H841" s="69" t="n">
        <x:v>0</x:v>
      </x:c>
      <x:c r="I841" t="str">
        <x:v>3-0</x:v>
      </x:c>
      <x:c r="J841" t="str">
        <x:f>IF(E841&lt;&gt;TRUE,"",IF(H841&gt;M841,"W",IF(H841&lt;M841,"L","T")))</x:f>
      </x:c>
      <x:c r="K841" t="str">
        <x:v>Utah Utes</x:v>
      </x:c>
      <x:c r="L841" t="str">
        <x:v>UTAH</x:v>
      </x:c>
      <x:c r="M841" s="69" t="n">
        <x:v>0</x:v>
      </x:c>
      <x:c r="N841" t="str">
        <x:v>3-0</x:v>
      </x:c>
      <x:c r="O841" t="str">
        <x:f>IF(E841&lt;&gt;TRUE,"",IF(M841&gt;H841,"W",IF(M841&lt;H841,"L","T")))</x:f>
      </x:c>
      <x:c r="P841" s="66" t="b">
        <x:v>0</x:v>
      </x:c>
      <x:c r="Q841" s="66" t="b">
        <x:v>1</x:v>
      </x:c>
      <x:c r="R841" t="str">
        <x:v>Rice-Eccles Stadium</x:v>
      </x:c>
      <x:c r="S841" t="str">
        <x:v>FOX</x:v>
      </x:c>
      <x:c r="T841"/>
      <x:c r="U841" s="70"/>
      <x:c r="V841" s="70"/>
      <x:c r="W841"/>
      <x:c r="X841" t="str">
        <x:v>https://www.espn.com/college-football/game/_/gameId/401856880</x:v>
      </x:c>
    </x:row>
    <x:row r="842">
      <x:c r="A842" t="str">
        <x:v>CFB</x:v>
      </x:c>
      <x:c r="B842" t="n">
        <x:v>13</x:v>
      </x:c>
      <x:c r="C842" s="68" t="n">
        <x:v>46354.208333333336</x:v>
      </x:c>
      <x:c r="D842" s="71" t="str">
        <x:v>pre</x:v>
      </x:c>
      <x:c r="E842" s="72" t="b">
        <x:v>0</x:v>
      </x:c>
      <x:c r="F842" t="str">
        <x:v>Auburn Tigers</x:v>
      </x:c>
      <x:c r="G842" t="str">
        <x:v>AUB</x:v>
      </x:c>
      <x:c r="H842" s="69" t="n">
        <x:v>0</x:v>
      </x:c>
      <x:c r="I842" t="str">
        <x:v>2-1</x:v>
      </x:c>
      <x:c r="J842" t="str">
        <x:f>IF(E842&lt;&gt;TRUE,"",IF(H842&gt;M842,"W",IF(H842&lt;M842,"L","T")))</x:f>
      </x:c>
      <x:c r="K842" t="str">
        <x:v>Alabama Crimson Tide</x:v>
      </x:c>
      <x:c r="L842" t="str">
        <x:v>ALA</x:v>
      </x:c>
      <x:c r="M842" s="69" t="n">
        <x:v>0</x:v>
      </x:c>
      <x:c r="N842" t="str">
        <x:v>3-0</x:v>
      </x:c>
      <x:c r="O842" t="str">
        <x:f>IF(E842&lt;&gt;TRUE,"",IF(M842&gt;H842,"W",IF(M842&lt;H842,"L","T")))</x:f>
      </x:c>
      <x:c r="P842" s="66" t="b">
        <x:v>0</x:v>
      </x:c>
      <x:c r="Q842" s="66" t="b">
        <x:v>1</x:v>
      </x:c>
      <x:c r="R842" t="str">
        <x:v>Bryant-Denny Stadium</x:v>
      </x:c>
      <x:c r="S842" t="str"/>
      <x:c r="T842" t="str">
        <x:v>ALA -10</x:v>
      </x:c>
      <x:c r="U842" s="70" t="n">
        <x:v>-10</x:v>
      </x:c>
      <x:c r="V842" s="70" t="n">
        <x:v>52.5</x:v>
      </x:c>
      <x:c r="W842" t="str">
        <x:v>DraftKings</x:v>
      </x:c>
      <x:c r="X842" t="str">
        <x:v>https://www.espn.com/college-football/game/_/gameId/401856757</x:v>
      </x:c>
    </x:row>
    <x:row r="843">
      <x:c r="A843" t="str">
        <x:v>CFB</x:v>
      </x:c>
      <x:c r="B843" t="n">
        <x:v>13</x:v>
      </x:c>
      <x:c r="C843" s="68" t="n">
        <x:v>46354.208333333336</x:v>
      </x:c>
      <x:c r="D843" s="71" t="str">
        <x:v>pre</x:v>
      </x:c>
      <x:c r="E843" s="72" t="b">
        <x:v>0</x:v>
      </x:c>
      <x:c r="F843" t="str">
        <x:v>LSU Tigers</x:v>
      </x:c>
      <x:c r="G843" t="str">
        <x:v>LSU</x:v>
      </x:c>
      <x:c r="H843" s="69" t="n">
        <x:v>0</x:v>
      </x:c>
      <x:c r="I843" t="str">
        <x:v>2-1</x:v>
      </x:c>
      <x:c r="J843" t="str">
        <x:f>IF(E843&lt;&gt;TRUE,"",IF(H843&gt;M843,"W",IF(H843&lt;M843,"L","T")))</x:f>
      </x:c>
      <x:c r="K843" t="str">
        <x:v>Arkansas Razorbacks</x:v>
      </x:c>
      <x:c r="L843" t="str">
        <x:v>ARK</x:v>
      </x:c>
      <x:c r="M843" s="69" t="n">
        <x:v>0</x:v>
      </x:c>
      <x:c r="N843" t="str">
        <x:v>1-2</x:v>
      </x:c>
      <x:c r="O843" t="str">
        <x:f>IF(E843&lt;&gt;TRUE,"",IF(M843&gt;H843,"W",IF(M843&lt;H843,"L","T")))</x:f>
      </x:c>
      <x:c r="P843" s="66" t="b">
        <x:v>0</x:v>
      </x:c>
      <x:c r="Q843" s="66" t="b">
        <x:v>1</x:v>
      </x:c>
      <x:c r="R843" t="str">
        <x:v>Donald W. Reynolds Razorback Stadium</x:v>
      </x:c>
      <x:c r="S843" t="str"/>
      <x:c r="T843"/>
      <x:c r="U843" s="70"/>
      <x:c r="V843" s="70"/>
      <x:c r="W843"/>
      <x:c r="X843" t="str">
        <x:v>https://www.espn.com/college-football/game/_/gameId/401856758</x:v>
      </x:c>
    </x:row>
    <x:row r="844">
      <x:c r="A844" t="str">
        <x:v>CFB</x:v>
      </x:c>
      <x:c r="B844" t="n">
        <x:v>13</x:v>
      </x:c>
      <x:c r="C844" s="68" t="n">
        <x:v>46354.208333333336</x:v>
      </x:c>
      <x:c r="D844" s="71" t="str">
        <x:v>pre</x:v>
      </x:c>
      <x:c r="E844" s="72" t="b">
        <x:v>0</x:v>
      </x:c>
      <x:c r="F844" t="str">
        <x:v>Georgia Tech Yellow Jackets</x:v>
      </x:c>
      <x:c r="G844" t="str">
        <x:v>GT</x:v>
      </x:c>
      <x:c r="H844" s="69" t="n">
        <x:v>0</x:v>
      </x:c>
      <x:c r="I844" t="str">
        <x:v>1-2</x:v>
      </x:c>
      <x:c r="J844" t="str">
        <x:f>IF(E844&lt;&gt;TRUE,"",IF(H844&gt;M844,"W",IF(H844&lt;M844,"L","T")))</x:f>
      </x:c>
      <x:c r="K844" t="str">
        <x:v>Georgia Bulldogs</x:v>
      </x:c>
      <x:c r="L844" t="str">
        <x:v>UGA</x:v>
      </x:c>
      <x:c r="M844" s="69" t="n">
        <x:v>0</x:v>
      </x:c>
      <x:c r="N844" t="str">
        <x:v>3-0</x:v>
      </x:c>
      <x:c r="O844" t="str">
        <x:f>IF(E844&lt;&gt;TRUE,"",IF(M844&gt;H844,"W",IF(M844&lt;H844,"L","T")))</x:f>
      </x:c>
      <x:c r="P844" s="66" t="b">
        <x:v>0</x:v>
      </x:c>
      <x:c r="Q844" s="66" t="b">
        <x:v>0</x:v>
      </x:c>
      <x:c r="R844" t="str">
        <x:v>Sanford Stadium</x:v>
      </x:c>
      <x:c r="S844" t="str"/>
      <x:c r="T844"/>
      <x:c r="U844" s="70"/>
      <x:c r="V844" s="70"/>
      <x:c r="W844"/>
      <x:c r="X844" t="str">
        <x:v>https://www.espn.com/college-football/game/_/gameId/401856760</x:v>
      </x:c>
    </x:row>
    <x:row r="845">
      <x:c r="A845" t="str">
        <x:v>CFB</x:v>
      </x:c>
      <x:c r="B845" t="n">
        <x:v>13</x:v>
      </x:c>
      <x:c r="C845" s="68" t="n">
        <x:v>46354.208333333336</x:v>
      </x:c>
      <x:c r="D845" s="71" t="str">
        <x:v>pre</x:v>
      </x:c>
      <x:c r="E845" s="72" t="b">
        <x:v>0</x:v>
      </x:c>
      <x:c r="F845" t="str">
        <x:v>Louisville Cardinals</x:v>
      </x:c>
      <x:c r="G845" t="str">
        <x:v>LOU</x:v>
      </x:c>
      <x:c r="H845" s="69" t="n">
        <x:v>0</x:v>
      </x:c>
      <x:c r="I845" t="str">
        <x:v>2-1</x:v>
      </x:c>
      <x:c r="J845" t="str">
        <x:f>IF(E845&lt;&gt;TRUE,"",IF(H845&gt;M845,"W",IF(H845&lt;M845,"L","T")))</x:f>
      </x:c>
      <x:c r="K845" t="str">
        <x:v>Kentucky Wildcats</x:v>
      </x:c>
      <x:c r="L845" t="str">
        <x:v>UK</x:v>
      </x:c>
      <x:c r="M845" s="69" t="n">
        <x:v>0</x:v>
      </x:c>
      <x:c r="N845" t="str">
        <x:v>2-1</x:v>
      </x:c>
      <x:c r="O845" t="str">
        <x:f>IF(E845&lt;&gt;TRUE,"",IF(M845&gt;H845,"W",IF(M845&lt;H845,"L","T")))</x:f>
      </x:c>
      <x:c r="P845" s="66" t="b">
        <x:v>0</x:v>
      </x:c>
      <x:c r="Q845" s="66" t="b">
        <x:v>0</x:v>
      </x:c>
      <x:c r="R845" t="str">
        <x:v>Kroger Field</x:v>
      </x:c>
      <x:c r="S845" t="str"/>
      <x:c r="T845"/>
      <x:c r="U845" s="70"/>
      <x:c r="V845" s="70"/>
      <x:c r="W845"/>
      <x:c r="X845" t="str">
        <x:v>https://www.espn.com/college-football/game/_/gameId/401856761</x:v>
      </x:c>
    </x:row>
    <x:row r="846">
      <x:c r="A846" t="str">
        <x:v>CFB</x:v>
      </x:c>
      <x:c r="B846" t="n">
        <x:v>13</x:v>
      </x:c>
      <x:c r="C846" s="68" t="n">
        <x:v>46354.208333333336</x:v>
      </x:c>
      <x:c r="D846" s="71" t="str">
        <x:v>pre</x:v>
      </x:c>
      <x:c r="E846" s="72" t="b">
        <x:v>0</x:v>
      </x:c>
      <x:c r="F846" t="str">
        <x:v>Oklahoma Sooners</x:v>
      </x:c>
      <x:c r="G846" t="str">
        <x:v>OU</x:v>
      </x:c>
      <x:c r="H846" s="69" t="n">
        <x:v>0</x:v>
      </x:c>
      <x:c r="I846" t="str">
        <x:v>2-1</x:v>
      </x:c>
      <x:c r="J846" t="str">
        <x:f>IF(E846&lt;&gt;TRUE,"",IF(H846&gt;M846,"W",IF(H846&lt;M846,"L","T")))</x:f>
      </x:c>
      <x:c r="K846" t="str">
        <x:v>Missouri Tigers</x:v>
      </x:c>
      <x:c r="L846" t="str">
        <x:v>MIZ</x:v>
      </x:c>
      <x:c r="M846" s="69" t="n">
        <x:v>0</x:v>
      </x:c>
      <x:c r="N846" t="str">
        <x:v>3-0</x:v>
      </x:c>
      <x:c r="O846" t="str">
        <x:f>IF(E846&lt;&gt;TRUE,"",IF(M846&gt;H846,"W",IF(M846&lt;H846,"L","T")))</x:f>
      </x:c>
      <x:c r="P846" s="66" t="b">
        <x:v>0</x:v>
      </x:c>
      <x:c r="Q846" s="66" t="b">
        <x:v>1</x:v>
      </x:c>
      <x:c r="R846" t="str">
        <x:v>Memorial Stadium</x:v>
      </x:c>
      <x:c r="S846" t="str"/>
      <x:c r="T846"/>
      <x:c r="U846" s="70"/>
      <x:c r="V846" s="70"/>
      <x:c r="W846"/>
      <x:c r="X846" t="str">
        <x:v>https://www.espn.com/college-football/game/_/gameId/401856763</x:v>
      </x:c>
    </x:row>
    <x:row r="847">
      <x:c r="A847" t="str">
        <x:v>CFB</x:v>
      </x:c>
      <x:c r="B847" t="n">
        <x:v>13</x:v>
      </x:c>
      <x:c r="C847" s="68" t="n">
        <x:v>46354.208333333336</x:v>
      </x:c>
      <x:c r="D847" s="71" t="str">
        <x:v>pre</x:v>
      </x:c>
      <x:c r="E847" s="72" t="b">
        <x:v>0</x:v>
      </x:c>
      <x:c r="F847" t="str">
        <x:v>South Carolina Gamecocks</x:v>
      </x:c>
      <x:c r="G847" t="str">
        <x:v>SC</x:v>
      </x:c>
      <x:c r="H847" s="69" t="n">
        <x:v>0</x:v>
      </x:c>
      <x:c r="I847" t="str">
        <x:v>2-1</x:v>
      </x:c>
      <x:c r="J847" t="str">
        <x:f>IF(E847&lt;&gt;TRUE,"",IF(H847&gt;M847,"W",IF(H847&lt;M847,"L","T")))</x:f>
      </x:c>
      <x:c r="K847" t="str">
        <x:v>Clemson Tigers</x:v>
      </x:c>
      <x:c r="L847" t="str">
        <x:v>CLEM</x:v>
      </x:c>
      <x:c r="M847" s="69" t="n">
        <x:v>0</x:v>
      </x:c>
      <x:c r="N847" t="str">
        <x:v>2-1</x:v>
      </x:c>
      <x:c r="O847" t="str">
        <x:f>IF(E847&lt;&gt;TRUE,"",IF(M847&gt;H847,"W",IF(M847&lt;H847,"L","T")))</x:f>
      </x:c>
      <x:c r="P847" s="66" t="b">
        <x:v>0</x:v>
      </x:c>
      <x:c r="Q847" s="66" t="b">
        <x:v>0</x:v>
      </x:c>
      <x:c r="R847" t="str">
        <x:v>Memorial Stadium (Clemson, SC)</x:v>
      </x:c>
      <x:c r="S847" t="str"/>
      <x:c r="T847" t="str">
        <x:v>CLEM -3</x:v>
      </x:c>
      <x:c r="U847" s="70" t="n">
        <x:v>-3</x:v>
      </x:c>
      <x:c r="V847" s="70" t="n">
        <x:v>53.5</x:v>
      </x:c>
      <x:c r="W847" t="str">
        <x:v>DraftKings</x:v>
      </x:c>
      <x:c r="X847" t="str">
        <x:v>https://www.espn.com/college-football/game/_/gameId/401856764</x:v>
      </x:c>
    </x:row>
    <x:row r="848">
      <x:c r="A848" t="str">
        <x:v>CFB</x:v>
      </x:c>
      <x:c r="B848" t="n">
        <x:v>13</x:v>
      </x:c>
      <x:c r="C848" s="68" t="n">
        <x:v>46354.208333333336</x:v>
      </x:c>
      <x:c r="D848" s="71" t="str">
        <x:v>pre</x:v>
      </x:c>
      <x:c r="E848" s="72" t="b">
        <x:v>0</x:v>
      </x:c>
      <x:c r="F848" t="str">
        <x:v>Tennessee Volunteers</x:v>
      </x:c>
      <x:c r="G848" t="str">
        <x:v>TENN</x:v>
      </x:c>
      <x:c r="H848" s="69" t="n">
        <x:v>0</x:v>
      </x:c>
      <x:c r="I848" t="str">
        <x:v>3-0</x:v>
      </x:c>
      <x:c r="J848" t="str">
        <x:f>IF(E848&lt;&gt;TRUE,"",IF(H848&gt;M848,"W",IF(H848&lt;M848,"L","T")))</x:f>
      </x:c>
      <x:c r="K848" t="str">
        <x:v>Vanderbilt Commodores</x:v>
      </x:c>
      <x:c r="L848" t="str">
        <x:v>VAN</x:v>
      </x:c>
      <x:c r="M848" s="69" t="n">
        <x:v>0</x:v>
      </x:c>
      <x:c r="N848" t="str">
        <x:v>3-0</x:v>
      </x:c>
      <x:c r="O848" t="str">
        <x:f>IF(E848&lt;&gt;TRUE,"",IF(M848&gt;H848,"W",IF(M848&lt;H848,"L","T")))</x:f>
      </x:c>
      <x:c r="P848" s="66" t="b">
        <x:v>0</x:v>
      </x:c>
      <x:c r="Q848" s="66" t="b">
        <x:v>1</x:v>
      </x:c>
      <x:c r="R848" t="str">
        <x:v>FirstBank Stadium</x:v>
      </x:c>
      <x:c r="S848" t="str"/>
      <x:c r="T848" t="str">
        <x:v>TENN -3</x:v>
      </x:c>
      <x:c r="U848" s="70" t="n">
        <x:v>3</x:v>
      </x:c>
      <x:c r="V848" s="70" t="n">
        <x:v>57.5</x:v>
      </x:c>
      <x:c r="W848" t="str">
        <x:v>DraftKings</x:v>
      </x:c>
      <x:c r="X848" t="str">
        <x:v>https://www.espn.com/college-football/game/_/gameId/401856765</x:v>
      </x:c>
    </x:row>
    <x:row r="849">
      <x:c r="A849" t="str">
        <x:v>CFB</x:v>
      </x:c>
      <x:c r="B849" t="n">
        <x:v>13</x:v>
      </x:c>
      <x:c r="C849" s="68" t="n">
        <x:v>46354.208333333336</x:v>
      </x:c>
      <x:c r="D849" s="71" t="str">
        <x:v>pre</x:v>
      </x:c>
      <x:c r="E849" s="72" t="b">
        <x:v>0</x:v>
      </x:c>
      <x:c r="F849" t="str">
        <x:v>Arizona State Sun Devils</x:v>
      </x:c>
      <x:c r="G849" t="str">
        <x:v>ASU</x:v>
      </x:c>
      <x:c r="H849" s="69" t="n">
        <x:v>0</x:v>
      </x:c>
      <x:c r="I849" t="str">
        <x:v>2-1</x:v>
      </x:c>
      <x:c r="J849" t="str">
        <x:f>IF(E849&lt;&gt;TRUE,"",IF(H849&gt;M849,"W",IF(H849&lt;M849,"L","T")))</x:f>
      </x:c>
      <x:c r="K849" t="str">
        <x:v>Arizona Wildcats</x:v>
      </x:c>
      <x:c r="L849" t="str">
        <x:v>ARIZ</x:v>
      </x:c>
      <x:c r="M849" s="69" t="n">
        <x:v>0</x:v>
      </x:c>
      <x:c r="N849" t="str">
        <x:v>2-1</x:v>
      </x:c>
      <x:c r="O849" t="str">
        <x:f>IF(E849&lt;&gt;TRUE,"",IF(M849&gt;H849,"W",IF(M849&lt;H849,"L","T")))</x:f>
      </x:c>
      <x:c r="P849" s="66" t="b">
        <x:v>0</x:v>
      </x:c>
      <x:c r="Q849" s="66" t="b">
        <x:v>1</x:v>
      </x:c>
      <x:c r="R849" t="str">
        <x:v>Casino Del Sol Stadium</x:v>
      </x:c>
      <x:c r="S849" t="str"/>
      <x:c r="T849" t="str">
        <x:v>ARIZ -4.5</x:v>
      </x:c>
      <x:c r="U849" s="70" t="n">
        <x:v>-4.5</x:v>
      </x:c>
      <x:c r="V849" s="70" t="n">
        <x:v>52.5</x:v>
      </x:c>
      <x:c r="W849" t="str">
        <x:v>DraftKings</x:v>
      </x:c>
      <x:c r="X849" t="str">
        <x:v>https://www.espn.com/college-football/game/_/gameId/401856873</x:v>
      </x:c>
    </x:row>
    <x:row r="850">
      <x:c r="A850" t="str">
        <x:v>CFB</x:v>
      </x:c>
      <x:c r="B850" t="n">
        <x:v>13</x:v>
      </x:c>
      <x:c r="C850" s="68" t="n">
        <x:v>46354.208333333336</x:v>
      </x:c>
      <x:c r="D850" s="71" t="str">
        <x:v>pre</x:v>
      </x:c>
      <x:c r="E850" s="72" t="b">
        <x:v>0</x:v>
      </x:c>
      <x:c r="F850" t="str">
        <x:v>Baylor Bears</x:v>
      </x:c>
      <x:c r="G850" t="str">
        <x:v>BAY</x:v>
      </x:c>
      <x:c r="H850" s="69" t="n">
        <x:v>0</x:v>
      </x:c>
      <x:c r="I850" t="str">
        <x:v>2-1</x:v>
      </x:c>
      <x:c r="J850" t="str">
        <x:f>IF(E850&lt;&gt;TRUE,"",IF(H850&gt;M850,"W",IF(H850&lt;M850,"L","T")))</x:f>
      </x:c>
      <x:c r="K850" t="str">
        <x:v>Houston Cougars</x:v>
      </x:c>
      <x:c r="L850" t="str">
        <x:v>HOU</x:v>
      </x:c>
      <x:c r="M850" s="69" t="n">
        <x:v>0</x:v>
      </x:c>
      <x:c r="N850" t="str">
        <x:v>2-1</x:v>
      </x:c>
      <x:c r="O850" t="str">
        <x:f>IF(E850&lt;&gt;TRUE,"",IF(M850&gt;H850,"W",IF(M850&lt;H850,"L","T")))</x:f>
      </x:c>
      <x:c r="P850" s="66" t="b">
        <x:v>0</x:v>
      </x:c>
      <x:c r="Q850" s="66" t="b">
        <x:v>1</x:v>
      </x:c>
      <x:c r="R850" t="str">
        <x:v>TDECU Stadium</x:v>
      </x:c>
      <x:c r="S850" t="str"/>
      <x:c r="T850"/>
      <x:c r="U850" s="70"/>
      <x:c r="V850" s="70"/>
      <x:c r="W850"/>
      <x:c r="X850" t="str">
        <x:v>https://www.espn.com/college-football/game/_/gameId/401856874</x:v>
      </x:c>
    </x:row>
    <x:row r="851">
      <x:c r="A851" t="str">
        <x:v>CFB</x:v>
      </x:c>
      <x:c r="B851" t="n">
        <x:v>13</x:v>
      </x:c>
      <x:c r="C851" s="68" t="n">
        <x:v>46354.208333333336</x:v>
      </x:c>
      <x:c r="D851" s="71" t="str">
        <x:v>pre</x:v>
      </x:c>
      <x:c r="E851" s="72" t="b">
        <x:v>0</x:v>
      </x:c>
      <x:c r="F851" t="str">
        <x:v>UCF Knights</x:v>
      </x:c>
      <x:c r="G851" t="str">
        <x:v>UCF</x:v>
      </x:c>
      <x:c r="H851" s="69" t="n">
        <x:v>0</x:v>
      </x:c>
      <x:c r="I851" t="str">
        <x:v>2-1</x:v>
      </x:c>
      <x:c r="J851" t="str">
        <x:f>IF(E851&lt;&gt;TRUE,"",IF(H851&gt;M851,"W",IF(H851&lt;M851,"L","T")))</x:f>
      </x:c>
      <x:c r="K851" t="str">
        <x:v>Colorado Buffaloes</x:v>
      </x:c>
      <x:c r="L851" t="str">
        <x:v>COLO</x:v>
      </x:c>
      <x:c r="M851" s="69" t="n">
        <x:v>0</x:v>
      </x:c>
      <x:c r="N851" t="str">
        <x:v>2-1</x:v>
      </x:c>
      <x:c r="O851" t="str">
        <x:f>IF(E851&lt;&gt;TRUE,"",IF(M851&gt;H851,"W",IF(M851&lt;H851,"L","T")))</x:f>
      </x:c>
      <x:c r="P851" s="66" t="b">
        <x:v>0</x:v>
      </x:c>
      <x:c r="Q851" s="66" t="b">
        <x:v>1</x:v>
      </x:c>
      <x:c r="R851" t="str">
        <x:v>Folsom Field</x:v>
      </x:c>
      <x:c r="S851" t="str"/>
      <x:c r="T851"/>
      <x:c r="U851" s="70"/>
      <x:c r="V851" s="70"/>
      <x:c r="W851"/>
      <x:c r="X851" t="str">
        <x:v>https://www.espn.com/college-football/game/_/gameId/401856875</x:v>
      </x:c>
    </x:row>
    <x:row r="852">
      <x:c r="A852" t="str">
        <x:v>CFB</x:v>
      </x:c>
      <x:c r="B852" t="n">
        <x:v>13</x:v>
      </x:c>
      <x:c r="C852" s="68" t="n">
        <x:v>46354.208333333336</x:v>
      </x:c>
      <x:c r="D852" s="71" t="str">
        <x:v>pre</x:v>
      </x:c>
      <x:c r="E852" s="72" t="b">
        <x:v>0</x:v>
      </x:c>
      <x:c r="F852" t="str">
        <x:v>Cincinnati Bearcats</x:v>
      </x:c>
      <x:c r="G852" t="str">
        <x:v>CIN</x:v>
      </x:c>
      <x:c r="H852" s="69" t="n">
        <x:v>0</x:v>
      </x:c>
      <x:c r="I852" t="str">
        <x:v>3-0</x:v>
      </x:c>
      <x:c r="J852" t="str">
        <x:f>IF(E852&lt;&gt;TRUE,"",IF(H852&gt;M852,"W",IF(H852&lt;M852,"L","T")))</x:f>
      </x:c>
      <x:c r="K852" t="str">
        <x:v>BYU Cougars</x:v>
      </x:c>
      <x:c r="L852" t="str">
        <x:v>BYU</x:v>
      </x:c>
      <x:c r="M852" s="69" t="n">
        <x:v>0</x:v>
      </x:c>
      <x:c r="N852" t="str">
        <x:v>3-0</x:v>
      </x:c>
      <x:c r="O852" t="str">
        <x:f>IF(E852&lt;&gt;TRUE,"",IF(M852&gt;H852,"W",IF(M852&lt;H852,"L","T")))</x:f>
      </x:c>
      <x:c r="P852" s="66" t="b">
        <x:v>0</x:v>
      </x:c>
      <x:c r="Q852" s="66" t="b">
        <x:v>1</x:v>
      </x:c>
      <x:c r="R852" t="str">
        <x:v>LaVell Edwards Stadium</x:v>
      </x:c>
      <x:c r="S852" t="str"/>
      <x:c r="T852"/>
      <x:c r="U852" s="70"/>
      <x:c r="V852" s="70"/>
      <x:c r="W852"/>
      <x:c r="X852" t="str">
        <x:v>https://www.espn.com/college-football/game/_/gameId/401856876</x:v>
      </x:c>
    </x:row>
    <x:row r="853">
      <x:c r="A853" t="str">
        <x:v>CFB</x:v>
      </x:c>
      <x:c r="B853" t="n">
        <x:v>13</x:v>
      </x:c>
      <x:c r="C853" s="68" t="n">
        <x:v>46354.208333333336</x:v>
      </x:c>
      <x:c r="D853" s="71" t="str">
        <x:v>pre</x:v>
      </x:c>
      <x:c r="E853" s="72" t="b">
        <x:v>0</x:v>
      </x:c>
      <x:c r="F853" t="str">
        <x:v>Kansas Jayhawks</x:v>
      </x:c>
      <x:c r="G853" t="str">
        <x:v>KU</x:v>
      </x:c>
      <x:c r="H853" s="69" t="n">
        <x:v>0</x:v>
      </x:c>
      <x:c r="I853" t="str">
        <x:v>1-2</x:v>
      </x:c>
      <x:c r="J853" t="str">
        <x:f>IF(E853&lt;&gt;TRUE,"",IF(H853&gt;M853,"W",IF(H853&lt;M853,"L","T")))</x:f>
      </x:c>
      <x:c r="K853" t="str">
        <x:v>Oklahoma State Cowboys</x:v>
      </x:c>
      <x:c r="L853" t="str">
        <x:v>OKST</x:v>
      </x:c>
      <x:c r="M853" s="69" t="n">
        <x:v>0</x:v>
      </x:c>
      <x:c r="N853" t="str">
        <x:v>2-1</x:v>
      </x:c>
      <x:c r="O853" t="str">
        <x:f>IF(E853&lt;&gt;TRUE,"",IF(M853&gt;H853,"W",IF(M853&lt;H853,"L","T")))</x:f>
      </x:c>
      <x:c r="P853" s="66" t="b">
        <x:v>0</x:v>
      </x:c>
      <x:c r="Q853" s="66" t="b">
        <x:v>1</x:v>
      </x:c>
      <x:c r="R853" t="str">
        <x:v>Boone Pickens Stadium</x:v>
      </x:c>
      <x:c r="S853" t="str"/>
      <x:c r="T853"/>
      <x:c r="U853" s="70"/>
      <x:c r="V853" s="70"/>
      <x:c r="W853"/>
      <x:c r="X853" t="str">
        <x:v>https://www.espn.com/college-football/game/_/gameId/401856877</x:v>
      </x:c>
    </x:row>
    <x:row r="854">
      <x:c r="A854" t="str">
        <x:v>CFB</x:v>
      </x:c>
      <x:c r="B854" t="n">
        <x:v>13</x:v>
      </x:c>
      <x:c r="C854" s="68" t="n">
        <x:v>46354.208333333336</x:v>
      </x:c>
      <x:c r="D854" s="71" t="str">
        <x:v>pre</x:v>
      </x:c>
      <x:c r="E854" s="72" t="b">
        <x:v>0</x:v>
      </x:c>
      <x:c r="F854" t="str">
        <x:v>Kansas State Wildcats</x:v>
      </x:c>
      <x:c r="G854" t="str">
        <x:v>KSU</x:v>
      </x:c>
      <x:c r="H854" s="69" t="n">
        <x:v>0</x:v>
      </x:c>
      <x:c r="I854" t="str">
        <x:v>3-0</x:v>
      </x:c>
      <x:c r="J854" t="str">
        <x:f>IF(E854&lt;&gt;TRUE,"",IF(H854&gt;M854,"W",IF(H854&lt;M854,"L","T")))</x:f>
      </x:c>
      <x:c r="K854" t="str">
        <x:v>Iowa State Cyclones</x:v>
      </x:c>
      <x:c r="L854" t="str">
        <x:v>ISU</x:v>
      </x:c>
      <x:c r="M854" s="69" t="n">
        <x:v>0</x:v>
      </x:c>
      <x:c r="N854" t="str">
        <x:v>2-1</x:v>
      </x:c>
      <x:c r="O854" t="str">
        <x:f>IF(E854&lt;&gt;TRUE,"",IF(M854&gt;H854,"W",IF(M854&lt;H854,"L","T")))</x:f>
      </x:c>
      <x:c r="P854" s="66" t="b">
        <x:v>0</x:v>
      </x:c>
      <x:c r="Q854" s="66" t="b">
        <x:v>1</x:v>
      </x:c>
      <x:c r="R854" t="str">
        <x:v>Jack Trice Stadium</x:v>
      </x:c>
      <x:c r="S854" t="str"/>
      <x:c r="T854"/>
      <x:c r="U854" s="70"/>
      <x:c r="V854" s="70"/>
      <x:c r="W854"/>
      <x:c r="X854" t="str">
        <x:v>https://www.espn.com/college-football/game/_/gameId/401856878</x:v>
      </x:c>
    </x:row>
    <x:row r="855">
      <x:c r="A855" t="str">
        <x:v>CFB</x:v>
      </x:c>
      <x:c r="B855" t="n">
        <x:v>13</x:v>
      </x:c>
      <x:c r="C855" s="68" t="n">
        <x:v>46354.208333333336</x:v>
      </x:c>
      <x:c r="D855" s="71" t="str">
        <x:v>pre</x:v>
      </x:c>
      <x:c r="E855" s="72" t="b">
        <x:v>0</x:v>
      </x:c>
      <x:c r="F855" t="str">
        <x:v>Boston College Eagles</x:v>
      </x:c>
      <x:c r="G855" t="str">
        <x:v>BC</x:v>
      </x:c>
      <x:c r="H855" s="69" t="n">
        <x:v>0</x:v>
      </x:c>
      <x:c r="I855" t="str">
        <x:v>2-1</x:v>
      </x:c>
      <x:c r="J855" t="str">
        <x:f>IF(E855&lt;&gt;TRUE,"",IF(H855&gt;M855,"W",IF(H855&lt;M855,"L","T")))</x:f>
      </x:c>
      <x:c r="K855" t="str">
        <x:v>Miami Hurricanes</x:v>
      </x:c>
      <x:c r="L855" t="str">
        <x:v>MIA</x:v>
      </x:c>
      <x:c r="M855" s="69" t="n">
        <x:v>0</x:v>
      </x:c>
      <x:c r="N855" t="str">
        <x:v>3-0</x:v>
      </x:c>
      <x:c r="O855" t="str">
        <x:f>IF(E855&lt;&gt;TRUE,"",IF(M855&gt;H855,"W",IF(M855&lt;H855,"L","T")))</x:f>
      </x:c>
      <x:c r="P855" s="66" t="b">
        <x:v>0</x:v>
      </x:c>
      <x:c r="Q855" s="66" t="b">
        <x:v>1</x:v>
      </x:c>
      <x:c r="R855" t="str">
        <x:v>Hard Rock Stadium</x:v>
      </x:c>
      <x:c r="S855" t="str"/>
      <x:c r="T855"/>
      <x:c r="U855" s="70"/>
      <x:c r="V855" s="70"/>
      <x:c r="W855"/>
      <x:c r="X855" t="str">
        <x:v>https://www.espn.com/college-football/game/_/gameId/401858311</x:v>
      </x:c>
    </x:row>
    <x:row r="856">
      <x:c r="A856" t="str">
        <x:v>CFB</x:v>
      </x:c>
      <x:c r="B856" t="n">
        <x:v>13</x:v>
      </x:c>
      <x:c r="C856" s="68" t="n">
        <x:v>46354.208333333336</x:v>
      </x:c>
      <x:c r="D856" s="71" t="str">
        <x:v>pre</x:v>
      </x:c>
      <x:c r="E856" s="72" t="b">
        <x:v>0</x:v>
      </x:c>
      <x:c r="F856" t="str">
        <x:v>Duke Blue Devils</x:v>
      </x:c>
      <x:c r="G856" t="str">
        <x:v>DUKE</x:v>
      </x:c>
      <x:c r="H856" s="69" t="n">
        <x:v>0</x:v>
      </x:c>
      <x:c r="I856" t="str">
        <x:v>3-0</x:v>
      </x:c>
      <x:c r="J856" t="str">
        <x:f>IF(E856&lt;&gt;TRUE,"",IF(H856&gt;M856,"W",IF(H856&lt;M856,"L","T")))</x:f>
      </x:c>
      <x:c r="K856" t="str">
        <x:v>Wake Forest Demon Deacons</x:v>
      </x:c>
      <x:c r="L856" t="str">
        <x:v>WAKE</x:v>
      </x:c>
      <x:c r="M856" s="69" t="n">
        <x:v>0</x:v>
      </x:c>
      <x:c r="N856" t="str">
        <x:v>2-1</x:v>
      </x:c>
      <x:c r="O856" t="str">
        <x:f>IF(E856&lt;&gt;TRUE,"",IF(M856&gt;H856,"W",IF(M856&lt;H856,"L","T")))</x:f>
      </x:c>
      <x:c r="P856" s="66" t="b">
        <x:v>0</x:v>
      </x:c>
      <x:c r="Q856" s="66" t="b">
        <x:v>1</x:v>
      </x:c>
      <x:c r="R856" t="str">
        <x:v>Allegacy Federal Credit Union Stadium</x:v>
      </x:c>
      <x:c r="S856" t="str"/>
      <x:c r="T856"/>
      <x:c r="U856" s="70"/>
      <x:c r="V856" s="70"/>
      <x:c r="W856"/>
      <x:c r="X856" t="str">
        <x:v>https://www.espn.com/college-football/game/_/gameId/401858312</x:v>
      </x:c>
    </x:row>
    <x:row r="857">
      <x:c r="A857" t="str">
        <x:v>CFB</x:v>
      </x:c>
      <x:c r="B857" t="n">
        <x:v>13</x:v>
      </x:c>
      <x:c r="C857" s="68" t="n">
        <x:v>46354.208333333336</x:v>
      </x:c>
      <x:c r="D857" s="71" t="str">
        <x:v>pre</x:v>
      </x:c>
      <x:c r="E857" s="72" t="b">
        <x:v>0</x:v>
      </x:c>
      <x:c r="F857" t="str">
        <x:v>NC State Wolfpack</x:v>
      </x:c>
      <x:c r="G857" t="str">
        <x:v>NCSU</x:v>
      </x:c>
      <x:c r="H857" s="69" t="n">
        <x:v>0</x:v>
      </x:c>
      <x:c r="I857" t="str">
        <x:v>1-2</x:v>
      </x:c>
      <x:c r="J857" t="str">
        <x:f>IF(E857&lt;&gt;TRUE,"",IF(H857&gt;M857,"W",IF(H857&lt;M857,"L","T")))</x:f>
      </x:c>
      <x:c r="K857" t="str">
        <x:v>North Carolina Tar Heels</x:v>
      </x:c>
      <x:c r="L857" t="str">
        <x:v>UNC</x:v>
      </x:c>
      <x:c r="M857" s="69" t="n">
        <x:v>0</x:v>
      </x:c>
      <x:c r="N857" t="str">
        <x:v>2-1</x:v>
      </x:c>
      <x:c r="O857" t="str">
        <x:f>IF(E857&lt;&gt;TRUE,"",IF(M857&gt;H857,"W",IF(M857&lt;H857,"L","T")))</x:f>
      </x:c>
      <x:c r="P857" s="66" t="b">
        <x:v>0</x:v>
      </x:c>
      <x:c r="Q857" s="66" t="b">
        <x:v>1</x:v>
      </x:c>
      <x:c r="R857" t="str">
        <x:v>Kenan Stadium</x:v>
      </x:c>
      <x:c r="S857" t="str"/>
      <x:c r="T857" t="str">
        <x:v>NCSU -1.5</x:v>
      </x:c>
      <x:c r="U857" s="70" t="n">
        <x:v>1.5</x:v>
      </x:c>
      <x:c r="V857" s="70" t="n">
        <x:v>55.5</x:v>
      </x:c>
      <x:c r="W857" t="str">
        <x:v>DraftKings</x:v>
      </x:c>
      <x:c r="X857" t="str">
        <x:v>https://www.espn.com/college-football/game/_/gameId/401858313</x:v>
      </x:c>
    </x:row>
    <x:row r="858">
      <x:c r="A858" t="str">
        <x:v>CFB</x:v>
      </x:c>
      <x:c r="B858" t="n">
        <x:v>13</x:v>
      </x:c>
      <x:c r="C858" s="68" t="n">
        <x:v>46354.208333333336</x:v>
      </x:c>
      <x:c r="D858" s="71" t="str">
        <x:v>pre</x:v>
      </x:c>
      <x:c r="E858" s="72" t="b">
        <x:v>0</x:v>
      </x:c>
      <x:c r="F858" t="str">
        <x:v>Notre Dame Fighting Irish</x:v>
      </x:c>
      <x:c r="G858" t="str">
        <x:v>ND</x:v>
      </x:c>
      <x:c r="H858" s="69" t="n">
        <x:v>0</x:v>
      </x:c>
      <x:c r="I858" t="str">
        <x:v>3-0</x:v>
      </x:c>
      <x:c r="J858" t="str">
        <x:f>IF(E858&lt;&gt;TRUE,"",IF(H858&gt;M858,"W",IF(H858&lt;M858,"L","T")))</x:f>
      </x:c>
      <x:c r="K858" t="str">
        <x:v>Syracuse Orange</x:v>
      </x:c>
      <x:c r="L858" t="str">
        <x:v>SYR</x:v>
      </x:c>
      <x:c r="M858" s="69" t="n">
        <x:v>0</x:v>
      </x:c>
      <x:c r="N858" t="str">
        <x:v>1-2</x:v>
      </x:c>
      <x:c r="O858" t="str">
        <x:f>IF(E858&lt;&gt;TRUE,"",IF(M858&gt;H858,"W",IF(M858&lt;H858,"L","T")))</x:f>
      </x:c>
      <x:c r="P858" s="66" t="b">
        <x:v>0</x:v>
      </x:c>
      <x:c r="Q858" s="66" t="b">
        <x:v>0</x:v>
      </x:c>
      <x:c r="R858" t="str">
        <x:v>JMA Wireless Dome</x:v>
      </x:c>
      <x:c r="S858" t="str"/>
      <x:c r="T858"/>
      <x:c r="U858" s="70"/>
      <x:c r="V858" s="70"/>
      <x:c r="W858"/>
      <x:c r="X858" t="str">
        <x:v>https://www.espn.com/college-football/game/_/gameId/401858314</x:v>
      </x:c>
    </x:row>
    <x:row r="859">
      <x:c r="A859" t="str">
        <x:v>CFB</x:v>
      </x:c>
      <x:c r="B859" t="n">
        <x:v>13</x:v>
      </x:c>
      <x:c r="C859" s="68" t="n">
        <x:v>46354.208333333336</x:v>
      </x:c>
      <x:c r="D859" s="71" t="str">
        <x:v>pre</x:v>
      </x:c>
      <x:c r="E859" s="72" t="b">
        <x:v>0</x:v>
      </x:c>
      <x:c r="F859" t="str">
        <x:v>Pittsburgh Panthers</x:v>
      </x:c>
      <x:c r="G859" t="str">
        <x:v>PITT</x:v>
      </x:c>
      <x:c r="H859" s="69" t="n">
        <x:v>0</x:v>
      </x:c>
      <x:c r="I859" t="str">
        <x:v>3-0</x:v>
      </x:c>
      <x:c r="J859" t="str">
        <x:f>IF(E859&lt;&gt;TRUE,"",IF(H859&gt;M859,"W",IF(H859&lt;M859,"L","T")))</x:f>
      </x:c>
      <x:c r="K859" t="str">
        <x:v>California Golden Bears</x:v>
      </x:c>
      <x:c r="L859" t="str">
        <x:v>CAL</x:v>
      </x:c>
      <x:c r="M859" s="69" t="n">
        <x:v>0</x:v>
      </x:c>
      <x:c r="N859" t="str">
        <x:v>2-1</x:v>
      </x:c>
      <x:c r="O859" t="str">
        <x:f>IF(E859&lt;&gt;TRUE,"",IF(M859&gt;H859,"W",IF(M859&lt;H859,"L","T")))</x:f>
      </x:c>
      <x:c r="P859" s="66" t="b">
        <x:v>0</x:v>
      </x:c>
      <x:c r="Q859" s="66" t="b">
        <x:v>1</x:v>
      </x:c>
      <x:c r="R859" t="str">
        <x:v>California Memorial Stadium</x:v>
      </x:c>
      <x:c r="S859" t="str"/>
      <x:c r="T859"/>
      <x:c r="U859" s="70"/>
      <x:c r="V859" s="70"/>
      <x:c r="W859"/>
      <x:c r="X859" t="str">
        <x:v>https://www.espn.com/college-football/game/_/gameId/401858315</x:v>
      </x:c>
    </x:row>
    <x:row r="860">
      <x:c r="A860" t="str">
        <x:v>CFB</x:v>
      </x:c>
      <x:c r="B860" t="n">
        <x:v>13</x:v>
      </x:c>
      <x:c r="C860" s="68" t="n">
        <x:v>46354.208333333336</x:v>
      </x:c>
      <x:c r="D860" s="71" t="str">
        <x:v>pre</x:v>
      </x:c>
      <x:c r="E860" s="72" t="b">
        <x:v>0</x:v>
      </x:c>
      <x:c r="F860" t="str">
        <x:v>SMU Mustangs</x:v>
      </x:c>
      <x:c r="G860" t="str">
        <x:v>SMU</x:v>
      </x:c>
      <x:c r="H860" s="69" t="n">
        <x:v>0</x:v>
      </x:c>
      <x:c r="I860" t="str">
        <x:v>2-1</x:v>
      </x:c>
      <x:c r="J860" t="str">
        <x:f>IF(E860&lt;&gt;TRUE,"",IF(H860&gt;M860,"W",IF(H860&lt;M860,"L","T")))</x:f>
      </x:c>
      <x:c r="K860" t="str">
        <x:v>Stanford Cardinal</x:v>
      </x:c>
      <x:c r="L860" t="str">
        <x:v>STAN</x:v>
      </x:c>
      <x:c r="M860" s="69" t="n">
        <x:v>0</x:v>
      </x:c>
      <x:c r="N860" t="str">
        <x:v>1-2</x:v>
      </x:c>
      <x:c r="O860" t="str">
        <x:f>IF(E860&lt;&gt;TRUE,"",IF(M860&gt;H860,"W",IF(M860&lt;H860,"L","T")))</x:f>
      </x:c>
      <x:c r="P860" s="66" t="b">
        <x:v>0</x:v>
      </x:c>
      <x:c r="Q860" s="66" t="b">
        <x:v>1</x:v>
      </x:c>
      <x:c r="R860" t="str">
        <x:v>Stanford Stadium</x:v>
      </x:c>
      <x:c r="S860" t="str"/>
      <x:c r="T860"/>
      <x:c r="U860" s="70"/>
      <x:c r="V860" s="70"/>
      <x:c r="W860"/>
      <x:c r="X860" t="str">
        <x:v>https://www.espn.com/college-football/game/_/gameId/401858316</x:v>
      </x:c>
    </x:row>
    <x:row r="861">
      <x:c r="A861" t="str">
        <x:v>CFB</x:v>
      </x:c>
      <x:c r="B861" t="n">
        <x:v>13</x:v>
      </x:c>
      <x:c r="C861" s="68" t="n">
        <x:v>46354.208333333336</x:v>
      </x:c>
      <x:c r="D861" s="71" t="str">
        <x:v>pre</x:v>
      </x:c>
      <x:c r="E861" s="72" t="b">
        <x:v>0</x:v>
      </x:c>
      <x:c r="F861" t="str">
        <x:v>Virginia Cavaliers</x:v>
      </x:c>
      <x:c r="G861" t="str">
        <x:v>UVA</x:v>
      </x:c>
      <x:c r="H861" s="69" t="n">
        <x:v>0</x:v>
      </x:c>
      <x:c r="I861" t="str">
        <x:v>2-1</x:v>
      </x:c>
      <x:c r="J861" t="str">
        <x:f>IF(E861&lt;&gt;TRUE,"",IF(H861&gt;M861,"W",IF(H861&lt;M861,"L","T")))</x:f>
      </x:c>
      <x:c r="K861" t="str">
        <x:v>Virginia Tech Hokies</x:v>
      </x:c>
      <x:c r="L861" t="str">
        <x:v>VT</x:v>
      </x:c>
      <x:c r="M861" s="69" t="n">
        <x:v>0</x:v>
      </x:c>
      <x:c r="N861" t="str">
        <x:v>3-0</x:v>
      </x:c>
      <x:c r="O861" t="str">
        <x:f>IF(E861&lt;&gt;TRUE,"",IF(M861&gt;H861,"W",IF(M861&lt;H861,"L","T")))</x:f>
      </x:c>
      <x:c r="P861" s="66" t="b">
        <x:v>0</x:v>
      </x:c>
      <x:c r="Q861" s="66" t="b">
        <x:v>1</x:v>
      </x:c>
      <x:c r="R861" t="str">
        <x:v>Lane Stadium</x:v>
      </x:c>
      <x:c r="S861" t="str"/>
      <x:c r="T861" t="str">
        <x:v>VT -1.5</x:v>
      </x:c>
      <x:c r="U861" s="70" t="n">
        <x:v>-1.5</x:v>
      </x:c>
      <x:c r="V861" s="70" t="n">
        <x:v>53.5</x:v>
      </x:c>
      <x:c r="W861" t="str">
        <x:v>DraftKings</x:v>
      </x:c>
      <x:c r="X861" t="str">
        <x:v>https://www.espn.com/college-football/game/_/gameId/401858317</x:v>
      </x:c>
    </x:row>
    <x:row r="862">
      <x:c r="A862" t="str">
        <x:v>CFB</x:v>
      </x:c>
      <x:c r="B862" t="n">
        <x:v>13</x:v>
      </x:c>
      <x:c r="C862" s="68" t="n">
        <x:v>46354.208333333336</x:v>
      </x:c>
      <x:c r="D862" s="71" t="str">
        <x:v>pre</x:v>
      </x:c>
      <x:c r="E862" s="72" t="b">
        <x:v>0</x:v>
      </x:c>
      <x:c r="F862" t="str">
        <x:v>Illinois Fighting Illini</x:v>
      </x:c>
      <x:c r="G862" t="str">
        <x:v>ILL</x:v>
      </x:c>
      <x:c r="H862" s="69" t="n">
        <x:v>0</x:v>
      </x:c>
      <x:c r="I862" t="str">
        <x:v>2-1</x:v>
      </x:c>
      <x:c r="J862" t="str">
        <x:f>IF(E862&lt;&gt;TRUE,"",IF(H862&gt;M862,"W",IF(H862&lt;M862,"L","T")))</x:f>
      </x:c>
      <x:c r="K862" t="str">
        <x:v>Northwestern Wildcats</x:v>
      </x:c>
      <x:c r="L862" t="str">
        <x:v>NU</x:v>
      </x:c>
      <x:c r="M862" s="69" t="n">
        <x:v>0</x:v>
      </x:c>
      <x:c r="N862" t="str">
        <x:v>2-0</x:v>
      </x:c>
      <x:c r="O862" t="str">
        <x:f>IF(E862&lt;&gt;TRUE,"",IF(M862&gt;H862,"W",IF(M862&lt;H862,"L","T")))</x:f>
      </x:c>
      <x:c r="P862" s="66" t="b">
        <x:v>0</x:v>
      </x:c>
      <x:c r="Q862" s="66" t="b">
        <x:v>1</x:v>
      </x:c>
      <x:c r="R862" t="str">
        <x:v>Ryan Field</x:v>
      </x:c>
      <x:c r="S862" t="str"/>
      <x:c r="T862" t="str">
        <x:v>ILL -3.5</x:v>
      </x:c>
      <x:c r="U862" s="70" t="n">
        <x:v>3.5</x:v>
      </x:c>
      <x:c r="V862" s="70" t="n">
        <x:v>52.5</x:v>
      </x:c>
      <x:c r="W862" t="str">
        <x:v>DraftKings</x:v>
      </x:c>
      <x:c r="X862" t="str">
        <x:v>https://www.espn.com/college-football/game/_/gameId/401858537</x:v>
      </x:c>
    </x:row>
    <x:row r="863">
      <x:c r="A863" t="str">
        <x:v>CFB</x:v>
      </x:c>
      <x:c r="B863" t="n">
        <x:v>13</x:v>
      </x:c>
      <x:c r="C863" s="68" t="n">
        <x:v>46354.208333333336</x:v>
      </x:c>
      <x:c r="D863" s="71" t="str">
        <x:v>pre</x:v>
      </x:c>
      <x:c r="E863" s="72" t="b">
        <x:v>0</x:v>
      </x:c>
      <x:c r="F863" t="str">
        <x:v>Purdue Boilermakers</x:v>
      </x:c>
      <x:c r="G863" t="str">
        <x:v>PUR</x:v>
      </x:c>
      <x:c r="H863" s="69" t="n">
        <x:v>0</x:v>
      </x:c>
      <x:c r="I863" t="str">
        <x:v>1-2</x:v>
      </x:c>
      <x:c r="J863" t="str">
        <x:f>IF(E863&lt;&gt;TRUE,"",IF(H863&gt;M863,"W",IF(H863&lt;M863,"L","T")))</x:f>
      </x:c>
      <x:c r="K863" t="str">
        <x:v>Indiana Hoosiers</x:v>
      </x:c>
      <x:c r="L863" t="str">
        <x:v>IU</x:v>
      </x:c>
      <x:c r="M863" s="69" t="n">
        <x:v>0</x:v>
      </x:c>
      <x:c r="N863" t="str">
        <x:v>3-0</x:v>
      </x:c>
      <x:c r="O863" t="str">
        <x:f>IF(E863&lt;&gt;TRUE,"",IF(M863&gt;H863,"W",IF(M863&lt;H863,"L","T")))</x:f>
      </x:c>
      <x:c r="P863" s="66" t="b">
        <x:v>0</x:v>
      </x:c>
      <x:c r="Q863" s="66" t="b">
        <x:v>1</x:v>
      </x:c>
      <x:c r="R863" t="str">
        <x:v>Memorial Stadium (Bloomington, IN)</x:v>
      </x:c>
      <x:c r="S863" t="str"/>
      <x:c r="T863"/>
      <x:c r="U863" s="70"/>
      <x:c r="V863" s="70"/>
      <x:c r="W863"/>
      <x:c r="X863" t="str">
        <x:v>https://www.espn.com/college-football/game/_/gameId/401858538</x:v>
      </x:c>
    </x:row>
    <x:row r="864">
      <x:c r="A864" t="str">
        <x:v>CFB</x:v>
      </x:c>
      <x:c r="B864" t="n">
        <x:v>13</x:v>
      </x:c>
      <x:c r="C864" s="68" t="n">
        <x:v>46354.208333333336</x:v>
      </x:c>
      <x:c r="D864" s="71" t="str">
        <x:v>pre</x:v>
      </x:c>
      <x:c r="E864" s="72" t="b">
        <x:v>0</x:v>
      </x:c>
      <x:c r="F864" t="str">
        <x:v>Penn State Nittany Lions</x:v>
      </x:c>
      <x:c r="G864" t="str">
        <x:v>PSU</x:v>
      </x:c>
      <x:c r="H864" s="69" t="n">
        <x:v>0</x:v>
      </x:c>
      <x:c r="I864" t="str">
        <x:v>3-0</x:v>
      </x:c>
      <x:c r="J864" t="str">
        <x:f>IF(E864&lt;&gt;TRUE,"",IF(H864&gt;M864,"W",IF(H864&lt;M864,"L","T")))</x:f>
      </x:c>
      <x:c r="K864" t="str">
        <x:v>Maryland Terrapins</x:v>
      </x:c>
      <x:c r="L864" t="str">
        <x:v>MD</x:v>
      </x:c>
      <x:c r="M864" s="69" t="n">
        <x:v>0</x:v>
      </x:c>
      <x:c r="N864" t="str">
        <x:v>2-1</x:v>
      </x:c>
      <x:c r="O864" t="str">
        <x:f>IF(E864&lt;&gt;TRUE,"",IF(M864&gt;H864,"W",IF(M864&lt;H864,"L","T")))</x:f>
      </x:c>
      <x:c r="P864" s="66" t="b">
        <x:v>0</x:v>
      </x:c>
      <x:c r="Q864" s="66" t="b">
        <x:v>1</x:v>
      </x:c>
      <x:c r="R864" t="str">
        <x:v>SECU Stadium</x:v>
      </x:c>
      <x:c r="S864" t="str"/>
      <x:c r="T864"/>
      <x:c r="U864" s="70"/>
      <x:c r="V864" s="70"/>
      <x:c r="W864"/>
      <x:c r="X864" t="str">
        <x:v>https://www.espn.com/college-football/game/_/gameId/401858539</x:v>
      </x:c>
    </x:row>
    <x:row r="865">
      <x:c r="A865" t="str">
        <x:v>CFB</x:v>
      </x:c>
      <x:c r="B865" t="n">
        <x:v>13</x:v>
      </x:c>
      <x:c r="C865" s="68" t="n">
        <x:v>46354.208333333336</x:v>
      </x:c>
      <x:c r="D865" s="71" t="str">
        <x:v>pre</x:v>
      </x:c>
      <x:c r="E865" s="72" t="b">
        <x:v>0</x:v>
      </x:c>
      <x:c r="F865" t="str">
        <x:v>Washington Huskies</x:v>
      </x:c>
      <x:c r="G865" t="str">
        <x:v>WASH</x:v>
      </x:c>
      <x:c r="H865" s="69" t="n">
        <x:v>0</x:v>
      </x:c>
      <x:c r="I865" t="str">
        <x:v>3-0</x:v>
      </x:c>
      <x:c r="J865" t="str">
        <x:f>IF(E865&lt;&gt;TRUE,"",IF(H865&gt;M865,"W",IF(H865&lt;M865,"L","T")))</x:f>
      </x:c>
      <x:c r="K865" t="str">
        <x:v>Oregon Ducks</x:v>
      </x:c>
      <x:c r="L865" t="str">
        <x:v>ORE</x:v>
      </x:c>
      <x:c r="M865" s="69" t="n">
        <x:v>0</x:v>
      </x:c>
      <x:c r="N865" t="str">
        <x:v>2-1</x:v>
      </x:c>
      <x:c r="O865" t="str">
        <x:f>IF(E865&lt;&gt;TRUE,"",IF(M865&gt;H865,"W",IF(M865&lt;H865,"L","T")))</x:f>
      </x:c>
      <x:c r="P865" s="66" t="b">
        <x:v>0</x:v>
      </x:c>
      <x:c r="Q865" s="66" t="b">
        <x:v>1</x:v>
      </x:c>
      <x:c r="R865" t="str">
        <x:v>Autzen Stadium</x:v>
      </x:c>
      <x:c r="S865" t="str"/>
      <x:c r="T865" t="str">
        <x:v>ORE -15.5</x:v>
      </x:c>
      <x:c r="U865" s="70" t="n">
        <x:v>-15.5</x:v>
      </x:c>
      <x:c r="V865" s="70" t="n">
        <x:v>54.5</x:v>
      </x:c>
      <x:c r="W865" t="str">
        <x:v>DraftKings</x:v>
      </x:c>
      <x:c r="X865" t="str">
        <x:v>https://www.espn.com/college-football/game/_/gameId/401858541</x:v>
      </x:c>
    </x:row>
    <x:row r="866">
      <x:c r="A866" t="str">
        <x:v>CFB</x:v>
      </x:c>
      <x:c r="B866" t="n">
        <x:v>13</x:v>
      </x:c>
      <x:c r="C866" s="68" t="n">
        <x:v>46354.208333333336</x:v>
      </x:c>
      <x:c r="D866" s="71" t="str">
        <x:v>pre</x:v>
      </x:c>
      <x:c r="E866" s="72" t="b">
        <x:v>0</x:v>
      </x:c>
      <x:c r="F866" t="str">
        <x:v>Michigan State Spartans</x:v>
      </x:c>
      <x:c r="G866" t="str">
        <x:v>MSU</x:v>
      </x:c>
      <x:c r="H866" s="69" t="n">
        <x:v>0</x:v>
      </x:c>
      <x:c r="I866" t="str">
        <x:v>2-1</x:v>
      </x:c>
      <x:c r="J866" t="str">
        <x:f>IF(E866&lt;&gt;TRUE,"",IF(H866&gt;M866,"W",IF(H866&lt;M866,"L","T")))</x:f>
      </x:c>
      <x:c r="K866" t="str">
        <x:v>Rutgers Scarlet Knights</x:v>
      </x:c>
      <x:c r="L866" t="str">
        <x:v>RUTG</x:v>
      </x:c>
      <x:c r="M866" s="69" t="n">
        <x:v>0</x:v>
      </x:c>
      <x:c r="N866" t="str">
        <x:v>0-3</x:v>
      </x:c>
      <x:c r="O866" t="str">
        <x:f>IF(E866&lt;&gt;TRUE,"",IF(M866&gt;H866,"W",IF(M866&lt;H866,"L","T")))</x:f>
      </x:c>
      <x:c r="P866" s="66" t="b">
        <x:v>0</x:v>
      </x:c>
      <x:c r="Q866" s="66" t="b">
        <x:v>1</x:v>
      </x:c>
      <x:c r="R866" t="str">
        <x:v>SHI Stadium</x:v>
      </x:c>
      <x:c r="S866" t="str"/>
      <x:c r="T866"/>
      <x:c r="U866" s="70"/>
      <x:c r="V866" s="70"/>
      <x:c r="W866"/>
      <x:c r="X866" t="str">
        <x:v>https://www.espn.com/college-football/game/_/gameId/401858542</x:v>
      </x:c>
    </x:row>
    <x:row r="867">
      <x:c r="A867" t="str">
        <x:v>CFB</x:v>
      </x:c>
      <x:c r="B867" t="n">
        <x:v>13</x:v>
      </x:c>
      <x:c r="C867" s="68" t="n">
        <x:v>46354.208333333336</x:v>
      </x:c>
      <x:c r="D867" s="71" t="str">
        <x:v>pre</x:v>
      </x:c>
      <x:c r="E867" s="72" t="b">
        <x:v>0</x:v>
      </x:c>
      <x:c r="F867" t="str">
        <x:v>USC Trojans</x:v>
      </x:c>
      <x:c r="G867" t="str">
        <x:v>USC</x:v>
      </x:c>
      <x:c r="H867" s="69" t="n">
        <x:v>0</x:v>
      </x:c>
      <x:c r="I867" t="str">
        <x:v>4-0</x:v>
      </x:c>
      <x:c r="J867" t="str">
        <x:f>IF(E867&lt;&gt;TRUE,"",IF(H867&gt;M867,"W",IF(H867&lt;M867,"L","T")))</x:f>
      </x:c>
      <x:c r="K867" t="str">
        <x:v>UCLA Bruins</x:v>
      </x:c>
      <x:c r="L867" t="str">
        <x:v>UCLA</x:v>
      </x:c>
      <x:c r="M867" s="69" t="n">
        <x:v>0</x:v>
      </x:c>
      <x:c r="N867" t="str">
        <x:v>3-0</x:v>
      </x:c>
      <x:c r="O867" t="str">
        <x:f>IF(E867&lt;&gt;TRUE,"",IF(M867&gt;H867,"W",IF(M867&lt;H867,"L","T")))</x:f>
      </x:c>
      <x:c r="P867" s="66" t="b">
        <x:v>0</x:v>
      </x:c>
      <x:c r="Q867" s="66" t="b">
        <x:v>1</x:v>
      </x:c>
      <x:c r="R867" t="str">
        <x:v>Rose Bowl</x:v>
      </x:c>
      <x:c r="S867" t="str"/>
      <x:c r="T867" t="str">
        <x:v>USC -10.5</x:v>
      </x:c>
      <x:c r="U867" s="70" t="n">
        <x:v>10.5</x:v>
      </x:c>
      <x:c r="V867" s="70" t="n">
        <x:v>55.5</x:v>
      </x:c>
      <x:c r="W867" t="str">
        <x:v>DraftKings</x:v>
      </x:c>
      <x:c r="X867" t="str">
        <x:v>https://www.espn.com/college-football/game/_/gameId/401858543</x:v>
      </x:c>
    </x:row>
    <x:row r="868">
      <x:c r="A868" t="str">
        <x:v>CFB</x:v>
      </x:c>
      <x:c r="B868" t="n">
        <x:v>13</x:v>
      </x:c>
      <x:c r="C868" s="68" t="n">
        <x:v>46354.208333333336</x:v>
      </x:c>
      <x:c r="D868" s="71" t="str">
        <x:v>pre</x:v>
      </x:c>
      <x:c r="E868" s="72" t="b">
        <x:v>0</x:v>
      </x:c>
      <x:c r="F868" t="str">
        <x:v>TBD</x:v>
      </x:c>
      <x:c r="G868" t="str">
        <x:v>TBD</x:v>
      </x:c>
      <x:c r="H868" s="69" t="n">
        <x:v>0</x:v>
      </x:c>
      <x:c r="I868"/>
      <x:c r="J868" t="str">
        <x:f>IF(E868&lt;&gt;TRUE,"",IF(H868&gt;M868,"W",IF(H868&lt;M868,"L","T")))</x:f>
      </x:c>
      <x:c r="K868" t="str">
        <x:v>Colorado State Rams</x:v>
      </x:c>
      <x:c r="L868" t="str">
        <x:v>CSU</x:v>
      </x:c>
      <x:c r="M868" s="69" t="n">
        <x:v>0</x:v>
      </x:c>
      <x:c r="N868" t="str">
        <x:v>2-1</x:v>
      </x:c>
      <x:c r="O868" t="str">
        <x:f>IF(E868&lt;&gt;TRUE,"",IF(M868&gt;H868,"W",IF(M868&lt;H868,"L","T")))</x:f>
      </x:c>
      <x:c r="P868" s="66" t="b">
        <x:v>0</x:v>
      </x:c>
      <x:c r="Q868" s="66" t="b">
        <x:v>1</x:v>
      </x:c>
      <x:c r="R868" t="str">
        <x:v>Canvas Stadium</x:v>
      </x:c>
      <x:c r="S868" t="str"/>
      <x:c r="T868"/>
      <x:c r="U868" s="70"/>
      <x:c r="V868" s="70"/>
      <x:c r="W868"/>
      <x:c r="X868" t="str">
        <x:v>https://www.espn.com/college-football/game/_/gameId/401860926</x:v>
      </x:c>
    </x:row>
    <x:row r="869">
      <x:c r="A869" t="str">
        <x:v>CFB</x:v>
      </x:c>
      <x:c r="B869" t="n">
        <x:v>13</x:v>
      </x:c>
      <x:c r="C869" s="68" t="n">
        <x:v>46354.208333333336</x:v>
      </x:c>
      <x:c r="D869" s="71" t="str">
        <x:v>pre</x:v>
      </x:c>
      <x:c r="E869" s="72" t="b">
        <x:v>0</x:v>
      </x:c>
      <x:c r="F869" t="str">
        <x:v>TBD</x:v>
      </x:c>
      <x:c r="G869" t="str">
        <x:v>TBD</x:v>
      </x:c>
      <x:c r="H869" s="69" t="n">
        <x:v>0</x:v>
      </x:c>
      <x:c r="I869"/>
      <x:c r="J869" t="str">
        <x:f>IF(E869&lt;&gt;TRUE,"",IF(H869&gt;M869,"W",IF(H869&lt;M869,"L","T")))</x:f>
      </x:c>
      <x:c r="K869" t="str">
        <x:v>Fresno State Bulldogs</x:v>
      </x:c>
      <x:c r="L869" t="str">
        <x:v>FRES</x:v>
      </x:c>
      <x:c r="M869" s="69" t="n">
        <x:v>0</x:v>
      </x:c>
      <x:c r="N869" t="str">
        <x:v>2-1</x:v>
      </x:c>
      <x:c r="O869" t="str">
        <x:f>IF(E869&lt;&gt;TRUE,"",IF(M869&gt;H869,"W",IF(M869&lt;H869,"L","T")))</x:f>
      </x:c>
      <x:c r="P869" s="66" t="b">
        <x:v>0</x:v>
      </x:c>
      <x:c r="Q869" s="66" t="b">
        <x:v>1</x:v>
      </x:c>
      <x:c r="R869" t="str">
        <x:v>Valley Children's Stadium</x:v>
      </x:c>
      <x:c r="S869" t="str"/>
      <x:c r="T869"/>
      <x:c r="U869" s="70"/>
      <x:c r="V869" s="70"/>
      <x:c r="W869"/>
      <x:c r="X869" t="str">
        <x:v>https://www.espn.com/college-football/game/_/gameId/401860927</x:v>
      </x:c>
    </x:row>
    <x:row r="870">
      <x:c r="A870" t="str">
        <x:v>CFB</x:v>
      </x:c>
      <x:c r="B870" t="n">
        <x:v>13</x:v>
      </x:c>
      <x:c r="C870" s="68" t="n">
        <x:v>46354.208333333336</x:v>
      </x:c>
      <x:c r="D870" s="71" t="str">
        <x:v>pre</x:v>
      </x:c>
      <x:c r="E870" s="72" t="b">
        <x:v>0</x:v>
      </x:c>
      <x:c r="F870" t="str">
        <x:v>TBD</x:v>
      </x:c>
      <x:c r="G870" t="str">
        <x:v>TBD</x:v>
      </x:c>
      <x:c r="H870" s="69" t="n">
        <x:v>0</x:v>
      </x:c>
      <x:c r="I870"/>
      <x:c r="J870" t="str">
        <x:f>IF(E870&lt;&gt;TRUE,"",IF(H870&gt;M870,"W",IF(H870&lt;M870,"L","T")))</x:f>
      </x:c>
      <x:c r="K870" t="str">
        <x:v>Utah State Aggies</x:v>
      </x:c>
      <x:c r="L870" t="str">
        <x:v>USU</x:v>
      </x:c>
      <x:c r="M870" s="69" t="n">
        <x:v>0</x:v>
      </x:c>
      <x:c r="N870" t="str">
        <x:v>0-3</x:v>
      </x:c>
      <x:c r="O870" t="str">
        <x:f>IF(E870&lt;&gt;TRUE,"",IF(M870&gt;H870,"W",IF(M870&lt;H870,"L","T")))</x:f>
      </x:c>
      <x:c r="P870" s="66" t="b">
        <x:v>0</x:v>
      </x:c>
      <x:c r="Q870" s="66" t="b">
        <x:v>0</x:v>
      </x:c>
      <x:c r="R870" t="str">
        <x:v>Maverik Stadium</x:v>
      </x:c>
      <x:c r="S870" t="str"/>
      <x:c r="T870"/>
      <x:c r="U870" s="70"/>
      <x:c r="V870" s="70"/>
      <x:c r="W870"/>
      <x:c r="X870" t="str">
        <x:v>https://www.espn.com/college-football/game/_/gameId/401860928</x:v>
      </x:c>
    </x:row>
    <x:row r="871">
      <x:c r="A871" t="str">
        <x:v>CFB</x:v>
      </x:c>
      <x:c r="B871" t="n">
        <x:v>13</x:v>
      </x:c>
      <x:c r="C871" s="68" t="n">
        <x:v>46354.208333333336</x:v>
      </x:c>
      <x:c r="D871" s="71" t="str">
        <x:v>pre</x:v>
      </x:c>
      <x:c r="E871" s="72" t="b">
        <x:v>0</x:v>
      </x:c>
      <x:c r="F871" t="str">
        <x:v>TBD</x:v>
      </x:c>
      <x:c r="G871" t="str">
        <x:v>TBD</x:v>
      </x:c>
      <x:c r="H871" s="69" t="n">
        <x:v>0</x:v>
      </x:c>
      <x:c r="I871"/>
      <x:c r="J871" t="str">
        <x:f>IF(E871&lt;&gt;TRUE,"",IF(H871&gt;M871,"W",IF(H871&lt;M871,"L","T")))</x:f>
      </x:c>
      <x:c r="K871" t="str">
        <x:v>Washington State Cougars</x:v>
      </x:c>
      <x:c r="L871" t="str">
        <x:v>WSU</x:v>
      </x:c>
      <x:c r="M871" s="69" t="n">
        <x:v>0</x:v>
      </x:c>
      <x:c r="N871" t="str">
        <x:v>1-2</x:v>
      </x:c>
      <x:c r="O871" t="str">
        <x:f>IF(E871&lt;&gt;TRUE,"",IF(M871&gt;H871,"W",IF(M871&lt;H871,"L","T")))</x:f>
      </x:c>
      <x:c r="P871" s="66" t="b">
        <x:v>0</x:v>
      </x:c>
      <x:c r="Q871" s="66" t="b">
        <x:v>1</x:v>
      </x:c>
      <x:c r="R871" t="str">
        <x:v>Martin Stadium</x:v>
      </x:c>
      <x:c r="S871" t="str"/>
      <x:c r="T871"/>
      <x:c r="U871" s="70"/>
      <x:c r="V871" s="70"/>
      <x:c r="W871"/>
      <x:c r="X871" t="str">
        <x:v>https://www.espn.com/college-football/game/_/gameId/401860929</x:v>
      </x:c>
    </x:row>
    <x:row r="872">
      <x:c r="A872" t="str">
        <x:v>CFB</x:v>
      </x:c>
      <x:c r="B872" t="n">
        <x:v>13</x:v>
      </x:c>
      <x:c r="C872" s="68" t="n">
        <x:v>46354.208333333336</x:v>
      </x:c>
      <x:c r="D872" s="71" t="str">
        <x:v>pre</x:v>
      </x:c>
      <x:c r="E872" s="72" t="b">
        <x:v>0</x:v>
      </x:c>
      <x:c r="F872" t="str">
        <x:v>UConn Huskies</x:v>
      </x:c>
      <x:c r="G872" t="str">
        <x:v>CONN</x:v>
      </x:c>
      <x:c r="H872" s="69" t="n">
        <x:v>0</x:v>
      </x:c>
      <x:c r="I872" t="str">
        <x:v>2-1</x:v>
      </x:c>
      <x:c r="J872" t="str">
        <x:f>IF(E872&lt;&gt;TRUE,"",IF(H872&gt;M872,"W",IF(H872&lt;M872,"L","T")))</x:f>
      </x:c>
      <x:c r="K872" t="str">
        <x:v>Wyoming Cowboys</x:v>
      </x:c>
      <x:c r="L872" t="str">
        <x:v>WYO</x:v>
      </x:c>
      <x:c r="M872" s="69" t="n">
        <x:v>0</x:v>
      </x:c>
      <x:c r="N872" t="str">
        <x:v>1-2</x:v>
      </x:c>
      <x:c r="O872" t="str">
        <x:f>IF(E872&lt;&gt;TRUE,"",IF(M872&gt;H872,"W",IF(M872&lt;H872,"L","T")))</x:f>
      </x:c>
      <x:c r="P872" s="66" t="b">
        <x:v>0</x:v>
      </x:c>
      <x:c r="Q872" s="66" t="b">
        <x:v>0</x:v>
      </x:c>
      <x:c r="R872" t="str">
        <x:v>War Memorial Stadium</x:v>
      </x:c>
      <x:c r="S872" t="str"/>
      <x:c r="T872"/>
      <x:c r="U872" s="70"/>
      <x:c r="V872" s="70"/>
      <x:c r="W872"/>
      <x:c r="X872" t="str">
        <x:v>https://www.espn.com/college-football/game/_/gameId/401861969</x:v>
      </x:c>
    </x:row>
    <x:row r="873">
      <x:c r="A873" t="str">
        <x:v>CFB</x:v>
      </x:c>
      <x:c r="B873" t="n">
        <x:v>13</x:v>
      </x:c>
      <x:c r="C873" s="68" t="n">
        <x:v>46354.208333333336</x:v>
      </x:c>
      <x:c r="D873" s="71" t="str">
        <x:v>pre</x:v>
      </x:c>
      <x:c r="E873" s="72" t="b">
        <x:v>0</x:v>
      </x:c>
      <x:c r="F873" t="str">
        <x:v>Tulsa Golden Hurricane</x:v>
      </x:c>
      <x:c r="G873" t="str">
        <x:v>TLSA</x:v>
      </x:c>
      <x:c r="H873" s="69" t="n">
        <x:v>0</x:v>
      </x:c>
      <x:c r="I873" t="str">
        <x:v>3-0</x:v>
      </x:c>
      <x:c r="J873" t="str">
        <x:f>IF(E873&lt;&gt;TRUE,"",IF(H873&gt;M873,"W",IF(H873&lt;M873,"L","T")))</x:f>
      </x:c>
      <x:c r="K873" t="str">
        <x:v>UTSA Roadrunners</x:v>
      </x:c>
      <x:c r="L873" t="str">
        <x:v>UTSA</x:v>
      </x:c>
      <x:c r="M873" s="69" t="n">
        <x:v>0</x:v>
      </x:c>
      <x:c r="N873" t="str">
        <x:v>2-1</x:v>
      </x:c>
      <x:c r="O873" t="str">
        <x:f>IF(E873&lt;&gt;TRUE,"",IF(M873&gt;H873,"W",IF(M873&lt;H873,"L","T")))</x:f>
      </x:c>
      <x:c r="P873" s="66" t="b">
        <x:v>0</x:v>
      </x:c>
      <x:c r="Q873" s="66" t="b">
        <x:v>1</x:v>
      </x:c>
      <x:c r="R873" t="str">
        <x:v>Alamodome</x:v>
      </x:c>
      <x:c r="S873" t="str"/>
      <x:c r="T873"/>
      <x:c r="U873" s="70"/>
      <x:c r="V873" s="70"/>
      <x:c r="W873"/>
      <x:c r="X873" t="str">
        <x:v>https://www.espn.com/college-football/game/_/gameId/401862840</x:v>
      </x:c>
    </x:row>
    <x:row r="874">
      <x:c r="A874" t="str">
        <x:v>CFB</x:v>
      </x:c>
      <x:c r="B874" t="n">
        <x:v>13</x:v>
      </x:c>
      <x:c r="C874" s="68" t="n">
        <x:v>46354.208333333336</x:v>
      </x:c>
      <x:c r="D874" s="71" t="str">
        <x:v>pre</x:v>
      </x:c>
      <x:c r="E874" s="72" t="b">
        <x:v>0</x:v>
      </x:c>
      <x:c r="F874" t="str">
        <x:v>Army Black Knights</x:v>
      </x:c>
      <x:c r="G874" t="str">
        <x:v>ARMY</x:v>
      </x:c>
      <x:c r="H874" s="69" t="n">
        <x:v>0</x:v>
      </x:c>
      <x:c r="I874" t="str">
        <x:v>1-1</x:v>
      </x:c>
      <x:c r="J874" t="str">
        <x:f>IF(E874&lt;&gt;TRUE,"",IF(H874&gt;M874,"W",IF(H874&lt;M874,"L","T")))</x:f>
      </x:c>
      <x:c r="K874" t="str">
        <x:v>Rice Owls</x:v>
      </x:c>
      <x:c r="L874" t="str">
        <x:v>RICE</x:v>
      </x:c>
      <x:c r="M874" s="69" t="n">
        <x:v>0</x:v>
      </x:c>
      <x:c r="N874" t="str">
        <x:v>1-2</x:v>
      </x:c>
      <x:c r="O874" t="str">
        <x:f>IF(E874&lt;&gt;TRUE,"",IF(M874&gt;H874,"W",IF(M874&lt;H874,"L","T")))</x:f>
      </x:c>
      <x:c r="P874" s="66" t="b">
        <x:v>0</x:v>
      </x:c>
      <x:c r="Q874" s="66" t="b">
        <x:v>1</x:v>
      </x:c>
      <x:c r="R874" t="str">
        <x:v>Rice Stadium</x:v>
      </x:c>
      <x:c r="S874" t="str"/>
      <x:c r="T874"/>
      <x:c r="U874" s="70"/>
      <x:c r="V874" s="70"/>
      <x:c r="W874"/>
      <x:c r="X874" t="str">
        <x:v>https://www.espn.com/college-football/game/_/gameId/401862841</x:v>
      </x:c>
    </x:row>
    <x:row r="875">
      <x:c r="A875" t="str">
        <x:v>CFB</x:v>
      </x:c>
      <x:c r="B875" t="n">
        <x:v>13</x:v>
      </x:c>
      <x:c r="C875" s="68" t="n">
        <x:v>46354.208333333336</x:v>
      </x:c>
      <x:c r="D875" s="71" t="str">
        <x:v>pre</x:v>
      </x:c>
      <x:c r="E875" s="72" t="b">
        <x:v>0</x:v>
      </x:c>
      <x:c r="F875" t="str">
        <x:v>Navy Midshipmen</x:v>
      </x:c>
      <x:c r="G875" t="str">
        <x:v>NAVY</x:v>
      </x:c>
      <x:c r="H875" s="69" t="n">
        <x:v>0</x:v>
      </x:c>
      <x:c r="I875" t="str">
        <x:v>1-1</x:v>
      </x:c>
      <x:c r="J875" t="str">
        <x:f>IF(E875&lt;&gt;TRUE,"",IF(H875&gt;M875,"W",IF(H875&lt;M875,"L","T")))</x:f>
      </x:c>
      <x:c r="K875" t="str">
        <x:v>Charlotte 49ers</x:v>
      </x:c>
      <x:c r="L875" t="str">
        <x:v>CLT</x:v>
      </x:c>
      <x:c r="M875" s="69" t="n">
        <x:v>0</x:v>
      </x:c>
      <x:c r="N875" t="str">
        <x:v>0-3</x:v>
      </x:c>
      <x:c r="O875" t="str">
        <x:f>IF(E875&lt;&gt;TRUE,"",IF(M875&gt;H875,"W",IF(M875&lt;H875,"L","T")))</x:f>
      </x:c>
      <x:c r="P875" s="66" t="b">
        <x:v>0</x:v>
      </x:c>
      <x:c r="Q875" s="66" t="b">
        <x:v>1</x:v>
      </x:c>
      <x:c r="R875" t="str">
        <x:v>Jerry Richardson Stadium</x:v>
      </x:c>
      <x:c r="S875" t="str"/>
      <x:c r="T875"/>
      <x:c r="U875" s="70"/>
      <x:c r="V875" s="70"/>
      <x:c r="W875"/>
      <x:c r="X875" t="str">
        <x:v>https://www.espn.com/college-football/game/_/gameId/401862842</x:v>
      </x:c>
    </x:row>
    <x:row r="876">
      <x:c r="A876" t="str">
        <x:v>CFB</x:v>
      </x:c>
      <x:c r="B876" t="n">
        <x:v>13</x:v>
      </x:c>
      <x:c r="C876" s="68" t="n">
        <x:v>46354.208333333336</x:v>
      </x:c>
      <x:c r="D876" s="71" t="str">
        <x:v>pre</x:v>
      </x:c>
      <x:c r="E876" s="72" t="b">
        <x:v>0</x:v>
      </x:c>
      <x:c r="F876" t="str">
        <x:v>UAB Blazers</x:v>
      </x:c>
      <x:c r="G876" t="str">
        <x:v>UAB</x:v>
      </x:c>
      <x:c r="H876" s="69" t="n">
        <x:v>0</x:v>
      </x:c>
      <x:c r="I876" t="str">
        <x:v>1-2</x:v>
      </x:c>
      <x:c r="J876" t="str">
        <x:f>IF(E876&lt;&gt;TRUE,"",IF(H876&gt;M876,"W",IF(H876&lt;M876,"L","T")))</x:f>
      </x:c>
      <x:c r="K876" t="str">
        <x:v>North Texas Mean Green</x:v>
      </x:c>
      <x:c r="L876" t="str">
        <x:v>UNT</x:v>
      </x:c>
      <x:c r="M876" s="69" t="n">
        <x:v>0</x:v>
      </x:c>
      <x:c r="N876" t="str">
        <x:v>1-2</x:v>
      </x:c>
      <x:c r="O876" t="str">
        <x:f>IF(E876&lt;&gt;TRUE,"",IF(M876&gt;H876,"W",IF(M876&lt;H876,"L","T")))</x:f>
      </x:c>
      <x:c r="P876" s="66" t="b">
        <x:v>0</x:v>
      </x:c>
      <x:c r="Q876" s="66" t="b">
        <x:v>1</x:v>
      </x:c>
      <x:c r="R876" t="str">
        <x:v>DATCU Stadium</x:v>
      </x:c>
      <x:c r="S876" t="str"/>
      <x:c r="T876"/>
      <x:c r="U876" s="70"/>
      <x:c r="V876" s="70"/>
      <x:c r="W876"/>
      <x:c r="X876" t="str">
        <x:v>https://www.espn.com/college-football/game/_/gameId/401862843</x:v>
      </x:c>
    </x:row>
    <x:row r="877">
      <x:c r="A877" t="str">
        <x:v>CFB</x:v>
      </x:c>
      <x:c r="B877" t="n">
        <x:v>13</x:v>
      </x:c>
      <x:c r="C877" s="68" t="n">
        <x:v>46354.208333333336</x:v>
      </x:c>
      <x:c r="D877" s="71" t="str">
        <x:v>pre</x:v>
      </x:c>
      <x:c r="E877" s="72" t="b">
        <x:v>0</x:v>
      </x:c>
      <x:c r="F877" t="str">
        <x:v>UTEP Miners</x:v>
      </x:c>
      <x:c r="G877" t="str">
        <x:v>UTEP</x:v>
      </x:c>
      <x:c r="H877" s="69" t="n">
        <x:v>0</x:v>
      </x:c>
      <x:c r="I877" t="str">
        <x:v>1-2</x:v>
      </x:c>
      <x:c r="J877" t="str">
        <x:f>IF(E877&lt;&gt;TRUE,"",IF(H877&gt;M877,"W",IF(H877&lt;M877,"L","T")))</x:f>
      </x:c>
      <x:c r="K877" t="str">
        <x:v>Northern Illinois Huskies</x:v>
      </x:c>
      <x:c r="L877" t="str">
        <x:v>NIU</x:v>
      </x:c>
      <x:c r="M877" s="69" t="n">
        <x:v>0</x:v>
      </x:c>
      <x:c r="N877" t="str">
        <x:v>0-3</x:v>
      </x:c>
      <x:c r="O877" t="str">
        <x:f>IF(E877&lt;&gt;TRUE,"",IF(M877&gt;H877,"W",IF(M877&lt;H877,"L","T")))</x:f>
      </x:c>
      <x:c r="P877" s="66" t="b">
        <x:v>0</x:v>
      </x:c>
      <x:c r="Q877" s="66" t="b">
        <x:v>1</x:v>
      </x:c>
      <x:c r="R877" t="str">
        <x:v>Huskie Stadium</x:v>
      </x:c>
      <x:c r="S877" t="str">
        <x:v>MW+</x:v>
      </x:c>
      <x:c r="T877"/>
      <x:c r="U877" s="70"/>
      <x:c r="V877" s="70"/>
      <x:c r="W877"/>
      <x:c r="X877" t="str">
        <x:v>https://www.espn.com/college-football/game/_/gameId/401864550</x:v>
      </x:c>
    </x:row>
    <x:row r="878">
      <x:c r="A878" t="str">
        <x:v>CFB</x:v>
      </x:c>
      <x:c r="B878" t="n">
        <x:v>13</x:v>
      </x:c>
      <x:c r="C878" s="68" t="n">
        <x:v>46354.208333333336</x:v>
      </x:c>
      <x:c r="D878" s="71" t="str">
        <x:v>pre</x:v>
      </x:c>
      <x:c r="E878" s="72" t="b">
        <x:v>0</x:v>
      </x:c>
      <x:c r="F878" t="str">
        <x:v>Coastal Carolina Chanticleers</x:v>
      </x:c>
      <x:c r="G878" t="str">
        <x:v>CCU</x:v>
      </x:c>
      <x:c r="H878" s="69" t="n">
        <x:v>0</x:v>
      </x:c>
      <x:c r="I878" t="str">
        <x:v>1-2</x:v>
      </x:c>
      <x:c r="J878" t="str">
        <x:f>IF(E878&lt;&gt;TRUE,"",IF(H878&gt;M878,"W",IF(H878&lt;M878,"L","T")))</x:f>
      </x:c>
      <x:c r="K878" t="str">
        <x:v>James Madison Dukes</x:v>
      </x:c>
      <x:c r="L878" t="str">
        <x:v>JMU</x:v>
      </x:c>
      <x:c r="M878" s="69" t="n">
        <x:v>0</x:v>
      </x:c>
      <x:c r="N878" t="str">
        <x:v>3-0</x:v>
      </x:c>
      <x:c r="O878" t="str">
        <x:f>IF(E878&lt;&gt;TRUE,"",IF(M878&gt;H878,"W",IF(M878&lt;H878,"L","T")))</x:f>
      </x:c>
      <x:c r="P878" s="66" t="b">
        <x:v>0</x:v>
      </x:c>
      <x:c r="Q878" s="66" t="b">
        <x:v>1</x:v>
      </x:c>
      <x:c r="R878" t="str">
        <x:v>Bridgeforth Stadium</x:v>
      </x:c>
      <x:c r="S878" t="str"/>
      <x:c r="T878"/>
      <x:c r="U878" s="70"/>
      <x:c r="V878" s="70"/>
      <x:c r="W878"/>
      <x:c r="X878" t="str">
        <x:v>https://www.espn.com/college-football/game/_/gameId/401869947</x:v>
      </x:c>
    </x:row>
    <x:row r="879">
      <x:c r="A879" t="str">
        <x:v>CFB</x:v>
      </x:c>
      <x:c r="B879" t="n">
        <x:v>13</x:v>
      </x:c>
      <x:c r="C879" s="68" t="n">
        <x:v>46354.208333333336</x:v>
      </x:c>
      <x:c r="D879" s="71" t="str">
        <x:v>pre</x:v>
      </x:c>
      <x:c r="E879" s="72" t="b">
        <x:v>0</x:v>
      </x:c>
      <x:c r="F879" t="str">
        <x:v>Louisiana Tech Bulldogs</x:v>
      </x:c>
      <x:c r="G879" t="str">
        <x:v>LT</x:v>
      </x:c>
      <x:c r="H879" s="69" t="n">
        <x:v>0</x:v>
      </x:c>
      <x:c r="I879" t="str">
        <x:v>1-2</x:v>
      </x:c>
      <x:c r="J879" t="str">
        <x:f>IF(E879&lt;&gt;TRUE,"",IF(H879&gt;M879,"W",IF(H879&lt;M879,"L","T")))</x:f>
      </x:c>
      <x:c r="K879" t="str">
        <x:v>Georgia Southern Eagles</x:v>
      </x:c>
      <x:c r="L879" t="str">
        <x:v>GASO</x:v>
      </x:c>
      <x:c r="M879" s="69" t="n">
        <x:v>0</x:v>
      </x:c>
      <x:c r="N879" t="str">
        <x:v>1-2</x:v>
      </x:c>
      <x:c r="O879" t="str">
        <x:f>IF(E879&lt;&gt;TRUE,"",IF(M879&gt;H879,"W",IF(M879&lt;H879,"L","T")))</x:f>
      </x:c>
      <x:c r="P879" s="66" t="b">
        <x:v>0</x:v>
      </x:c>
      <x:c r="Q879" s="66" t="b">
        <x:v>1</x:v>
      </x:c>
      <x:c r="R879" t="str">
        <x:v>Allen E. Paulson Stadium</x:v>
      </x:c>
      <x:c r="S879" t="str"/>
      <x:c r="T879"/>
      <x:c r="U879" s="70"/>
      <x:c r="V879" s="70"/>
      <x:c r="W879"/>
      <x:c r="X879" t="str">
        <x:v>https://www.espn.com/college-football/game/_/gameId/401869954</x:v>
      </x:c>
    </x:row>
    <x:row r="880">
      <x:c r="A880" t="str">
        <x:v>CFB</x:v>
      </x:c>
      <x:c r="B880" t="n">
        <x:v>13</x:v>
      </x:c>
      <x:c r="C880" s="68" t="n">
        <x:v>46354.208333333336</x:v>
      </x:c>
      <x:c r="D880" s="71" t="str">
        <x:v>pre</x:v>
      </x:c>
      <x:c r="E880" s="72" t="b">
        <x:v>0</x:v>
      </x:c>
      <x:c r="F880" t="str">
        <x:v>Louisiana Ragin' Cajuns</x:v>
      </x:c>
      <x:c r="G880" t="str">
        <x:v>UL</x:v>
      </x:c>
      <x:c r="H880" s="69" t="n">
        <x:v>0</x:v>
      </x:c>
      <x:c r="I880" t="str">
        <x:v>2-1</x:v>
      </x:c>
      <x:c r="J880" t="str">
        <x:f>IF(E880&lt;&gt;TRUE,"",IF(H880&gt;M880,"W",IF(H880&lt;M880,"L","T")))</x:f>
      </x:c>
      <x:c r="K880" t="str">
        <x:v>Georgia State Panthers</x:v>
      </x:c>
      <x:c r="L880" t="str">
        <x:v>GAST</x:v>
      </x:c>
      <x:c r="M880" s="69" t="n">
        <x:v>0</x:v>
      </x:c>
      <x:c r="N880" t="str">
        <x:v>2-1</x:v>
      </x:c>
      <x:c r="O880" t="str">
        <x:f>IF(E880&lt;&gt;TRUE,"",IF(M880&gt;H880,"W",IF(M880&lt;H880,"L","T")))</x:f>
      </x:c>
      <x:c r="P880" s="66" t="b">
        <x:v>0</x:v>
      </x:c>
      <x:c r="Q880" s="66" t="b">
        <x:v>1</x:v>
      </x:c>
      <x:c r="R880" t="str">
        <x:v>Center Parc Stadium</x:v>
      </x:c>
      <x:c r="S880" t="str"/>
      <x:c r="T880"/>
      <x:c r="U880" s="70"/>
      <x:c r="V880" s="70"/>
      <x:c r="W880"/>
      <x:c r="X880" t="str">
        <x:v>https://www.espn.com/college-football/game/_/gameId/401869959</x:v>
      </x:c>
    </x:row>
    <x:row r="881">
      <x:c r="A881" t="str">
        <x:v>CFB</x:v>
      </x:c>
      <x:c r="B881" t="n">
        <x:v>13</x:v>
      </x:c>
      <x:c r="C881" s="68" t="n">
        <x:v>46354.208333333336</x:v>
      </x:c>
      <x:c r="D881" s="71" t="str">
        <x:v>pre</x:v>
      </x:c>
      <x:c r="E881" s="72" t="b">
        <x:v>0</x:v>
      </x:c>
      <x:c r="F881" t="str">
        <x:v>Marshall Thundering Herd</x:v>
      </x:c>
      <x:c r="G881" t="str">
        <x:v>MRSH</x:v>
      </x:c>
      <x:c r="H881" s="69" t="n">
        <x:v>0</x:v>
      </x:c>
      <x:c r="I881" t="str">
        <x:v>2-1</x:v>
      </x:c>
      <x:c r="J881" t="str">
        <x:f>IF(E881&lt;&gt;TRUE,"",IF(H881&gt;M881,"W",IF(H881&lt;M881,"L","T")))</x:f>
      </x:c>
      <x:c r="K881" t="str">
        <x:v>UL Monroe Warhawks</x:v>
      </x:c>
      <x:c r="L881" t="str">
        <x:v>ULM</x:v>
      </x:c>
      <x:c r="M881" s="69" t="n">
        <x:v>0</x:v>
      </x:c>
      <x:c r="N881" t="str">
        <x:v>0-3</x:v>
      </x:c>
      <x:c r="O881" t="str">
        <x:f>IF(E881&lt;&gt;TRUE,"",IF(M881&gt;H881,"W",IF(M881&lt;H881,"L","T")))</x:f>
      </x:c>
      <x:c r="P881" s="66" t="b">
        <x:v>0</x:v>
      </x:c>
      <x:c r="Q881" s="66" t="b">
        <x:v>1</x:v>
      </x:c>
      <x:c r="R881" t="str">
        <x:v>Malone Stadium</x:v>
      </x:c>
      <x:c r="S881" t="str"/>
      <x:c r="T881"/>
      <x:c r="U881" s="70"/>
      <x:c r="V881" s="70"/>
      <x:c r="W881"/>
      <x:c r="X881" t="str">
        <x:v>https://www.espn.com/college-football/game/_/gameId/401871102</x:v>
      </x:c>
    </x:row>
    <x:row r="882">
      <x:c r="A882" t="str">
        <x:v>CFB</x:v>
      </x:c>
      <x:c r="B882" t="n">
        <x:v>13</x:v>
      </x:c>
      <x:c r="C882" s="68" t="n">
        <x:v>46354.208333333336</x:v>
      </x:c>
      <x:c r="D882" s="71" t="str">
        <x:v>pre</x:v>
      </x:c>
      <x:c r="E882" s="72" t="b">
        <x:v>0</x:v>
      </x:c>
      <x:c r="F882" t="str">
        <x:v>Southern Miss Golden Eagles</x:v>
      </x:c>
      <x:c r="G882" t="str">
        <x:v>USM</x:v>
      </x:c>
      <x:c r="H882" s="69" t="n">
        <x:v>0</x:v>
      </x:c>
      <x:c r="I882" t="str">
        <x:v>1-2</x:v>
      </x:c>
      <x:c r="J882" t="str">
        <x:f>IF(E882&lt;&gt;TRUE,"",IF(H882&gt;M882,"W",IF(H882&lt;M882,"L","T")))</x:f>
      </x:c>
      <x:c r="K882" t="str">
        <x:v>Old Dominion Monarchs</x:v>
      </x:c>
      <x:c r="L882" t="str">
        <x:v>ODU</x:v>
      </x:c>
      <x:c r="M882" s="69" t="n">
        <x:v>0</x:v>
      </x:c>
      <x:c r="N882" t="str">
        <x:v>1-2</x:v>
      </x:c>
      <x:c r="O882" t="str">
        <x:f>IF(E882&lt;&gt;TRUE,"",IF(M882&gt;H882,"W",IF(M882&lt;H882,"L","T")))</x:f>
      </x:c>
      <x:c r="P882" s="66" t="b">
        <x:v>0</x:v>
      </x:c>
      <x:c r="Q882" s="66" t="b">
        <x:v>1</x:v>
      </x:c>
      <x:c r="R882" t="str">
        <x:v>S.B. Ballard Stadium</x:v>
      </x:c>
      <x:c r="S882" t="str"/>
      <x:c r="T882"/>
      <x:c r="U882" s="70"/>
      <x:c r="V882" s="70"/>
      <x:c r="W882"/>
      <x:c r="X882" t="str">
        <x:v>https://www.espn.com/college-football/game/_/gameId/401871103</x:v>
      </x:c>
    </x:row>
    <x:row r="883">
      <x:c r="A883" t="str">
        <x:v>CFB</x:v>
      </x:c>
      <x:c r="B883" t="n">
        <x:v>13</x:v>
      </x:c>
      <x:c r="C883" s="68" t="n">
        <x:v>46354.708333333336</x:v>
      </x:c>
      <x:c r="D883" s="71" t="str">
        <x:v>pre</x:v>
      </x:c>
      <x:c r="E883" s="72" t="b">
        <x:v>0</x:v>
      </x:c>
      <x:c r="F883" t="str">
        <x:v>Michigan Wolverines</x:v>
      </x:c>
      <x:c r="G883" t="str">
        <x:v>MICH</x:v>
      </x:c>
      <x:c r="H883" s="69" t="n">
        <x:v>0</x:v>
      </x:c>
      <x:c r="I883" t="str">
        <x:v>3-0</x:v>
      </x:c>
      <x:c r="J883" t="str">
        <x:f>IF(E883&lt;&gt;TRUE,"",IF(H883&gt;M883,"W",IF(H883&lt;M883,"L","T")))</x:f>
      </x:c>
      <x:c r="K883" t="str">
        <x:v>Ohio State Buckeyes</x:v>
      </x:c>
      <x:c r="L883" t="str">
        <x:v>OSU</x:v>
      </x:c>
      <x:c r="M883" s="69" t="n">
        <x:v>0</x:v>
      </x:c>
      <x:c r="N883" t="str">
        <x:v>2-1</x:v>
      </x:c>
      <x:c r="O883" t="str">
        <x:f>IF(E883&lt;&gt;TRUE,"",IF(M883&gt;H883,"W",IF(M883&lt;H883,"L","T")))</x:f>
      </x:c>
      <x:c r="P883" s="66" t="b">
        <x:v>0</x:v>
      </x:c>
      <x:c r="Q883" s="66" t="b">
        <x:v>1</x:v>
      </x:c>
      <x:c r="R883" t="str">
        <x:v>Ohio Stadium</x:v>
      </x:c>
      <x:c r="S883" t="str">
        <x:v>FOX</x:v>
      </x:c>
      <x:c r="T883" t="str">
        <x:v>OSU -13.5</x:v>
      </x:c>
      <x:c r="U883" s="70" t="n">
        <x:v>-13.5</x:v>
      </x:c>
      <x:c r="V883" s="70" t="n">
        <x:v>46.5</x:v>
      </x:c>
      <x:c r="W883" t="str">
        <x:v>DraftKings</x:v>
      </x:c>
      <x:c r="X883" t="str">
        <x:v>https://www.espn.com/college-football/game/_/gameId/401858540</x:v>
      </x:c>
    </x:row>
    <x:row r="884">
      <x:c r="A884" t="str">
        <x:v>CFB</x:v>
      </x:c>
      <x:c r="B884" t="n">
        <x:v>13</x:v>
      </x:c>
      <x:c r="C884" s="68" t="n">
        <x:v>46354.708333333336</x:v>
      </x:c>
      <x:c r="D884" s="71" t="str">
        <x:v>pre</x:v>
      </x:c>
      <x:c r="E884" s="72" t="b">
        <x:v>0</x:v>
      </x:c>
      <x:c r="F884" t="str">
        <x:v>Central Michigan Chippewas</x:v>
      </x:c>
      <x:c r="G884" t="str">
        <x:v>CMU</x:v>
      </x:c>
      <x:c r="H884" s="69" t="n">
        <x:v>0</x:v>
      </x:c>
      <x:c r="I884" t="str">
        <x:v>2-1</x:v>
      </x:c>
      <x:c r="J884" t="str">
        <x:f>IF(E884&lt;&gt;TRUE,"",IF(H884&gt;M884,"W",IF(H884&lt;M884,"L","T")))</x:f>
      </x:c>
      <x:c r="K884" t="str">
        <x:v>Ball State Cardinals</x:v>
      </x:c>
      <x:c r="L884" t="str">
        <x:v>BALL</x:v>
      </x:c>
      <x:c r="M884" s="69" t="n">
        <x:v>0</x:v>
      </x:c>
      <x:c r="N884" t="str">
        <x:v>1-2</x:v>
      </x:c>
      <x:c r="O884" t="str">
        <x:f>IF(E884&lt;&gt;TRUE,"",IF(M884&gt;H884,"W",IF(M884&lt;H884,"L","T")))</x:f>
      </x:c>
      <x:c r="P884" s="66" t="b">
        <x:v>0</x:v>
      </x:c>
      <x:c r="Q884" s="66" t="b">
        <x:v>1</x:v>
      </x:c>
      <x:c r="R884" t="str">
        <x:v>Scheumann Stadium</x:v>
      </x:c>
      <x:c r="S884" t="str"/>
      <x:c r="T884"/>
      <x:c r="U884" s="70"/>
      <x:c r="V884" s="70"/>
      <x:c r="W884"/>
      <x:c r="X884" t="str">
        <x:v>https://www.espn.com/college-football/game/_/gameId/401866474</x:v>
      </x:c>
    </x:row>
    <x:row r="885">
      <x:c r="A885" t="str">
        <x:v>CFB</x:v>
      </x:c>
      <x:c r="B885" t="n">
        <x:v>13</x:v>
      </x:c>
      <x:c r="C885" s="68" t="n">
        <x:v>46354.708333333336</x:v>
      </x:c>
      <x:c r="D885" s="71" t="str">
        <x:v>pre</x:v>
      </x:c>
      <x:c r="E885" s="72" t="b">
        <x:v>0</x:v>
      </x:c>
      <x:c r="F885" t="str">
        <x:v>Massachusetts Minutemen</x:v>
      </x:c>
      <x:c r="G885" t="str">
        <x:v>MASS</x:v>
      </x:c>
      <x:c r="H885" s="69" t="n">
        <x:v>0</x:v>
      </x:c>
      <x:c r="I885" t="str">
        <x:v>3-0</x:v>
      </x:c>
      <x:c r="J885" t="str">
        <x:f>IF(E885&lt;&gt;TRUE,"",IF(H885&gt;M885,"W",IF(H885&lt;M885,"L","T")))</x:f>
      </x:c>
      <x:c r="K885" t="str">
        <x:v>Bowling Green Falcons</x:v>
      </x:c>
      <x:c r="L885" t="str">
        <x:v>BGSU</x:v>
      </x:c>
      <x:c r="M885" s="69" t="n">
        <x:v>0</x:v>
      </x:c>
      <x:c r="N885" t="str">
        <x:v>0-3</x:v>
      </x:c>
      <x:c r="O885" t="str">
        <x:f>IF(E885&lt;&gt;TRUE,"",IF(M885&gt;H885,"W",IF(M885&lt;H885,"L","T")))</x:f>
      </x:c>
      <x:c r="P885" s="66" t="b">
        <x:v>0</x:v>
      </x:c>
      <x:c r="Q885" s="66" t="b">
        <x:v>1</x:v>
      </x:c>
      <x:c r="R885" t="str">
        <x:v>Doyt L. Perry Stadium</x:v>
      </x:c>
      <x:c r="S885" t="str"/>
      <x:c r="T885"/>
      <x:c r="U885" s="70"/>
      <x:c r="V885" s="70"/>
      <x:c r="W885"/>
      <x:c r="X885" t="str">
        <x:v>https://www.espn.com/college-football/game/_/gameId/401866475</x:v>
      </x:c>
    </x:row>
    <x:row r="886">
      <x:c r="A886" t="str">
        <x:v>CFB</x:v>
      </x:c>
      <x:c r="B886" t="n">
        <x:v>13</x:v>
      </x:c>
      <x:c r="C886" s="68" t="n">
        <x:v>46354.75</x:v>
      </x:c>
      <x:c r="D886" s="71" t="str">
        <x:v>pre</x:v>
      </x:c>
      <x:c r="E886" s="72" t="b">
        <x:v>0</x:v>
      </x:c>
      <x:c r="F886" t="str">
        <x:v>Kennesaw State Owls</x:v>
      </x:c>
      <x:c r="G886" t="str">
        <x:v>KENN</x:v>
      </x:c>
      <x:c r="H886" s="69" t="n">
        <x:v>0</x:v>
      </x:c>
      <x:c r="I886" t="str">
        <x:v>1-2</x:v>
      </x:c>
      <x:c r="J886" t="str">
        <x:f>IF(E886&lt;&gt;TRUE,"",IF(H886&gt;M886,"W",IF(H886&lt;M886,"L","T")))</x:f>
      </x:c>
      <x:c r="K886" t="str">
        <x:v>Western Kentucky Hilltoppers</x:v>
      </x:c>
      <x:c r="L886" t="str">
        <x:v>WKU</x:v>
      </x:c>
      <x:c r="M886" s="69" t="n">
        <x:v>0</x:v>
      </x:c>
      <x:c r="N886" t="str">
        <x:v>0-3</x:v>
      </x:c>
      <x:c r="O886" t="str">
        <x:f>IF(E886&lt;&gt;TRUE,"",IF(M886&gt;H886,"W",IF(M886&lt;H886,"L","T")))</x:f>
      </x:c>
      <x:c r="P886" s="66" t="b">
        <x:v>0</x:v>
      </x:c>
      <x:c r="Q886" s="66" t="b">
        <x:v>1</x:v>
      </x:c>
      <x:c r="R886" t="str">
        <x:v>Houchens Industries-L.T. Smith Stadium</x:v>
      </x:c>
      <x:c r="S886" t="str"/>
      <x:c r="T886"/>
      <x:c r="U886" s="70"/>
      <x:c r="V886" s="70"/>
      <x:c r="W886"/>
      <x:c r="X886" t="str">
        <x:v>https://www.espn.com/college-football/game/_/gameId/401870804</x:v>
      </x:c>
    </x:row>
    <x:row r="887">
      <x:c r="A887" t="str">
        <x:v>CFB</x:v>
      </x:c>
      <x:c r="B887" t="n">
        <x:v>13</x:v>
      </x:c>
      <x:c r="C887" s="68" t="n">
        <x:v>46354.791666666664</x:v>
      </x:c>
      <x:c r="D887" s="71" t="str">
        <x:v>pre</x:v>
      </x:c>
      <x:c r="E887" s="72" t="b">
        <x:v>0</x:v>
      </x:c>
      <x:c r="F887" t="str">
        <x:v>Liberty Flames</x:v>
      </x:c>
      <x:c r="G887" t="str">
        <x:v>LIB</x:v>
      </x:c>
      <x:c r="H887" s="69" t="n">
        <x:v>0</x:v>
      </x:c>
      <x:c r="I887" t="str">
        <x:v>2-1</x:v>
      </x:c>
      <x:c r="J887" t="str">
        <x:f>IF(E887&lt;&gt;TRUE,"",IF(H887&gt;M887,"W",IF(H887&lt;M887,"L","T")))</x:f>
      </x:c>
      <x:c r="K887" t="str">
        <x:v>Missouri State Bears</x:v>
      </x:c>
      <x:c r="L887" t="str">
        <x:v>MOST</x:v>
      </x:c>
      <x:c r="M887" s="69" t="n">
        <x:v>0</x:v>
      </x:c>
      <x:c r="N887" t="str">
        <x:v>1-2</x:v>
      </x:c>
      <x:c r="O887" t="str">
        <x:f>IF(E887&lt;&gt;TRUE,"",IF(M887&gt;H887,"W",IF(M887&lt;H887,"L","T")))</x:f>
      </x:c>
      <x:c r="P887" s="66" t="b">
        <x:v>0</x:v>
      </x:c>
      <x:c r="Q887" s="66" t="b">
        <x:v>1</x:v>
      </x:c>
      <x:c r="R887" t="str">
        <x:v>Robert W. Plaster Stadium</x:v>
      </x:c>
      <x:c r="S887" t="str"/>
      <x:c r="T887"/>
      <x:c r="U887" s="70"/>
      <x:c r="V887" s="70"/>
      <x:c r="W887"/>
      <x:c r="X887" t="str">
        <x:v>https://www.espn.com/college-football/game/_/gameId/401871063</x:v>
      </x:c>
    </x:row>
    <x:row r="888">
      <x:c r="A888" t="str">
        <x:v>CFB</x:v>
      </x:c>
      <x:c r="B888" t="n">
        <x:v>13</x:v>
      </x:c>
      <x:c r="C888" s="68" t="n">
        <x:v>46354.791666666664</x:v>
      </x:c>
      <x:c r="D888" s="71" t="str">
        <x:v>pre</x:v>
      </x:c>
      <x:c r="E888" s="72" t="b">
        <x:v>0</x:v>
      </x:c>
      <x:c r="F888" t="str">
        <x:v>Sam Houston Bearkats</x:v>
      </x:c>
      <x:c r="G888" t="str">
        <x:v>SHSU</x:v>
      </x:c>
      <x:c r="H888" s="69" t="n">
        <x:v>0</x:v>
      </x:c>
      <x:c r="I888" t="str">
        <x:v>1-2</x:v>
      </x:c>
      <x:c r="J888" t="str">
        <x:f>IF(E888&lt;&gt;TRUE,"",IF(H888&gt;M888,"W",IF(H888&lt;M888,"L","T")))</x:f>
      </x:c>
      <x:c r="K888" t="str">
        <x:v>Florida International Panthers</x:v>
      </x:c>
      <x:c r="L888" t="str">
        <x:v>FIU</x:v>
      </x:c>
      <x:c r="M888" s="69" t="n">
        <x:v>0</x:v>
      </x:c>
      <x:c r="N888" t="str">
        <x:v>1-2</x:v>
      </x:c>
      <x:c r="O888" t="str">
        <x:f>IF(E888&lt;&gt;TRUE,"",IF(M888&gt;H888,"W",IF(M888&lt;H888,"L","T")))</x:f>
      </x:c>
      <x:c r="P888" s="66" t="b">
        <x:v>0</x:v>
      </x:c>
      <x:c r="Q888" s="66" t="b">
        <x:v>1</x:v>
      </x:c>
      <x:c r="R888" t="str">
        <x:v>Pitbull Stadium</x:v>
      </x:c>
      <x:c r="S888" t="str"/>
      <x:c r="T888"/>
      <x:c r="U888" s="70"/>
      <x:c r="V888" s="70"/>
      <x:c r="W888"/>
      <x:c r="X888" t="str">
        <x:v>https://www.espn.com/college-football/game/_/gameId/401871082</x:v>
      </x:c>
    </x:row>
    <x:row r="889">
      <x:c r="A889" t="str">
        <x:v>CFB</x:v>
      </x:c>
      <x:c r="B889" t="n">
        <x:v>13</x:v>
      </x:c>
      <x:c r="C889" s="68" t="n">
        <x:v>46354.791666666664</x:v>
      </x:c>
      <x:c r="D889" s="71" t="str">
        <x:v>pre</x:v>
      </x:c>
      <x:c r="E889" s="72" t="b">
        <x:v>0</x:v>
      </x:c>
      <x:c r="F889" t="str">
        <x:v>New Mexico State Aggies</x:v>
      </x:c>
      <x:c r="G889" t="str">
        <x:v>NMSU</x:v>
      </x:c>
      <x:c r="H889" s="69" t="n">
        <x:v>0</x:v>
      </x:c>
      <x:c r="I889" t="str">
        <x:v>1-2</x:v>
      </x:c>
      <x:c r="J889" t="str">
        <x:f>IF(E889&lt;&gt;TRUE,"",IF(H889&gt;M889,"W",IF(H889&lt;M889,"L","T")))</x:f>
      </x:c>
      <x:c r="K889" t="str">
        <x:v>Middle Tennessee Blue Raiders</x:v>
      </x:c>
      <x:c r="L889" t="str">
        <x:v>MTSU</x:v>
      </x:c>
      <x:c r="M889" s="69" t="n">
        <x:v>0</x:v>
      </x:c>
      <x:c r="N889" t="str">
        <x:v>2-1</x:v>
      </x:c>
      <x:c r="O889" t="str">
        <x:f>IF(E889&lt;&gt;TRUE,"",IF(M889&gt;H889,"W",IF(M889&lt;H889,"L","T")))</x:f>
      </x:c>
      <x:c r="P889" s="66" t="b">
        <x:v>0</x:v>
      </x:c>
      <x:c r="Q889" s="66" t="b">
        <x:v>1</x:v>
      </x:c>
      <x:c r="R889" t="str">
        <x:v>Johnny "Red" Floyd Stadium</x:v>
      </x:c>
      <x:c r="S889" t="str"/>
      <x:c r="T889"/>
      <x:c r="U889" s="70"/>
      <x:c r="V889" s="70"/>
      <x:c r="W889"/>
      <x:c r="X889" t="str">
        <x:v>https://www.espn.com/college-football/game/_/gameId/401871083</x:v>
      </x:c>
    </x:row>
    <x:row r="890">
      <x:c r="A890" t="str">
        <x:v>CFB</x:v>
      </x:c>
      <x:c r="B890" t="n">
        <x:v>13</x:v>
      </x:c>
      <x:c r="C890" s="68" t="n">
        <x:v>46354.833333333336</x:v>
      </x:c>
      <x:c r="D890" s="71" t="str">
        <x:v>pre</x:v>
      </x:c>
      <x:c r="E890" s="72" t="b">
        <x:v>0</x:v>
      </x:c>
      <x:c r="F890" t="str">
        <x:v>Troy Trojans</x:v>
      </x:c>
      <x:c r="G890" t="str">
        <x:v>TROY</x:v>
      </x:c>
      <x:c r="H890" s="69" t="n">
        <x:v>0</x:v>
      </x:c>
      <x:c r="I890" t="str">
        <x:v>2-1</x:v>
      </x:c>
      <x:c r="J890" t="str">
        <x:f>IF(E890&lt;&gt;TRUE,"",IF(H890&gt;M890,"W",IF(H890&lt;M890,"L","T")))</x:f>
      </x:c>
      <x:c r="K890" t="str">
        <x:v>Arkansas State Red Wolves</x:v>
      </x:c>
      <x:c r="L890" t="str">
        <x:v>ARST</x:v>
      </x:c>
      <x:c r="M890" s="69" t="n">
        <x:v>0</x:v>
      </x:c>
      <x:c r="N890" t="str">
        <x:v>1-2</x:v>
      </x:c>
      <x:c r="O890" t="str">
        <x:f>IF(E890&lt;&gt;TRUE,"",IF(M890&gt;H890,"W",IF(M890&lt;H890,"L","T")))</x:f>
      </x:c>
      <x:c r="P890" s="66" t="b">
        <x:v>0</x:v>
      </x:c>
      <x:c r="Q890" s="66" t="b">
        <x:v>1</x:v>
      </x:c>
      <x:c r="R890" t="str">
        <x:v>Centennial Bank Stadium</x:v>
      </x:c>
      <x:c r="S890" t="str"/>
      <x:c r="T890"/>
      <x:c r="U890" s="70"/>
      <x:c r="V890" s="70"/>
      <x:c r="W890"/>
      <x:c r="X890" t="str">
        <x:v>https://www.espn.com/college-football/game/_/gameId/401869939</x:v>
      </x:c>
    </x:row>
    <x:row r="891">
      <x:c r="A891" t="str">
        <x:v>CFB</x:v>
      </x:c>
      <x:c r="B891" t="n">
        <x:v>13</x:v>
      </x:c>
      <x:c r="C891" s="68" t="n">
        <x:v>46354.854166666664</x:v>
      </x:c>
      <x:c r="D891" s="71" t="str">
        <x:v>pre</x:v>
      </x:c>
      <x:c r="E891" s="72" t="b">
        <x:v>0</x:v>
      </x:c>
      <x:c r="F891" t="str">
        <x:v>Jacksonville State Gamecocks</x:v>
      </x:c>
      <x:c r="G891" t="str">
        <x:v>JXST</x:v>
      </x:c>
      <x:c r="H891" s="69" t="n">
        <x:v>0</x:v>
      </x:c>
      <x:c r="I891" t="str">
        <x:v>2-2</x:v>
      </x:c>
      <x:c r="J891" t="str">
        <x:f>IF(E891&lt;&gt;TRUE,"",IF(H891&gt;M891,"W",IF(H891&lt;M891,"L","T")))</x:f>
      </x:c>
      <x:c r="K891" t="str">
        <x:v>Delaware Blue Hens</x:v>
      </x:c>
      <x:c r="L891" t="str">
        <x:v>DEL</x:v>
      </x:c>
      <x:c r="M891" s="69" t="n">
        <x:v>0</x:v>
      </x:c>
      <x:c r="N891" t="str">
        <x:v>2-1</x:v>
      </x:c>
      <x:c r="O891" t="str">
        <x:f>IF(E891&lt;&gt;TRUE,"",IF(M891&gt;H891,"W",IF(M891&lt;H891,"L","T")))</x:f>
      </x:c>
      <x:c r="P891" s="66" t="b">
        <x:v>0</x:v>
      </x:c>
      <x:c r="Q891" s="66" t="b">
        <x:v>1</x:v>
      </x:c>
      <x:c r="R891" t="str">
        <x:v>Delaware Stadium</x:v>
      </x:c>
      <x:c r="S891" t="str">
        <x:v>CBSSN</x:v>
      </x:c>
      <x:c r="T891"/>
      <x:c r="U891" s="70"/>
      <x:c r="V891" s="70"/>
      <x:c r="W891"/>
      <x:c r="X891" t="str">
        <x:v>https://www.espn.com/college-football/game/_/gameId/401871062</x:v>
      </x:c>
    </x:row>
    <x:row r="892">
      <x:c r="A892" t="str">
        <x:v>CFB</x:v>
      </x:c>
      <x:c r="B892" t="n">
        <x:v>13</x:v>
      </x:c>
      <x:c r="C892" s="68" t="n">
        <x:v>46354.895833333336</x:v>
      </x:c>
      <x:c r="D892" s="71" t="str">
        <x:v>pre</x:v>
      </x:c>
      <x:c r="E892" s="72" t="b">
        <x:v>0</x:v>
      </x:c>
      <x:c r="F892" t="str">
        <x:v>Air Force Falcons</x:v>
      </x:c>
      <x:c r="G892" t="str">
        <x:v>AFA</x:v>
      </x:c>
      <x:c r="H892" s="69" t="n">
        <x:v>0</x:v>
      </x:c>
      <x:c r="I892" t="str">
        <x:v>1-1</x:v>
      </x:c>
      <x:c r="J892" t="str">
        <x:f>IF(E892&lt;&gt;TRUE,"",IF(H892&gt;M892,"W",IF(H892&lt;M892,"L","T")))</x:f>
      </x:c>
      <x:c r="K892" t="str">
        <x:v>New Mexico Lobos</x:v>
      </x:c>
      <x:c r="L892" t="str">
        <x:v>UNM</x:v>
      </x:c>
      <x:c r="M892" s="69" t="n">
        <x:v>0</x:v>
      </x:c>
      <x:c r="N892" t="str">
        <x:v>2-1</x:v>
      </x:c>
      <x:c r="O892" t="str">
        <x:f>IF(E892&lt;&gt;TRUE,"",IF(M892&gt;H892,"W",IF(M892&lt;H892,"L","T")))</x:f>
      </x:c>
      <x:c r="P892" s="66" t="b">
        <x:v>0</x:v>
      </x:c>
      <x:c r="Q892" s="66" t="b">
        <x:v>1</x:v>
      </x:c>
      <x:c r="R892" t="str">
        <x:v>University Stadium (NM)</x:v>
      </x:c>
      <x:c r="S892" t="str">
        <x:v>CW</x:v>
      </x:c>
      <x:c r="T892"/>
      <x:c r="U892" s="70"/>
      <x:c r="V892" s="70"/>
      <x:c r="W892"/>
      <x:c r="X892" t="str">
        <x:v>https://www.espn.com/college-football/game/_/gameId/401864546</x:v>
      </x:c>
    </x:row>
    <x:row r="893">
      <x:c r="A893" t="str">
        <x:v>CFB</x:v>
      </x:c>
      <x:c r="B893" t="n">
        <x:v>13</x:v>
      </x:c>
      <x:c r="C893" s="68" t="n">
        <x:v>46355.083333333336</x:v>
      </x:c>
      <x:c r="D893" s="71" t="str">
        <x:v>pre</x:v>
      </x:c>
      <x:c r="E893" s="72" t="b">
        <x:v>0</x:v>
      </x:c>
      <x:c r="F893" t="str">
        <x:v>Nevada Wolf Pack</x:v>
      </x:c>
      <x:c r="G893" t="str">
        <x:v>NEV</x:v>
      </x:c>
      <x:c r="H893" s="69" t="n">
        <x:v>0</x:v>
      </x:c>
      <x:c r="I893" t="str">
        <x:v>1-2</x:v>
      </x:c>
      <x:c r="J893" t="str">
        <x:f>IF(E893&lt;&gt;TRUE,"",IF(H893&gt;M893,"W",IF(H893&lt;M893,"L","T")))</x:f>
      </x:c>
      <x:c r="K893" t="str">
        <x:v>UNLV Rebels</x:v>
      </x:c>
      <x:c r="L893" t="str">
        <x:v>UNLV</x:v>
      </x:c>
      <x:c r="M893" s="69" t="n">
        <x:v>0</x:v>
      </x:c>
      <x:c r="N893" t="str">
        <x:v>1-2</x:v>
      </x:c>
      <x:c r="O893" t="str">
        <x:f>IF(E893&lt;&gt;TRUE,"",IF(M893&gt;H893,"W",IF(M893&lt;H893,"L","T")))</x:f>
      </x:c>
      <x:c r="P893" s="66" t="b">
        <x:v>0</x:v>
      </x:c>
      <x:c r="Q893" s="66" t="b">
        <x:v>1</x:v>
      </x:c>
      <x:c r="R893" t="str">
        <x:v>Allegiant Stadium</x:v>
      </x:c>
      <x:c r="S893" t="str">
        <x:v>CBSSN</x:v>
      </x:c>
      <x:c r="T893"/>
      <x:c r="U893" s="70"/>
      <x:c r="V893" s="70"/>
      <x:c r="W893"/>
      <x:c r="X893" t="str">
        <x:v>https://www.espn.com/college-football/game/_/gameId/401864548</x:v>
      </x:c>
    </x:row>
    <x:row r="894">
      <x:c r="A894" t="str">
        <x:v>CFB</x:v>
      </x:c>
      <x:c r="B894" t="n">
        <x:v>13</x:v>
      </x:c>
      <x:c r="C894" s="68" t="n">
        <x:v>46355</x:v>
      </x:c>
      <x:c r="D894" s="71" t="str">
        <x:v>pre</x:v>
      </x:c>
      <x:c r="E894" s="72" t="b">
        <x:v>0</x:v>
      </x:c>
      <x:c r="F894" t="str">
        <x:v>Sacramento State Hornets</x:v>
      </x:c>
      <x:c r="G894" t="str">
        <x:v>SAC</x:v>
      </x:c>
      <x:c r="H894" s="69" t="n">
        <x:v>0</x:v>
      </x:c>
      <x:c r="I894" t="str">
        <x:v>1-3</x:v>
      </x:c>
      <x:c r="J894" t="str">
        <x:f>IF(E894&lt;&gt;TRUE,"",IF(H894&gt;M894,"W",IF(H894&lt;M894,"L","T")))</x:f>
      </x:c>
      <x:c r="K894" t="str">
        <x:v>Hawai'i Rainbow Warriors</x:v>
      </x:c>
      <x:c r="L894" t="str">
        <x:v>HAW</x:v>
      </x:c>
      <x:c r="M894" s="69" t="n">
        <x:v>0</x:v>
      </x:c>
      <x:c r="N894" t="str">
        <x:v>1-2</x:v>
      </x:c>
      <x:c r="O894" t="str">
        <x:f>IF(E894&lt;&gt;TRUE,"",IF(M894&gt;H894,"W",IF(M894&lt;H894,"L","T")))</x:f>
      </x:c>
      <x:c r="P894" s="66" t="b">
        <x:v>0</x:v>
      </x:c>
      <x:c r="Q894" s="66" t="b">
        <x:v>0</x:v>
      </x:c>
      <x:c r="R894" t="str">
        <x:v>Clarence T.C. Ching Athletics Complex</x:v>
      </x:c>
      <x:c r="S894" t="str">
        <x:v>MW+</x:v>
      </x:c>
      <x:c r="T894"/>
      <x:c r="U894" s="70"/>
      <x:c r="V894" s="70"/>
      <x:c r="W894"/>
      <x:c r="X894" t="str">
        <x:v>https://www.espn.com/college-football/game/_/gameId/401864547</x:v>
      </x:c>
    </x:row>
    <x:row r="895">
      <x:c r="A895" t="str">
        <x:v>CFB</x:v>
      </x:c>
      <x:c r="B895" t="n">
        <x:v>14</x:v>
      </x:c>
      <x:c r="C895" s="68" t="n">
        <x:v>46360.208333333336</x:v>
      </x:c>
      <x:c r="D895" s="71" t="str">
        <x:v>pre</x:v>
      </x:c>
      <x:c r="E895" s="72" t="b">
        <x:v>0</x:v>
      </x:c>
      <x:c r="F895" t="str">
        <x:v>TBD</x:v>
      </x:c>
      <x:c r="G895" t="str">
        <x:v>TBD</x:v>
      </x:c>
      <x:c r="H895" s="69" t="n">
        <x:v>0</x:v>
      </x:c>
      <x:c r="I895"/>
      <x:c r="J895" t="str">
        <x:f>IF(E895&lt;&gt;TRUE,"",IF(H895&gt;M895,"W",IF(H895&lt;M895,"L","T")))</x:f>
      </x:c>
      <x:c r="K895" t="str">
        <x:v>TBD</x:v>
      </x:c>
      <x:c r="L895" t="str">
        <x:v>TBD</x:v>
      </x:c>
      <x:c r="M895" s="69" t="n">
        <x:v>0</x:v>
      </x:c>
      <x:c r="N895"/>
      <x:c r="O895" t="str">
        <x:f>IF(E895&lt;&gt;TRUE,"",IF(M895&gt;H895,"W",IF(M895&lt;H895,"L","T")))</x:f>
      </x:c>
      <x:c r="P895" s="66" t="b">
        <x:v>0</x:v>
      </x:c>
      <x:c r="Q895" s="66" t="b">
        <x:v>0</x:v>
      </x:c>
      <x:c r="R895"/>
      <x:c r="S895" t="str"/>
      <x:c r="T895"/>
      <x:c r="U895" s="70"/>
      <x:c r="V895" s="70"/>
      <x:c r="W895"/>
      <x:c r="X895" t="str">
        <x:v>https://www.espn.com/college-football/game/_/gameId/401869535</x:v>
      </x:c>
    </x:row>
    <x:row r="896">
      <x:c r="A896" t="str">
        <x:v>CFB</x:v>
      </x:c>
      <x:c r="B896" t="n">
        <x:v>14</x:v>
      </x:c>
      <x:c r="C896" s="68" t="n">
        <x:v>46361</x:v>
      </x:c>
      <x:c r="D896" s="71" t="str">
        <x:v>pre</x:v>
      </x:c>
      <x:c r="E896" s="72" t="b">
        <x:v>0</x:v>
      </x:c>
      <x:c r="F896" t="str">
        <x:v>TBD</x:v>
      </x:c>
      <x:c r="G896" t="str">
        <x:v>TBD</x:v>
      </x:c>
      <x:c r="H896" s="69" t="n">
        <x:v>0</x:v>
      </x:c>
      <x:c r="I896"/>
      <x:c r="J896" t="str">
        <x:f>IF(E896&lt;&gt;TRUE,"",IF(H896&gt;M896,"W",IF(H896&lt;M896,"L","T")))</x:f>
      </x:c>
      <x:c r="K896" t="str">
        <x:v>TBD</x:v>
      </x:c>
      <x:c r="L896" t="str">
        <x:v>TBD</x:v>
      </x:c>
      <x:c r="M896" s="69" t="n">
        <x:v>0</x:v>
      </x:c>
      <x:c r="N896"/>
      <x:c r="O896" t="str">
        <x:f>IF(E896&lt;&gt;TRUE,"",IF(M896&gt;H896,"W",IF(M896&lt;H896,"L","T")))</x:f>
      </x:c>
      <x:c r="P896" s="66" t="b">
        <x:v>0</x:v>
      </x:c>
      <x:c r="Q896" s="66" t="b">
        <x:v>0</x:v>
      </x:c>
      <x:c r="R896"/>
      <x:c r="S896" t="str">
        <x:v>ESPN</x:v>
      </x:c>
      <x:c r="T896"/>
      <x:c r="U896" s="70"/>
      <x:c r="V896" s="70"/>
      <x:c r="W896"/>
      <x:c r="X896" t="str">
        <x:v>https://www.espn.com/college-football/game/_/gameId/401869546</x:v>
      </x:c>
    </x:row>
    <x:row r="897">
      <x:c r="A897" t="str">
        <x:v>CFB</x:v>
      </x:c>
      <x:c r="B897" t="n">
        <x:v>14</x:v>
      </x:c>
      <x:c r="C897" s="68" t="n">
        <x:v>46361.041666666664</x:v>
      </x:c>
      <x:c r="D897" s="71" t="str">
        <x:v>pre</x:v>
      </x:c>
      <x:c r="E897" s="72" t="b">
        <x:v>0</x:v>
      </x:c>
      <x:c r="F897" t="str">
        <x:v>TBD</x:v>
      </x:c>
      <x:c r="G897" t="str">
        <x:v>TBD</x:v>
      </x:c>
      <x:c r="H897" s="69" t="n">
        <x:v>0</x:v>
      </x:c>
      <x:c r="I897"/>
      <x:c r="J897" t="str">
        <x:f>IF(E897&lt;&gt;TRUE,"",IF(H897&gt;M897,"W",IF(H897&lt;M897,"L","T")))</x:f>
      </x:c>
      <x:c r="K897" t="str">
        <x:v>TBD</x:v>
      </x:c>
      <x:c r="L897" t="str">
        <x:v>TBD</x:v>
      </x:c>
      <x:c r="M897" s="69" t="n">
        <x:v>0</x:v>
      </x:c>
      <x:c r="N897"/>
      <x:c r="O897" t="str">
        <x:f>IF(E897&lt;&gt;TRUE,"",IF(M897&gt;H897,"W",IF(M897&lt;H897,"L","T")))</x:f>
      </x:c>
      <x:c r="P897" s="66" t="b">
        <x:v>1</x:v>
      </x:c>
      <x:c r="Q897" s="66" t="b">
        <x:v>0</x:v>
      </x:c>
      <x:c r="R897" t="str">
        <x:v>AT&amp;T Stadium</x:v>
      </x:c>
      <x:c r="S897" t="str">
        <x:v>ABC</x:v>
      </x:c>
      <x:c r="T897"/>
      <x:c r="U897" s="70"/>
      <x:c r="V897" s="70"/>
      <x:c r="W897"/>
      <x:c r="X897" t="str">
        <x:v>https://www.espn.com/college-football/game/_/gameId/401869533</x:v>
      </x:c>
    </x:row>
    <x:row r="898">
      <x:c r="A898" t="str">
        <x:v>CFB</x:v>
      </x:c>
      <x:c r="B898" t="n">
        <x:v>14</x:v>
      </x:c>
      <x:c r="C898" s="68" t="n">
        <x:v>46361.041666666664</x:v>
      </x:c>
      <x:c r="D898" s="71" t="str">
        <x:v>pre</x:v>
      </x:c>
      <x:c r="E898" s="72" t="b">
        <x:v>0</x:v>
      </x:c>
      <x:c r="F898" t="str">
        <x:v>TBD</x:v>
      </x:c>
      <x:c r="G898" t="str">
        <x:v>TBD</x:v>
      </x:c>
      <x:c r="H898" s="69" t="n">
        <x:v>0</x:v>
      </x:c>
      <x:c r="I898"/>
      <x:c r="J898" t="str">
        <x:f>IF(E898&lt;&gt;TRUE,"",IF(H898&gt;M898,"W",IF(H898&lt;M898,"L","T")))</x:f>
      </x:c>
      <x:c r="K898" t="str">
        <x:v>TBD</x:v>
      </x:c>
      <x:c r="L898" t="str">
        <x:v>TBD</x:v>
      </x:c>
      <x:c r="M898" s="69" t="n">
        <x:v>0</x:v>
      </x:c>
      <x:c r="N898"/>
      <x:c r="O898" t="str">
        <x:f>IF(E898&lt;&gt;TRUE,"",IF(M898&gt;H898,"W",IF(M898&lt;H898,"L","T")))</x:f>
      </x:c>
      <x:c r="P898" s="66" t="b">
        <x:v>0</x:v>
      </x:c>
      <x:c r="Q898" s="66" t="b">
        <x:v>0</x:v>
      </x:c>
      <x:c r="R898"/>
      <x:c r="S898" t="str">
        <x:v>CBS</x:v>
      </x:c>
      <x:c r="T898"/>
      <x:c r="U898" s="70"/>
      <x:c r="V898" s="70"/>
      <x:c r="W898"/>
      <x:c r="X898" t="str">
        <x:v>https://www.espn.com/college-football/game/_/gameId/401869542</x:v>
      </x:c>
    </x:row>
    <x:row r="899">
      <x:c r="A899" t="str">
        <x:v>CFB</x:v>
      </x:c>
      <x:c r="B899" t="n">
        <x:v>14</x:v>
      </x:c>
      <x:c r="C899" s="68" t="n">
        <x:v>46361.083333333336</x:v>
      </x:c>
      <x:c r="D899" s="71" t="str">
        <x:v>pre</x:v>
      </x:c>
      <x:c r="E899" s="72" t="b">
        <x:v>0</x:v>
      </x:c>
      <x:c r="F899" t="str">
        <x:v>TBD</x:v>
      </x:c>
      <x:c r="G899" t="str">
        <x:v>TBD</x:v>
      </x:c>
      <x:c r="H899" s="69" t="n">
        <x:v>0</x:v>
      </x:c>
      <x:c r="I899"/>
      <x:c r="J899" t="str">
        <x:f>IF(E899&lt;&gt;TRUE,"",IF(H899&gt;M899,"W",IF(H899&lt;M899,"L","T")))</x:f>
      </x:c>
      <x:c r="K899" t="str">
        <x:v>TBD</x:v>
      </x:c>
      <x:c r="L899" t="str">
        <x:v>TBD</x:v>
      </x:c>
      <x:c r="M899" s="69" t="n">
        <x:v>0</x:v>
      </x:c>
      <x:c r="N899"/>
      <x:c r="O899" t="str">
        <x:f>IF(E899&lt;&gt;TRUE,"",IF(M899&gt;H899,"W",IF(M899&lt;H899,"L","T")))</x:f>
      </x:c>
      <x:c r="P899" s="66" t="b">
        <x:v>0</x:v>
      </x:c>
      <x:c r="Q899" s="66" t="b">
        <x:v>0</x:v>
      </x:c>
      <x:c r="R899"/>
      <x:c r="S899" t="str">
        <x:v>FOX</x:v>
      </x:c>
      <x:c r="T899"/>
      <x:c r="U899" s="70"/>
      <x:c r="V899" s="70"/>
      <x:c r="W899"/>
      <x:c r="X899" t="str">
        <x:v>https://www.espn.com/college-football/game/_/gameId/401874049</x:v>
      </x:c>
    </x:row>
    <x:row r="900">
      <x:c r="A900" t="str">
        <x:v>CFB</x:v>
      </x:c>
      <x:c r="B900" t="n">
        <x:v>14</x:v>
      </x:c>
      <x:c r="C900" s="68" t="n">
        <x:v>46361.708333333336</x:v>
      </x:c>
      <x:c r="D900" s="71" t="str">
        <x:v>pre</x:v>
      </x:c>
      <x:c r="E900" s="72" t="b">
        <x:v>0</x:v>
      </x:c>
      <x:c r="F900" t="str">
        <x:v>TBD</x:v>
      </x:c>
      <x:c r="G900" t="str">
        <x:v>TBD</x:v>
      </x:c>
      <x:c r="H900" s="69" t="n">
        <x:v>0</x:v>
      </x:c>
      <x:c r="I900"/>
      <x:c r="J900" t="str">
        <x:f>IF(E900&lt;&gt;TRUE,"",IF(H900&gt;M900,"W",IF(H900&lt;M900,"L","T")))</x:f>
      </x:c>
      <x:c r="K900" t="str">
        <x:v>TBD</x:v>
      </x:c>
      <x:c r="L900" t="str">
        <x:v>TBD</x:v>
      </x:c>
      <x:c r="M900" s="69" t="n">
        <x:v>0</x:v>
      </x:c>
      <x:c r="N900"/>
      <x:c r="O900" t="str">
        <x:f>IF(E900&lt;&gt;TRUE,"",IF(M900&gt;H900,"W",IF(M900&lt;H900,"L","T")))</x:f>
      </x:c>
      <x:c r="P900" s="66" t="b">
        <x:v>1</x:v>
      </x:c>
      <x:c r="Q900" s="66" t="b">
        <x:v>0</x:v>
      </x:c>
      <x:c r="R900" t="str">
        <x:v>Bank of America Stadium</x:v>
      </x:c>
      <x:c r="S900" t="str">
        <x:v>ABC</x:v>
      </x:c>
      <x:c r="T900"/>
      <x:c r="U900" s="70"/>
      <x:c r="V900" s="70"/>
      <x:c r="W900"/>
      <x:c r="X900" t="str">
        <x:v>https://www.espn.com/college-football/game/_/gameId/401858318</x:v>
      </x:c>
    </x:row>
    <x:row r="901">
      <x:c r="A901" t="str">
        <x:v>CFB</x:v>
      </x:c>
      <x:c r="B901" t="n">
        <x:v>14</x:v>
      </x:c>
      <x:c r="C901" s="68" t="n">
        <x:v>46361.708333333336</x:v>
      </x:c>
      <x:c r="D901" s="71" t="str">
        <x:v>pre</x:v>
      </x:c>
      <x:c r="E901" s="72" t="b">
        <x:v>0</x:v>
      </x:c>
      <x:c r="F901" t="str">
        <x:v>TBD</x:v>
      </x:c>
      <x:c r="G901" t="str">
        <x:v>TBD</x:v>
      </x:c>
      <x:c r="H901" s="69" t="n">
        <x:v>0</x:v>
      </x:c>
      <x:c r="I901"/>
      <x:c r="J901" t="str">
        <x:f>IF(E901&lt;&gt;TRUE,"",IF(H901&gt;M901,"W",IF(H901&lt;M901,"L","T")))</x:f>
      </x:c>
      <x:c r="K901" t="str">
        <x:v>TBD</x:v>
      </x:c>
      <x:c r="L901" t="str">
        <x:v>TBD</x:v>
      </x:c>
      <x:c r="M901" s="69" t="n">
        <x:v>0</x:v>
      </x:c>
      <x:c r="N901"/>
      <x:c r="O901" t="str">
        <x:f>IF(E901&lt;&gt;TRUE,"",IF(M901&gt;H901,"W",IF(M901&lt;H901,"L","T")))</x:f>
      </x:c>
      <x:c r="P901" s="66" t="b">
        <x:v>1</x:v>
      </x:c>
      <x:c r="Q901" s="66" t="b">
        <x:v>0</x:v>
      </x:c>
      <x:c r="R901" t="str">
        <x:v>Ford Field</x:v>
      </x:c>
      <x:c r="S901" t="str">
        <x:v>ESPN</x:v>
      </x:c>
      <x:c r="T901"/>
      <x:c r="U901" s="70"/>
      <x:c r="V901" s="70"/>
      <x:c r="W901"/>
      <x:c r="X901" t="str">
        <x:v>https://www.espn.com/college-football/game/_/gameId/401869536</x:v>
      </x:c>
    </x:row>
    <x:row r="902">
      <x:c r="A902" t="str">
        <x:v>CFB</x:v>
      </x:c>
      <x:c r="B902" t="n">
        <x:v>14</x:v>
      </x:c>
      <x:c r="C902" s="68" t="n">
        <x:v>46361.875</x:v>
      </x:c>
      <x:c r="D902" s="71" t="str">
        <x:v>pre</x:v>
      </x:c>
      <x:c r="E902" s="72" t="b">
        <x:v>0</x:v>
      </x:c>
      <x:c r="F902" t="str">
        <x:v>TBD</x:v>
      </x:c>
      <x:c r="G902" t="str">
        <x:v>TBD</x:v>
      </x:c>
      <x:c r="H902" s="69" t="n">
        <x:v>0</x:v>
      </x:c>
      <x:c r="I902"/>
      <x:c r="J902" t="str">
        <x:f>IF(E902&lt;&gt;TRUE,"",IF(H902&gt;M902,"W",IF(H902&lt;M902,"L","T")))</x:f>
      </x:c>
      <x:c r="K902" t="str">
        <x:v>TBD</x:v>
      </x:c>
      <x:c r="L902" t="str">
        <x:v>TBD</x:v>
      </x:c>
      <x:c r="M902" s="69" t="n">
        <x:v>0</x:v>
      </x:c>
      <x:c r="N902"/>
      <x:c r="O902" t="str">
        <x:f>IF(E902&lt;&gt;TRUE,"",IF(M902&gt;H902,"W",IF(M902&lt;H902,"L","T")))</x:f>
      </x:c>
      <x:c r="P902" s="66" t="b">
        <x:v>1</x:v>
      </x:c>
      <x:c r="Q902" s="66" t="b">
        <x:v>0</x:v>
      </x:c>
      <x:c r="R902" t="str">
        <x:v>Mercedes-Benz Stadium</x:v>
      </x:c>
      <x:c r="S902" t="str">
        <x:v>ABC</x:v>
      </x:c>
      <x:c r="T902"/>
      <x:c r="U902" s="70"/>
      <x:c r="V902" s="70"/>
      <x:c r="W902"/>
      <x:c r="X902" t="str">
        <x:v>https://www.espn.com/college-football/game/_/gameId/401869545</x:v>
      </x:c>
    </x:row>
    <x:row r="903">
      <x:c r="A903" t="str">
        <x:v>CFB</x:v>
      </x:c>
      <x:c r="B903" t="n">
        <x:v>14</x:v>
      </x:c>
      <x:c r="C903" s="68" t="n">
        <x:v>46362.041666666664</x:v>
      </x:c>
      <x:c r="D903" s="71" t="str">
        <x:v>pre</x:v>
      </x:c>
      <x:c r="E903" s="72" t="b">
        <x:v>0</x:v>
      </x:c>
      <x:c r="F903" t="str">
        <x:v>TBD</x:v>
      </x:c>
      <x:c r="G903" t="str">
        <x:v>TBD</x:v>
      </x:c>
      <x:c r="H903" s="69" t="n">
        <x:v>0</x:v>
      </x:c>
      <x:c r="I903"/>
      <x:c r="J903" t="str">
        <x:f>IF(E903&lt;&gt;TRUE,"",IF(H903&gt;M903,"W",IF(H903&lt;M903,"L","T")))</x:f>
      </x:c>
      <x:c r="K903" t="str">
        <x:v>TBD</x:v>
      </x:c>
      <x:c r="L903" t="str">
        <x:v>TBD</x:v>
      </x:c>
      <x:c r="M903" s="69" t="n">
        <x:v>0</x:v>
      </x:c>
      <x:c r="N903"/>
      <x:c r="O903" t="str">
        <x:f>IF(E903&lt;&gt;TRUE,"",IF(M903&gt;H903,"W",IF(M903&lt;H903,"L","T")))</x:f>
      </x:c>
      <x:c r="P903" s="66" t="b">
        <x:v>0</x:v>
      </x:c>
      <x:c r="Q903" s="66" t="b">
        <x:v>0</x:v>
      </x:c>
      <x:c r="R903"/>
      <x:c r="S903" t="str">
        <x:v>ABC</x:v>
      </x:c>
      <x:c r="T903"/>
      <x:c r="U903" s="70"/>
      <x:c r="V903" s="70"/>
      <x:c r="W903"/>
      <x:c r="X903" t="str">
        <x:v>https://www.espn.com/college-football/game/_/gameId/401869532</x:v>
      </x:c>
    </x:row>
    <x:row r="904">
      <x:c r="A904" t="str">
        <x:v>CFB</x:v>
      </x:c>
      <x:c r="B904" t="n">
        <x:v>14</x:v>
      </x:c>
      <x:c r="C904" s="68" t="n">
        <x:v>46362.041666666664</x:v>
      </x:c>
      <x:c r="D904" s="71" t="str">
        <x:v>pre</x:v>
      </x:c>
      <x:c r="E904" s="72" t="b">
        <x:v>0</x:v>
      </x:c>
      <x:c r="F904" t="str">
        <x:v>TBD</x:v>
      </x:c>
      <x:c r="G904" t="str">
        <x:v>TBD</x:v>
      </x:c>
      <x:c r="H904" s="69" t="n">
        <x:v>0</x:v>
      </x:c>
      <x:c r="I904"/>
      <x:c r="J904" t="str">
        <x:f>IF(E904&lt;&gt;TRUE,"",IF(H904&gt;M904,"W",IF(H904&lt;M904,"L","T")))</x:f>
      </x:c>
      <x:c r="K904" t="str">
        <x:v>TBD</x:v>
      </x:c>
      <x:c r="L904" t="str">
        <x:v>TBD</x:v>
      </x:c>
      <x:c r="M904" s="69" t="n">
        <x:v>0</x:v>
      </x:c>
      <x:c r="N904"/>
      <x:c r="O904" t="str">
        <x:f>IF(E904&lt;&gt;TRUE,"",IF(M904&gt;H904,"W",IF(M904&lt;H904,"L","T")))</x:f>
      </x:c>
      <x:c r="P904" s="66" t="b">
        <x:v>1</x:v>
      </x:c>
      <x:c r="Q904" s="66" t="b">
        <x:v>0</x:v>
      </x:c>
      <x:c r="R904" t="str">
        <x:v>Lucas Oil Stadium</x:v>
      </x:c>
      <x:c r="S904" t="str">
        <x:v>FOX</x:v>
      </x:c>
      <x:c r="T904"/>
      <x:c r="U904" s="70"/>
      <x:c r="V904" s="70"/>
      <x:c r="W904"/>
      <x:c r="X904" t="str">
        <x:v>https://www.espn.com/college-football/game/_/gameId/401869534</x:v>
      </x:c>
    </x:row>
    <x:row r="905">
      <x:c r="A905" t="str">
        <x:v>CFB</x:v>
      </x:c>
      <x:c r="B905" t="n">
        <x:v>15</x:v>
      </x:c>
      <x:c r="C905" s="68" t="n">
        <x:v>46368.833333333336</x:v>
      </x:c>
      <x:c r="D905" s="71" t="str">
        <x:v>pre</x:v>
      </x:c>
      <x:c r="E905" s="72" t="b">
        <x:v>0</x:v>
      </x:c>
      <x:c r="F905" t="str">
        <x:v>Navy Midshipmen</x:v>
      </x:c>
      <x:c r="G905" t="str">
        <x:v>NAVY</x:v>
      </x:c>
      <x:c r="H905" s="69" t="n">
        <x:v>0</x:v>
      </x:c>
      <x:c r="I905" t="str">
        <x:v>1-1</x:v>
      </x:c>
      <x:c r="J905" t="str">
        <x:f>IF(E905&lt;&gt;TRUE,"",IF(H905&gt;M905,"W",IF(H905&lt;M905,"L","T")))</x:f>
      </x:c>
      <x:c r="K905" t="str">
        <x:v>Army Black Knights</x:v>
      </x:c>
      <x:c r="L905" t="str">
        <x:v>ARMY</x:v>
      </x:c>
      <x:c r="M905" s="69" t="n">
        <x:v>0</x:v>
      </x:c>
      <x:c r="N905" t="str">
        <x:v>1-1</x:v>
      </x:c>
      <x:c r="O905" t="str">
        <x:f>IF(E905&lt;&gt;TRUE,"",IF(M905&gt;H905,"W",IF(M905&lt;H905,"L","T")))</x:f>
      </x:c>
      <x:c r="P905" s="66" t="b">
        <x:v>1</x:v>
      </x:c>
      <x:c r="Q905" s="66" t="b">
        <x:v>1</x:v>
      </x:c>
      <x:c r="R905" t="str">
        <x:v>MetLife Stadium</x:v>
      </x:c>
      <x:c r="S905" t="str">
        <x:v>CBS</x:v>
      </x:c>
      <x:c r="T905" t="str">
        <x:v>NAVY -2.5</x:v>
      </x:c>
      <x:c r="U905" s="70" t="n">
        <x:v>2.5</x:v>
      </x:c>
      <x:c r="V905" s="70" t="n">
        <x:v>37.5</x:v>
      </x:c>
      <x:c r="W905" t="str">
        <x:v>DraftKings</x:v>
      </x:c>
      <x:c r="X905" t="str">
        <x:v>https://www.espn.com/college-football/game/_/gameId/401862844</x:v>
      </x:c>
    </x:row>
    <x:row r="906">
      <x:c r="A906" t="str">
        <x:v>NFL</x:v>
      </x:c>
      <x:c r="B906" t="n">
        <x:v>1</x:v>
      </x:c>
      <x:c r="C906" s="68" t="n">
        <x:v>46275.01388888889</x:v>
      </x:c>
      <x:c r="D906" s="71" t="str">
        <x:v>post</x:v>
      </x:c>
      <x:c r="E906" s="72" t="b">
        <x:v>1</x:v>
      </x:c>
      <x:c r="F906" t="str">
        <x:v>New England Patriots</x:v>
      </x:c>
      <x:c r="G906" t="str">
        <x:v>NE</x:v>
      </x:c>
      <x:c r="H906" s="69" t="n">
        <x:v>10</x:v>
      </x:c>
      <x:c r="I906" t="str">
        <x:v>0-1</x:v>
      </x:c>
      <x:c r="J906" t="str">
        <x:f>IF(E906&lt;&gt;TRUE,"",IF(H906&gt;M906,"W",IF(H906&lt;M906,"L","T")))</x:f>
        <x:v>L</x:v>
      </x:c>
      <x:c r="K906" t="str">
        <x:v>Seattle Seahawks</x:v>
      </x:c>
      <x:c r="L906" t="str">
        <x:v>SEA</x:v>
      </x:c>
      <x:c r="M906" s="69" t="n">
        <x:v>13</x:v>
      </x:c>
      <x:c r="N906" t="str">
        <x:v>1-0</x:v>
      </x:c>
      <x:c r="O906" t="str">
        <x:f>IF(E906&lt;&gt;TRUE,"",IF(M906&gt;H906,"W",IF(M906&lt;H906,"L","T")))</x:f>
        <x:v>W</x:v>
      </x:c>
      <x:c r="P906" s="66" t="b">
        <x:v>0</x:v>
      </x:c>
      <x:c r="Q906" s="66" t="b">
        <x:v>0</x:v>
      </x:c>
      <x:c r="R906" t="str">
        <x:v>Lumen Field</x:v>
      </x:c>
      <x:c r="S906" t="str">
        <x:v>NBC</x:v>
      </x:c>
      <x:c r="T906"/>
      <x:c r="U906" s="70"/>
      <x:c r="V906" s="70"/>
      <x:c r="W906"/>
      <x:c r="X906" t="str">
        <x:v>https://www.espn.com/nfl/game/_/gameId/401872656</x:v>
      </x:c>
    </x:row>
    <x:row r="907">
      <x:c r="A907" t="str">
        <x:v>NFL</x:v>
      </x:c>
      <x:c r="B907" t="n">
        <x:v>1</x:v>
      </x:c>
      <x:c r="C907" s="68" t="n">
        <x:v>46276.024305555555</x:v>
      </x:c>
      <x:c r="D907" s="71" t="str">
        <x:v>post</x:v>
      </x:c>
      <x:c r="E907" s="72" t="b">
        <x:v>1</x:v>
      </x:c>
      <x:c r="F907" t="str">
        <x:v>San Francisco 49ers</x:v>
      </x:c>
      <x:c r="G907" t="str">
        <x:v>SF</x:v>
      </x:c>
      <x:c r="H907" s="69" t="n">
        <x:v>27</x:v>
      </x:c>
      <x:c r="I907" t="str">
        <x:v>1-0</x:v>
      </x:c>
      <x:c r="J907" t="str">
        <x:f>IF(E907&lt;&gt;TRUE,"",IF(H907&gt;M907,"W",IF(H907&lt;M907,"L","T")))</x:f>
        <x:v>W</x:v>
      </x:c>
      <x:c r="K907" t="str">
        <x:v>Los Angeles Rams</x:v>
      </x:c>
      <x:c r="L907" t="str">
        <x:v>LAR</x:v>
      </x:c>
      <x:c r="M907" s="69" t="n">
        <x:v>7</x:v>
      </x:c>
      <x:c r="N907" t="str">
        <x:v>0-1</x:v>
      </x:c>
      <x:c r="O907" t="str">
        <x:f>IF(E907&lt;&gt;TRUE,"",IF(M907&gt;H907,"W",IF(M907&lt;H907,"L","T")))</x:f>
        <x:v>L</x:v>
      </x:c>
      <x:c r="P907" s="66" t="b">
        <x:v>1</x:v>
      </x:c>
      <x:c r="Q907" s="66" t="b">
        <x:v>0</x:v>
      </x:c>
      <x:c r="R907" t="str">
        <x:v>Melbourne Cricket Ground</x:v>
      </x:c>
      <x:c r="S907" t="str">
        <x:v>Netflix</x:v>
      </x:c>
      <x:c r="T907"/>
      <x:c r="U907" s="70"/>
      <x:c r="V907" s="70"/>
      <x:c r="W907"/>
      <x:c r="X907" t="str">
        <x:v>https://www.espn.com/nfl/game/_/gameId/401872657</x:v>
      </x:c>
    </x:row>
    <x:row r="908">
      <x:c r="A908" t="str">
        <x:v>NFL</x:v>
      </x:c>
      <x:c r="B908" t="n">
        <x:v>1</x:v>
      </x:c>
      <x:c r="C908" s="68" t="n">
        <x:v>46278.708333333336</x:v>
      </x:c>
      <x:c r="D908" s="71" t="str">
        <x:v>post</x:v>
      </x:c>
      <x:c r="E908" s="72" t="b">
        <x:v>1</x:v>
      </x:c>
      <x:c r="F908" t="str">
        <x:v>Atlanta Falcons</x:v>
      </x:c>
      <x:c r="G908" t="str">
        <x:v>ATL</x:v>
      </x:c>
      <x:c r="H908" s="69" t="n">
        <x:v>13</x:v>
      </x:c>
      <x:c r="I908" t="str">
        <x:v>0-1</x:v>
      </x:c>
      <x:c r="J908" t="str">
        <x:f>IF(E908&lt;&gt;TRUE,"",IF(H908&gt;M908,"W",IF(H908&lt;M908,"L","T")))</x:f>
        <x:v>L</x:v>
      </x:c>
      <x:c r="K908" t="str">
        <x:v>Pittsburgh Steelers</x:v>
      </x:c>
      <x:c r="L908" t="str">
        <x:v>PIT</x:v>
      </x:c>
      <x:c r="M908" s="69" t="n">
        <x:v>20</x:v>
      </x:c>
      <x:c r="N908" t="str">
        <x:v>1-0</x:v>
      </x:c>
      <x:c r="O908" t="str">
        <x:f>IF(E908&lt;&gt;TRUE,"",IF(M908&gt;H908,"W",IF(M908&lt;H908,"L","T")))</x:f>
        <x:v>W</x:v>
      </x:c>
      <x:c r="P908" s="66" t="b">
        <x:v>0</x:v>
      </x:c>
      <x:c r="Q908" s="66" t="b">
        <x:v>0</x:v>
      </x:c>
      <x:c r="R908" t="str">
        <x:v>Acrisure Stadium</x:v>
      </x:c>
      <x:c r="S908" t="str">
        <x:v>FOX</x:v>
      </x:c>
      <x:c r="T908"/>
      <x:c r="U908" s="70"/>
      <x:c r="V908" s="70"/>
      <x:c r="W908"/>
      <x:c r="X908" t="str">
        <x:v>https://www.espn.com/nfl/game/_/gameId/401872658</x:v>
      </x:c>
    </x:row>
    <x:row r="909">
      <x:c r="A909" t="str">
        <x:v>NFL</x:v>
      </x:c>
      <x:c r="B909" t="n">
        <x:v>1</x:v>
      </x:c>
      <x:c r="C909" s="68" t="n">
        <x:v>46278.708333333336</x:v>
      </x:c>
      <x:c r="D909" s="71" t="str">
        <x:v>post</x:v>
      </x:c>
      <x:c r="E909" s="72" t="b">
        <x:v>1</x:v>
      </x:c>
      <x:c r="F909" t="str">
        <x:v>Baltimore Ravens</x:v>
      </x:c>
      <x:c r="G909" t="str">
        <x:v>BAL</x:v>
      </x:c>
      <x:c r="H909" s="69" t="n">
        <x:v>41</x:v>
      </x:c>
      <x:c r="I909" t="str">
        <x:v>1-0</x:v>
      </x:c>
      <x:c r="J909" t="str">
        <x:f>IF(E909&lt;&gt;TRUE,"",IF(H909&gt;M909,"W",IF(H909&lt;M909,"L","T")))</x:f>
        <x:v>W</x:v>
      </x:c>
      <x:c r="K909" t="str">
        <x:v>Indianapolis Colts</x:v>
      </x:c>
      <x:c r="L909" t="str">
        <x:v>IND</x:v>
      </x:c>
      <x:c r="M909" s="69" t="n">
        <x:v>23</x:v>
      </x:c>
      <x:c r="N909" t="str">
        <x:v>0-1</x:v>
      </x:c>
      <x:c r="O909" t="str">
        <x:f>IF(E909&lt;&gt;TRUE,"",IF(M909&gt;H909,"W",IF(M909&lt;H909,"L","T")))</x:f>
        <x:v>L</x:v>
      </x:c>
      <x:c r="P909" s="66" t="b">
        <x:v>0</x:v>
      </x:c>
      <x:c r="Q909" s="66" t="b">
        <x:v>0</x:v>
      </x:c>
      <x:c r="R909" t="str">
        <x:v>Lucas Oil Stadium</x:v>
      </x:c>
      <x:c r="S909" t="str">
        <x:v>CBS</x:v>
      </x:c>
      <x:c r="T909"/>
      <x:c r="U909" s="70"/>
      <x:c r="V909" s="70"/>
      <x:c r="W909"/>
      <x:c r="X909" t="str">
        <x:v>https://www.espn.com/nfl/game/_/gameId/401872659</x:v>
      </x:c>
    </x:row>
    <x:row r="910">
      <x:c r="A910" t="str">
        <x:v>NFL</x:v>
      </x:c>
      <x:c r="B910" t="n">
        <x:v>1</x:v>
      </x:c>
      <x:c r="C910" s="68" t="n">
        <x:v>46278.708333333336</x:v>
      </x:c>
      <x:c r="D910" s="71" t="str">
        <x:v>post</x:v>
      </x:c>
      <x:c r="E910" s="72" t="b">
        <x:v>1</x:v>
      </x:c>
      <x:c r="F910" t="str">
        <x:v>Buffalo Bills</x:v>
      </x:c>
      <x:c r="G910" t="str">
        <x:v>BUF</x:v>
      </x:c>
      <x:c r="H910" s="69" t="n">
        <x:v>36</x:v>
      </x:c>
      <x:c r="I910" t="str">
        <x:v>1-0</x:v>
      </x:c>
      <x:c r="J910" t="str">
        <x:f>IF(E910&lt;&gt;TRUE,"",IF(H910&gt;M910,"W",IF(H910&lt;M910,"L","T")))</x:f>
        <x:v>W</x:v>
      </x:c>
      <x:c r="K910" t="str">
        <x:v>Houston Texans</x:v>
      </x:c>
      <x:c r="L910" t="str">
        <x:v>HOU</x:v>
      </x:c>
      <x:c r="M910" s="69" t="n">
        <x:v>31</x:v>
      </x:c>
      <x:c r="N910" t="str">
        <x:v>0-1</x:v>
      </x:c>
      <x:c r="O910" t="str">
        <x:f>IF(E910&lt;&gt;TRUE,"",IF(M910&gt;H910,"W",IF(M910&lt;H910,"L","T")))</x:f>
        <x:v>L</x:v>
      </x:c>
      <x:c r="P910" s="66" t="b">
        <x:v>0</x:v>
      </x:c>
      <x:c r="Q910" s="66" t="b">
        <x:v>0</x:v>
      </x:c>
      <x:c r="R910" t="str">
        <x:v>Reliant Stadium</x:v>
      </x:c>
      <x:c r="S910" t="str">
        <x:v>CBS</x:v>
      </x:c>
      <x:c r="T910"/>
      <x:c r="U910" s="70"/>
      <x:c r="V910" s="70"/>
      <x:c r="W910"/>
      <x:c r="X910" t="str">
        <x:v>https://www.espn.com/nfl/game/_/gameId/401872660</x:v>
      </x:c>
    </x:row>
    <x:row r="911">
      <x:c r="A911" t="str">
        <x:v>NFL</x:v>
      </x:c>
      <x:c r="B911" t="n">
        <x:v>1</x:v>
      </x:c>
      <x:c r="C911" s="68" t="n">
        <x:v>46278.708333333336</x:v>
      </x:c>
      <x:c r="D911" s="71" t="str">
        <x:v>post</x:v>
      </x:c>
      <x:c r="E911" s="72" t="b">
        <x:v>1</x:v>
      </x:c>
      <x:c r="F911" t="str">
        <x:v>Chicago Bears</x:v>
      </x:c>
      <x:c r="G911" t="str">
        <x:v>CHI</x:v>
      </x:c>
      <x:c r="H911" s="69" t="n">
        <x:v>59</x:v>
      </x:c>
      <x:c r="I911" t="str">
        <x:v>1-0</x:v>
      </x:c>
      <x:c r="J911" t="str">
        <x:f>IF(E911&lt;&gt;TRUE,"",IF(H911&gt;M911,"W",IF(H911&lt;M911,"L","T")))</x:f>
        <x:v>W</x:v>
      </x:c>
      <x:c r="K911" t="str">
        <x:v>Carolina Panthers</x:v>
      </x:c>
      <x:c r="L911" t="str">
        <x:v>CAR</x:v>
      </x:c>
      <x:c r="M911" s="69" t="n">
        <x:v>37</x:v>
      </x:c>
      <x:c r="N911" t="str">
        <x:v>0-1</x:v>
      </x:c>
      <x:c r="O911" t="str">
        <x:f>IF(E911&lt;&gt;TRUE,"",IF(M911&gt;H911,"W",IF(M911&lt;H911,"L","T")))</x:f>
        <x:v>L</x:v>
      </x:c>
      <x:c r="P911" s="66" t="b">
        <x:v>0</x:v>
      </x:c>
      <x:c r="Q911" s="66" t="b">
        <x:v>0</x:v>
      </x:c>
      <x:c r="R911" t="str">
        <x:v>Bank of America Stadium</x:v>
      </x:c>
      <x:c r="S911" t="str">
        <x:v>FOX</x:v>
      </x:c>
      <x:c r="T911"/>
      <x:c r="U911" s="70"/>
      <x:c r="V911" s="70"/>
      <x:c r="W911"/>
      <x:c r="X911" t="str">
        <x:v>https://www.espn.com/nfl/game/_/gameId/401872661</x:v>
      </x:c>
    </x:row>
    <x:row r="912">
      <x:c r="A912" t="str">
        <x:v>NFL</x:v>
      </x:c>
      <x:c r="B912" t="n">
        <x:v>1</x:v>
      </x:c>
      <x:c r="C912" s="68" t="n">
        <x:v>46278.708333333336</x:v>
      </x:c>
      <x:c r="D912" s="71" t="str">
        <x:v>post</x:v>
      </x:c>
      <x:c r="E912" s="72" t="b">
        <x:v>1</x:v>
      </x:c>
      <x:c r="F912" t="str">
        <x:v>Cleveland Browns</x:v>
      </x:c>
      <x:c r="G912" t="str">
        <x:v>CLE</x:v>
      </x:c>
      <x:c r="H912" s="69" t="n">
        <x:v>10</x:v>
      </x:c>
      <x:c r="I912" t="str">
        <x:v>0-1</x:v>
      </x:c>
      <x:c r="J912" t="str">
        <x:f>IF(E912&lt;&gt;TRUE,"",IF(H912&gt;M912,"W",IF(H912&lt;M912,"L","T")))</x:f>
        <x:v>L</x:v>
      </x:c>
      <x:c r="K912" t="str">
        <x:v>Jacksonville Jaguars</x:v>
      </x:c>
      <x:c r="L912" t="str">
        <x:v>JAX</x:v>
      </x:c>
      <x:c r="M912" s="69" t="n">
        <x:v>34</x:v>
      </x:c>
      <x:c r="N912" t="str">
        <x:v>1-0</x:v>
      </x:c>
      <x:c r="O912" t="str">
        <x:f>IF(E912&lt;&gt;TRUE,"",IF(M912&gt;H912,"W",IF(M912&lt;H912,"L","T")))</x:f>
        <x:v>W</x:v>
      </x:c>
      <x:c r="P912" s="66" t="b">
        <x:v>0</x:v>
      </x:c>
      <x:c r="Q912" s="66" t="b">
        <x:v>0</x:v>
      </x:c>
      <x:c r="R912" t="str">
        <x:v>EverBank Stadium</x:v>
      </x:c>
      <x:c r="S912" t="str">
        <x:v>CBS</x:v>
      </x:c>
      <x:c r="T912"/>
      <x:c r="U912" s="70"/>
      <x:c r="V912" s="70"/>
      <x:c r="W912"/>
      <x:c r="X912" t="str">
        <x:v>https://www.espn.com/nfl/game/_/gameId/401872922</x:v>
      </x:c>
    </x:row>
    <x:row r="913">
      <x:c r="A913" t="str">
        <x:v>NFL</x:v>
      </x:c>
      <x:c r="B913" t="n">
        <x:v>1</x:v>
      </x:c>
      <x:c r="C913" s="68" t="n">
        <x:v>46278.708333333336</x:v>
      </x:c>
      <x:c r="D913" s="71" t="str">
        <x:v>post</x:v>
      </x:c>
      <x:c r="E913" s="72" t="b">
        <x:v>1</x:v>
      </x:c>
      <x:c r="F913" t="str">
        <x:v>New Orleans Saints</x:v>
      </x:c>
      <x:c r="G913" t="str">
        <x:v>NO</x:v>
      </x:c>
      <x:c r="H913" s="69" t="n">
        <x:v>30</x:v>
      </x:c>
      <x:c r="I913" t="str">
        <x:v>0-1</x:v>
      </x:c>
      <x:c r="J913" t="str">
        <x:f>IF(E913&lt;&gt;TRUE,"",IF(H913&gt;M913,"W",IF(H913&lt;M913,"L","T")))</x:f>
        <x:v>L</x:v>
      </x:c>
      <x:c r="K913" t="str">
        <x:v>Detroit Lions</x:v>
      </x:c>
      <x:c r="L913" t="str">
        <x:v>DET</x:v>
      </x:c>
      <x:c r="M913" s="69" t="n">
        <x:v>31</x:v>
      </x:c>
      <x:c r="N913" t="str">
        <x:v>1-0</x:v>
      </x:c>
      <x:c r="O913" t="str">
        <x:f>IF(E913&lt;&gt;TRUE,"",IF(M913&gt;H913,"W",IF(M913&lt;H913,"L","T")))</x:f>
        <x:v>W</x:v>
      </x:c>
      <x:c r="P913" s="66" t="b">
        <x:v>0</x:v>
      </x:c>
      <x:c r="Q913" s="66" t="b">
        <x:v>0</x:v>
      </x:c>
      <x:c r="R913" t="str">
        <x:v>Ford Field</x:v>
      </x:c>
      <x:c r="S913" t="str">
        <x:v>FOX</x:v>
      </x:c>
      <x:c r="T913"/>
      <x:c r="U913" s="70"/>
      <x:c r="V913" s="70"/>
      <x:c r="W913"/>
      <x:c r="X913" t="str">
        <x:v>https://www.espn.com/nfl/game/_/gameId/401872923</x:v>
      </x:c>
    </x:row>
    <x:row r="914">
      <x:c r="A914" t="str">
        <x:v>NFL</x:v>
      </x:c>
      <x:c r="B914" t="n">
        <x:v>1</x:v>
      </x:c>
      <x:c r="C914" s="68" t="n">
        <x:v>46278.708333333336</x:v>
      </x:c>
      <x:c r="D914" s="71" t="str">
        <x:v>post</x:v>
      </x:c>
      <x:c r="E914" s="72" t="b">
        <x:v>1</x:v>
      </x:c>
      <x:c r="F914" t="str">
        <x:v>New York Jets</x:v>
      </x:c>
      <x:c r="G914" t="str">
        <x:v>NYJ</x:v>
      </x:c>
      <x:c r="H914" s="69" t="n">
        <x:v>23</x:v>
      </x:c>
      <x:c r="I914" t="str">
        <x:v>1-0</x:v>
      </x:c>
      <x:c r="J914" t="str">
        <x:f>IF(E914&lt;&gt;TRUE,"",IF(H914&gt;M914,"W",IF(H914&lt;M914,"L","T")))</x:f>
        <x:v>W</x:v>
      </x:c>
      <x:c r="K914" t="str">
        <x:v>Tennessee Titans</x:v>
      </x:c>
      <x:c r="L914" t="str">
        <x:v>TEN</x:v>
      </x:c>
      <x:c r="M914" s="69" t="n">
        <x:v>10</x:v>
      </x:c>
      <x:c r="N914" t="str">
        <x:v>0-1</x:v>
      </x:c>
      <x:c r="O914" t="str">
        <x:f>IF(E914&lt;&gt;TRUE,"",IF(M914&gt;H914,"W",IF(M914&lt;H914,"L","T")))</x:f>
        <x:v>L</x:v>
      </x:c>
      <x:c r="P914" s="66" t="b">
        <x:v>0</x:v>
      </x:c>
      <x:c r="Q914" s="66" t="b">
        <x:v>0</x:v>
      </x:c>
      <x:c r="R914" t="str">
        <x:v>Nissan Stadium</x:v>
      </x:c>
      <x:c r="S914" t="str">
        <x:v>CBS</x:v>
      </x:c>
      <x:c r="T914"/>
      <x:c r="U914" s="70"/>
      <x:c r="V914" s="70"/>
      <x:c r="W914"/>
      <x:c r="X914" t="str">
        <x:v>https://www.espn.com/nfl/game/_/gameId/401872924</x:v>
      </x:c>
    </x:row>
    <x:row r="915">
      <x:c r="A915" t="str">
        <x:v>NFL</x:v>
      </x:c>
      <x:c r="B915" t="n">
        <x:v>1</x:v>
      </x:c>
      <x:c r="C915" s="68" t="n">
        <x:v>46278.708333333336</x:v>
      </x:c>
      <x:c r="D915" s="71" t="str">
        <x:v>post</x:v>
      </x:c>
      <x:c r="E915" s="72" t="b">
        <x:v>1</x:v>
      </x:c>
      <x:c r="F915" t="str">
        <x:v>Tampa Bay Buccaneers</x:v>
      </x:c>
      <x:c r="G915" t="str">
        <x:v>TB</x:v>
      </x:c>
      <x:c r="H915" s="69" t="n">
        <x:v>27</x:v>
      </x:c>
      <x:c r="I915" t="str">
        <x:v>0-1</x:v>
      </x:c>
      <x:c r="J915" t="str">
        <x:f>IF(E915&lt;&gt;TRUE,"",IF(H915&gt;M915,"W",IF(H915&lt;M915,"L","T")))</x:f>
        <x:v>L</x:v>
      </x:c>
      <x:c r="K915" t="str">
        <x:v>Cincinnati Bengals</x:v>
      </x:c>
      <x:c r="L915" t="str">
        <x:v>CIN</x:v>
      </x:c>
      <x:c r="M915" s="69" t="n">
        <x:v>33</x:v>
      </x:c>
      <x:c r="N915" t="str">
        <x:v>1-0</x:v>
      </x:c>
      <x:c r="O915" t="str">
        <x:f>IF(E915&lt;&gt;TRUE,"",IF(M915&gt;H915,"W",IF(M915&lt;H915,"L","T")))</x:f>
        <x:v>W</x:v>
      </x:c>
      <x:c r="P915" s="66" t="b">
        <x:v>0</x:v>
      </x:c>
      <x:c r="Q915" s="66" t="b">
        <x:v>0</x:v>
      </x:c>
      <x:c r="R915" t="str">
        <x:v>Paycor Stadium</x:v>
      </x:c>
      <x:c r="S915" t="str">
        <x:v>FOX</x:v>
      </x:c>
      <x:c r="T915"/>
      <x:c r="U915" s="70"/>
      <x:c r="V915" s="70"/>
      <x:c r="W915"/>
      <x:c r="X915" t="str">
        <x:v>https://www.espn.com/nfl/game/_/gameId/401872925</x:v>
      </x:c>
    </x:row>
    <x:row r="916">
      <x:c r="A916" t="str">
        <x:v>NFL</x:v>
      </x:c>
      <x:c r="B916" t="n">
        <x:v>1</x:v>
      </x:c>
      <x:c r="C916" s="68" t="n">
        <x:v>46278.850694444445</x:v>
      </x:c>
      <x:c r="D916" s="71" t="str">
        <x:v>post</x:v>
      </x:c>
      <x:c r="E916" s="72" t="b">
        <x:v>1</x:v>
      </x:c>
      <x:c r="F916" t="str">
        <x:v>Arizona Cardinals</x:v>
      </x:c>
      <x:c r="G916" t="str">
        <x:v>ARI</x:v>
      </x:c>
      <x:c r="H916" s="69" t="n">
        <x:v>26</x:v>
      </x:c>
      <x:c r="I916" t="str">
        <x:v>1-0</x:v>
      </x:c>
      <x:c r="J916" t="str">
        <x:f>IF(E916&lt;&gt;TRUE,"",IF(H916&gt;M916,"W",IF(H916&lt;M916,"L","T")))</x:f>
        <x:v>W</x:v>
      </x:c>
      <x:c r="K916" t="str">
        <x:v>Los Angeles Chargers</x:v>
      </x:c>
      <x:c r="L916" t="str">
        <x:v>LAC</x:v>
      </x:c>
      <x:c r="M916" s="69" t="n">
        <x:v>14</x:v>
      </x:c>
      <x:c r="N916" t="str">
        <x:v>0-1</x:v>
      </x:c>
      <x:c r="O916" t="str">
        <x:f>IF(E916&lt;&gt;TRUE,"",IF(M916&gt;H916,"W",IF(M916&lt;H916,"L","T")))</x:f>
        <x:v>L</x:v>
      </x:c>
      <x:c r="P916" s="66" t="b">
        <x:v>0</x:v>
      </x:c>
      <x:c r="Q916" s="66" t="b">
        <x:v>0</x:v>
      </x:c>
      <x:c r="R916" t="str">
        <x:v>SoFi Stadium</x:v>
      </x:c>
      <x:c r="S916" t="str">
        <x:v>CBS</x:v>
      </x:c>
      <x:c r="T916"/>
      <x:c r="U916" s="70"/>
      <x:c r="V916" s="70"/>
      <x:c r="W916"/>
      <x:c r="X916" t="str">
        <x:v>https://www.espn.com/nfl/game/_/gameId/401872926</x:v>
      </x:c>
    </x:row>
    <x:row r="917">
      <x:c r="A917" t="str">
        <x:v>NFL</x:v>
      </x:c>
      <x:c r="B917" t="n">
        <x:v>1</x:v>
      </x:c>
      <x:c r="C917" s="68" t="n">
        <x:v>46278.850694444445</x:v>
      </x:c>
      <x:c r="D917" s="71" t="str">
        <x:v>post</x:v>
      </x:c>
      <x:c r="E917" s="72" t="b">
        <x:v>1</x:v>
      </x:c>
      <x:c r="F917" t="str">
        <x:v>Green Bay Packers</x:v>
      </x:c>
      <x:c r="G917" t="str">
        <x:v>GB</x:v>
      </x:c>
      <x:c r="H917" s="69" t="n">
        <x:v>22</x:v>
      </x:c>
      <x:c r="I917" t="str">
        <x:v>0-1</x:v>
      </x:c>
      <x:c r="J917" t="str">
        <x:f>IF(E917&lt;&gt;TRUE,"",IF(H917&gt;M917,"W",IF(H917&lt;M917,"L","T")))</x:f>
        <x:v>L</x:v>
      </x:c>
      <x:c r="K917" t="str">
        <x:v>Minnesota Vikings</x:v>
      </x:c>
      <x:c r="L917" t="str">
        <x:v>MIN</x:v>
      </x:c>
      <x:c r="M917" s="69" t="n">
        <x:v>39</x:v>
      </x:c>
      <x:c r="N917" t="str">
        <x:v>1-0</x:v>
      </x:c>
      <x:c r="O917" t="str">
        <x:f>IF(E917&lt;&gt;TRUE,"",IF(M917&gt;H917,"W",IF(M917&lt;H917,"L","T")))</x:f>
        <x:v>W</x:v>
      </x:c>
      <x:c r="P917" s="66" t="b">
        <x:v>0</x:v>
      </x:c>
      <x:c r="Q917" s="66" t="b">
        <x:v>0</x:v>
      </x:c>
      <x:c r="R917" t="str">
        <x:v>U.S. Bank Stadium</x:v>
      </x:c>
      <x:c r="S917" t="str">
        <x:v>CBS</x:v>
      </x:c>
      <x:c r="T917"/>
      <x:c r="U917" s="70"/>
      <x:c r="V917" s="70"/>
      <x:c r="W917"/>
      <x:c r="X917" t="str">
        <x:v>https://www.espn.com/nfl/game/_/gameId/401872927</x:v>
      </x:c>
    </x:row>
    <x:row r="918">
      <x:c r="A918" t="str">
        <x:v>NFL</x:v>
      </x:c>
      <x:c r="B918" t="n">
        <x:v>1</x:v>
      </x:c>
      <x:c r="C918" s="68" t="n">
        <x:v>46278.850694444445</x:v>
      </x:c>
      <x:c r="D918" s="71" t="str">
        <x:v>post</x:v>
      </x:c>
      <x:c r="E918" s="72" t="b">
        <x:v>1</x:v>
      </x:c>
      <x:c r="F918" t="str">
        <x:v>Miami Dolphins</x:v>
      </x:c>
      <x:c r="G918" t="str">
        <x:v>MIA</x:v>
      </x:c>
      <x:c r="H918" s="69" t="n">
        <x:v>13</x:v>
      </x:c>
      <x:c r="I918" t="str">
        <x:v>0-1</x:v>
      </x:c>
      <x:c r="J918" t="str">
        <x:f>IF(E918&lt;&gt;TRUE,"",IF(H918&gt;M918,"W",IF(H918&lt;M918,"L","T")))</x:f>
        <x:v>L</x:v>
      </x:c>
      <x:c r="K918" t="str">
        <x:v>Las Vegas Raiders</x:v>
      </x:c>
      <x:c r="L918" t="str">
        <x:v>LV</x:v>
      </x:c>
      <x:c r="M918" s="69" t="n">
        <x:v>27</x:v>
      </x:c>
      <x:c r="N918" t="str">
        <x:v>1-0</x:v>
      </x:c>
      <x:c r="O918" t="str">
        <x:f>IF(E918&lt;&gt;TRUE,"",IF(M918&gt;H918,"W",IF(M918&lt;H918,"L","T")))</x:f>
        <x:v>W</x:v>
      </x:c>
      <x:c r="P918" s="66" t="b">
        <x:v>0</x:v>
      </x:c>
      <x:c r="Q918" s="66" t="b">
        <x:v>0</x:v>
      </x:c>
      <x:c r="R918" t="str">
        <x:v>Allegiant Stadium</x:v>
      </x:c>
      <x:c r="S918" t="str">
        <x:v>FOX</x:v>
      </x:c>
      <x:c r="T918"/>
      <x:c r="U918" s="70"/>
      <x:c r="V918" s="70"/>
      <x:c r="W918"/>
      <x:c r="X918" t="str">
        <x:v>https://www.espn.com/nfl/game/_/gameId/401872928</x:v>
      </x:c>
    </x:row>
    <x:row r="919">
      <x:c r="A919" t="str">
        <x:v>NFL</x:v>
      </x:c>
      <x:c r="B919" t="n">
        <x:v>1</x:v>
      </x:c>
      <x:c r="C919" s="68" t="n">
        <x:v>46278.850694444445</x:v>
      </x:c>
      <x:c r="D919" s="71" t="str">
        <x:v>post</x:v>
      </x:c>
      <x:c r="E919" s="72" t="b">
        <x:v>1</x:v>
      </x:c>
      <x:c r="F919" t="str">
        <x:v>Washington Commanders</x:v>
      </x:c>
      <x:c r="G919" t="str">
        <x:v>WSH</x:v>
      </x:c>
      <x:c r="H919" s="69" t="n">
        <x:v>22</x:v>
      </x:c>
      <x:c r="I919" t="str">
        <x:v>0-1</x:v>
      </x:c>
      <x:c r="J919" t="str">
        <x:f>IF(E919&lt;&gt;TRUE,"",IF(H919&gt;M919,"W",IF(H919&lt;M919,"L","T")))</x:f>
        <x:v>L</x:v>
      </x:c>
      <x:c r="K919" t="str">
        <x:v>Philadelphia Eagles</x:v>
      </x:c>
      <x:c r="L919" t="str">
        <x:v>PHI</x:v>
      </x:c>
      <x:c r="M919" s="69" t="n">
        <x:v>24</x:v>
      </x:c>
      <x:c r="N919" t="str">
        <x:v>1-0</x:v>
      </x:c>
      <x:c r="O919" t="str">
        <x:f>IF(E919&lt;&gt;TRUE,"",IF(M919&gt;H919,"W",IF(M919&lt;H919,"L","T")))</x:f>
        <x:v>W</x:v>
      </x:c>
      <x:c r="P919" s="66" t="b">
        <x:v>0</x:v>
      </x:c>
      <x:c r="Q919" s="66" t="b">
        <x:v>0</x:v>
      </x:c>
      <x:c r="R919" t="str">
        <x:v>Lincoln Financial Field</x:v>
      </x:c>
      <x:c r="S919" t="str">
        <x:v>FOX</x:v>
      </x:c>
      <x:c r="T919"/>
      <x:c r="U919" s="70"/>
      <x:c r="V919" s="70"/>
      <x:c r="W919"/>
      <x:c r="X919" t="str">
        <x:v>https://www.espn.com/nfl/game/_/gameId/401872929</x:v>
      </x:c>
    </x:row>
    <x:row r="920">
      <x:c r="A920" t="str">
        <x:v>NFL</x:v>
      </x:c>
      <x:c r="B920" t="n">
        <x:v>1</x:v>
      </x:c>
      <x:c r="C920" s="68" t="n">
        <x:v>46279.01388888889</x:v>
      </x:c>
      <x:c r="D920" s="71" t="str">
        <x:v>post</x:v>
      </x:c>
      <x:c r="E920" s="72" t="b">
        <x:v>1</x:v>
      </x:c>
      <x:c r="F920" t="str">
        <x:v>Dallas Cowboys</x:v>
      </x:c>
      <x:c r="G920" t="str">
        <x:v>DAL</x:v>
      </x:c>
      <x:c r="H920" s="69" t="n">
        <x:v>20</x:v>
      </x:c>
      <x:c r="I920" t="str">
        <x:v>0-1</x:v>
      </x:c>
      <x:c r="J920" t="str">
        <x:f>IF(E920&lt;&gt;TRUE,"",IF(H920&gt;M920,"W",IF(H920&lt;M920,"L","T")))</x:f>
        <x:v>L</x:v>
      </x:c>
      <x:c r="K920" t="str">
        <x:v>New York Giants</x:v>
      </x:c>
      <x:c r="L920" t="str">
        <x:v>NYG</x:v>
      </x:c>
      <x:c r="M920" s="69" t="n">
        <x:v>28</x:v>
      </x:c>
      <x:c r="N920" t="str">
        <x:v>1-0</x:v>
      </x:c>
      <x:c r="O920" t="str">
        <x:f>IF(E920&lt;&gt;TRUE,"",IF(M920&gt;H920,"W",IF(M920&lt;H920,"L","T")))</x:f>
        <x:v>W</x:v>
      </x:c>
      <x:c r="P920" s="66" t="b">
        <x:v>0</x:v>
      </x:c>
      <x:c r="Q920" s="66" t="b">
        <x:v>0</x:v>
      </x:c>
      <x:c r="R920" t="str">
        <x:v>MetLife Stadium</x:v>
      </x:c>
      <x:c r="S920" t="str">
        <x:v>NBC</x:v>
      </x:c>
      <x:c r="T920"/>
      <x:c r="U920" s="70"/>
      <x:c r="V920" s="70"/>
      <x:c r="W920"/>
      <x:c r="X920" t="str">
        <x:v>https://www.espn.com/nfl/game/_/gameId/401872930</x:v>
      </x:c>
    </x:row>
    <x:row r="921">
      <x:c r="A921" t="str">
        <x:v>NFL</x:v>
      </x:c>
      <x:c r="B921" t="n">
        <x:v>1</x:v>
      </x:c>
      <x:c r="C921" s="68" t="n">
        <x:v>46280.010416666664</x:v>
      </x:c>
      <x:c r="D921" s="71" t="str">
        <x:v>post</x:v>
      </x:c>
      <x:c r="E921" s="72" t="b">
        <x:v>1</x:v>
      </x:c>
      <x:c r="F921" t="str">
        <x:v>Denver Broncos</x:v>
      </x:c>
      <x:c r="G921" t="str">
        <x:v>DEN</x:v>
      </x:c>
      <x:c r="H921" s="69" t="n">
        <x:v>10</x:v>
      </x:c>
      <x:c r="I921" t="str">
        <x:v>0-1</x:v>
      </x:c>
      <x:c r="J921" t="str">
        <x:f>IF(E921&lt;&gt;TRUE,"",IF(H921&gt;M921,"W",IF(H921&lt;M921,"L","T")))</x:f>
        <x:v>L</x:v>
      </x:c>
      <x:c r="K921" t="str">
        <x:v>Kansas City Chiefs</x:v>
      </x:c>
      <x:c r="L921" t="str">
        <x:v>KC</x:v>
      </x:c>
      <x:c r="M921" s="69" t="n">
        <x:v>31</x:v>
      </x:c>
      <x:c r="N921" t="str">
        <x:v>1-0</x:v>
      </x:c>
      <x:c r="O921" t="str">
        <x:f>IF(E921&lt;&gt;TRUE,"",IF(M921&gt;H921,"W",IF(M921&lt;H921,"L","T")))</x:f>
        <x:v>W</x:v>
      </x:c>
      <x:c r="P921" s="66" t="b">
        <x:v>0</x:v>
      </x:c>
      <x:c r="Q921" s="66" t="b">
        <x:v>0</x:v>
      </x:c>
      <x:c r="R921" t="str">
        <x:v>Arrowhead Stadium</x:v>
      </x:c>
      <x:c r="S921" t="str">
        <x:v>ESPN / ABC</x:v>
      </x:c>
      <x:c r="T921"/>
      <x:c r="U921" s="70"/>
      <x:c r="V921" s="70"/>
      <x:c r="W921"/>
      <x:c r="X921" t="str">
        <x:v>https://www.espn.com/nfl/game/_/gameId/401872931</x:v>
      </x:c>
    </x:row>
    <x:row r="922">
      <x:c r="A922" t="str">
        <x:v>NFL</x:v>
      </x:c>
      <x:c r="B922" t="n">
        <x:v>2</x:v>
      </x:c>
      <x:c r="C922" s="68" t="n">
        <x:v>46283.010416666664</x:v>
      </x:c>
      <x:c r="D922" s="71" t="str">
        <x:v>post</x:v>
      </x:c>
      <x:c r="E922" s="72" t="b">
        <x:v>1</x:v>
      </x:c>
      <x:c r="F922" t="str">
        <x:v>Detroit Lions</x:v>
      </x:c>
      <x:c r="G922" t="str">
        <x:v>DET</x:v>
      </x:c>
      <x:c r="H922" s="69" t="n">
        <x:v>31</x:v>
      </x:c>
      <x:c r="I922" t="str">
        <x:v>1-1</x:v>
      </x:c>
      <x:c r="J922" t="str">
        <x:f>IF(E922&lt;&gt;TRUE,"",IF(H922&gt;M922,"W",IF(H922&lt;M922,"L","T")))</x:f>
        <x:v>L</x:v>
      </x:c>
      <x:c r="K922" t="str">
        <x:v>Buffalo Bills</x:v>
      </x:c>
      <x:c r="L922" t="str">
        <x:v>BUF</x:v>
      </x:c>
      <x:c r="M922" s="69" t="n">
        <x:v>41</x:v>
      </x:c>
      <x:c r="N922" t="str">
        <x:v>2-0</x:v>
      </x:c>
      <x:c r="O922" t="str">
        <x:f>IF(E922&lt;&gt;TRUE,"",IF(M922&gt;H922,"W",IF(M922&lt;H922,"L","T")))</x:f>
        <x:v>W</x:v>
      </x:c>
      <x:c r="P922" s="66" t="b">
        <x:v>0</x:v>
      </x:c>
      <x:c r="Q922" s="66" t="b">
        <x:v>0</x:v>
      </x:c>
      <x:c r="R922" t="str">
        <x:v>Highmark Stadium</x:v>
      </x:c>
      <x:c r="S922" t="str">
        <x:v>Prime Video</x:v>
      </x:c>
      <x:c r="T922"/>
      <x:c r="U922" s="70"/>
      <x:c r="V922" s="70"/>
      <x:c r="W922"/>
      <x:c r="X922" t="str">
        <x:v>https://www.espn.com/nfl/game/_/gameId/401872932</x:v>
      </x:c>
    </x:row>
    <x:row r="923">
      <x:c r="A923" t="str">
        <x:v>NFL</x:v>
      </x:c>
      <x:c r="B923" t="n">
        <x:v>2</x:v>
      </x:c>
      <x:c r="C923" s="68" t="n">
        <x:v>46285.708333333336</x:v>
      </x:c>
      <x:c r="D923" s="71" t="str">
        <x:v>post</x:v>
      </x:c>
      <x:c r="E923" s="72" t="b">
        <x:v>1</x:v>
      </x:c>
      <x:c r="F923" t="str">
        <x:v>Carolina Panthers</x:v>
      </x:c>
      <x:c r="G923" t="str">
        <x:v>CAR</x:v>
      </x:c>
      <x:c r="H923" s="69" t="n">
        <x:v>34</x:v>
      </x:c>
      <x:c r="I923" t="str">
        <x:v>1-1</x:v>
      </x:c>
      <x:c r="J923" t="str">
        <x:f>IF(E923&lt;&gt;TRUE,"",IF(H923&gt;M923,"W",IF(H923&lt;M923,"L","T")))</x:f>
        <x:v>W</x:v>
      </x:c>
      <x:c r="K923" t="str">
        <x:v>Atlanta Falcons</x:v>
      </x:c>
      <x:c r="L923" t="str">
        <x:v>ATL</x:v>
      </x:c>
      <x:c r="M923" s="69" t="n">
        <x:v>3</x:v>
      </x:c>
      <x:c r="N923" t="str">
        <x:v>0-2</x:v>
      </x:c>
      <x:c r="O923" t="str">
        <x:f>IF(E923&lt;&gt;TRUE,"",IF(M923&gt;H923,"W",IF(M923&lt;H923,"L","T")))</x:f>
        <x:v>L</x:v>
      </x:c>
      <x:c r="P923" s="66" t="b">
        <x:v>0</x:v>
      </x:c>
      <x:c r="Q923" s="66" t="b">
        <x:v>0</x:v>
      </x:c>
      <x:c r="R923" t="str">
        <x:v>Mercedes-Benz Stadium</x:v>
      </x:c>
      <x:c r="S923" t="str">
        <x:v>FOX</x:v>
      </x:c>
      <x:c r="T923"/>
      <x:c r="U923" s="70"/>
      <x:c r="V923" s="70"/>
      <x:c r="W923"/>
      <x:c r="X923" t="str">
        <x:v>https://www.espn.com/nfl/game/_/gameId/401872933</x:v>
      </x:c>
    </x:row>
    <x:row r="924">
      <x:c r="A924" t="str">
        <x:v>NFL</x:v>
      </x:c>
      <x:c r="B924" t="n">
        <x:v>2</x:v>
      </x:c>
      <x:c r="C924" s="68" t="n">
        <x:v>46285.708333333336</x:v>
      </x:c>
      <x:c r="D924" s="71" t="str">
        <x:v>post</x:v>
      </x:c>
      <x:c r="E924" s="72" t="b">
        <x:v>1</x:v>
      </x:c>
      <x:c r="F924" t="str">
        <x:v>Cincinnati Bengals</x:v>
      </x:c>
      <x:c r="G924" t="str">
        <x:v>CIN</x:v>
      </x:c>
      <x:c r="H924" s="69" t="n">
        <x:v>20</x:v>
      </x:c>
      <x:c r="I924" t="str">
        <x:v>2-0</x:v>
      </x:c>
      <x:c r="J924" t="str">
        <x:f>IF(E924&lt;&gt;TRUE,"",IF(H924&gt;M924,"W",IF(H924&lt;M924,"L","T")))</x:f>
        <x:v>W</x:v>
      </x:c>
      <x:c r="K924" t="str">
        <x:v>Houston Texans</x:v>
      </x:c>
      <x:c r="L924" t="str">
        <x:v>HOU</x:v>
      </x:c>
      <x:c r="M924" s="69" t="n">
        <x:v>6</x:v>
      </x:c>
      <x:c r="N924" t="str">
        <x:v>0-2</x:v>
      </x:c>
      <x:c r="O924" t="str">
        <x:f>IF(E924&lt;&gt;TRUE,"",IF(M924&gt;H924,"W",IF(M924&lt;H924,"L","T")))</x:f>
        <x:v>L</x:v>
      </x:c>
      <x:c r="P924" s="66" t="b">
        <x:v>0</x:v>
      </x:c>
      <x:c r="Q924" s="66" t="b">
        <x:v>0</x:v>
      </x:c>
      <x:c r="R924" t="str">
        <x:v>Reliant Stadium</x:v>
      </x:c>
      <x:c r="S924" t="str">
        <x:v>CBS</x:v>
      </x:c>
      <x:c r="T924"/>
      <x:c r="U924" s="70"/>
      <x:c r="V924" s="70"/>
      <x:c r="W924"/>
      <x:c r="X924" t="str">
        <x:v>https://www.espn.com/nfl/game/_/gameId/401872934</x:v>
      </x:c>
    </x:row>
    <x:row r="925">
      <x:c r="A925" t="str">
        <x:v>NFL</x:v>
      </x:c>
      <x:c r="B925" t="n">
        <x:v>2</x:v>
      </x:c>
      <x:c r="C925" s="68" t="n">
        <x:v>46285.708333333336</x:v>
      </x:c>
      <x:c r="D925" s="71" t="str">
        <x:v>post</x:v>
      </x:c>
      <x:c r="E925" s="72" t="b">
        <x:v>1</x:v>
      </x:c>
      <x:c r="F925" t="str">
        <x:v>Cleveland Browns</x:v>
      </x:c>
      <x:c r="G925" t="str">
        <x:v>CLE</x:v>
      </x:c>
      <x:c r="H925" s="69" t="n">
        <x:v>23</x:v>
      </x:c>
      <x:c r="I925" t="str">
        <x:v>1-1</x:v>
      </x:c>
      <x:c r="J925" t="str">
        <x:f>IF(E925&lt;&gt;TRUE,"",IF(H925&gt;M925,"W",IF(H925&lt;M925,"L","T")))</x:f>
        <x:v>W</x:v>
      </x:c>
      <x:c r="K925" t="str">
        <x:v>Tampa Bay Buccaneers</x:v>
      </x:c>
      <x:c r="L925" t="str">
        <x:v>TB</x:v>
      </x:c>
      <x:c r="M925" s="69" t="n">
        <x:v>19</x:v>
      </x:c>
      <x:c r="N925" t="str">
        <x:v>0-2</x:v>
      </x:c>
      <x:c r="O925" t="str">
        <x:f>IF(E925&lt;&gt;TRUE,"",IF(M925&gt;H925,"W",IF(M925&lt;H925,"L","T")))</x:f>
        <x:v>L</x:v>
      </x:c>
      <x:c r="P925" s="66" t="b">
        <x:v>0</x:v>
      </x:c>
      <x:c r="Q925" s="66" t="b">
        <x:v>0</x:v>
      </x:c>
      <x:c r="R925" t="str">
        <x:v>Raymond James Stadium</x:v>
      </x:c>
      <x:c r="S925" t="str">
        <x:v>CBS</x:v>
      </x:c>
      <x:c r="T925"/>
      <x:c r="U925" s="70"/>
      <x:c r="V925" s="70"/>
      <x:c r="W925"/>
      <x:c r="X925" t="str">
        <x:v>https://www.espn.com/nfl/game/_/gameId/401872935</x:v>
      </x:c>
    </x:row>
    <x:row r="926">
      <x:c r="A926" t="str">
        <x:v>NFL</x:v>
      </x:c>
      <x:c r="B926" t="n">
        <x:v>2</x:v>
      </x:c>
      <x:c r="C926" s="68" t="n">
        <x:v>46285.708333333336</x:v>
      </x:c>
      <x:c r="D926" s="71" t="str">
        <x:v>post</x:v>
      </x:c>
      <x:c r="E926" s="72" t="b">
        <x:v>1</x:v>
      </x:c>
      <x:c r="F926" t="str">
        <x:v>Green Bay Packers</x:v>
      </x:c>
      <x:c r="G926" t="str">
        <x:v>GB</x:v>
      </x:c>
      <x:c r="H926" s="69" t="n">
        <x:v>20</x:v>
      </x:c>
      <x:c r="I926" t="str">
        <x:v>1-1</x:v>
      </x:c>
      <x:c r="J926" t="str">
        <x:f>IF(E926&lt;&gt;TRUE,"",IF(H926&gt;M926,"W",IF(H926&lt;M926,"L","T")))</x:f>
        <x:v>W</x:v>
      </x:c>
      <x:c r="K926" t="str">
        <x:v>New York Jets</x:v>
      </x:c>
      <x:c r="L926" t="str">
        <x:v>NYJ</x:v>
      </x:c>
      <x:c r="M926" s="69" t="n">
        <x:v>17</x:v>
      </x:c>
      <x:c r="N926" t="str">
        <x:v>1-1</x:v>
      </x:c>
      <x:c r="O926" t="str">
        <x:f>IF(E926&lt;&gt;TRUE,"",IF(M926&gt;H926,"W",IF(M926&lt;H926,"L","T")))</x:f>
        <x:v>L</x:v>
      </x:c>
      <x:c r="P926" s="66" t="b">
        <x:v>0</x:v>
      </x:c>
      <x:c r="Q926" s="66" t="b">
        <x:v>0</x:v>
      </x:c>
      <x:c r="R926" t="str">
        <x:v>MetLife Stadium</x:v>
      </x:c>
      <x:c r="S926" t="str">
        <x:v>FOX</x:v>
      </x:c>
      <x:c r="T926"/>
      <x:c r="U926" s="70"/>
      <x:c r="V926" s="70"/>
      <x:c r="W926"/>
      <x:c r="X926" t="str">
        <x:v>https://www.espn.com/nfl/game/_/gameId/401872936</x:v>
      </x:c>
    </x:row>
    <x:row r="927">
      <x:c r="A927" t="str">
        <x:v>NFL</x:v>
      </x:c>
      <x:c r="B927" t="n">
        <x:v>2</x:v>
      </x:c>
      <x:c r="C927" s="68" t="n">
        <x:v>46285.708333333336</x:v>
      </x:c>
      <x:c r="D927" s="71" t="str">
        <x:v>post</x:v>
      </x:c>
      <x:c r="E927" s="72" t="b">
        <x:v>1</x:v>
      </x:c>
      <x:c r="F927" t="str">
        <x:v>Minnesota Vikings</x:v>
      </x:c>
      <x:c r="G927" t="str">
        <x:v>MIN</x:v>
      </x:c>
      <x:c r="H927" s="69" t="n">
        <x:v>9</x:v>
      </x:c>
      <x:c r="I927" t="str">
        <x:v>2-0</x:v>
      </x:c>
      <x:c r="J927" t="str">
        <x:f>IF(E927&lt;&gt;TRUE,"",IF(H927&gt;M927,"W",IF(H927&lt;M927,"L","T")))</x:f>
        <x:v>W</x:v>
      </x:c>
      <x:c r="K927" t="str">
        <x:v>Chicago Bears</x:v>
      </x:c>
      <x:c r="L927" t="str">
        <x:v>CHI</x:v>
      </x:c>
      <x:c r="M927" s="69" t="n">
        <x:v>3</x:v>
      </x:c>
      <x:c r="N927" t="str">
        <x:v>1-1</x:v>
      </x:c>
      <x:c r="O927" t="str">
        <x:f>IF(E927&lt;&gt;TRUE,"",IF(M927&gt;H927,"W",IF(M927&lt;H927,"L","T")))</x:f>
        <x:v>L</x:v>
      </x:c>
      <x:c r="P927" s="66" t="b">
        <x:v>0</x:v>
      </x:c>
      <x:c r="Q927" s="66" t="b">
        <x:v>0</x:v>
      </x:c>
      <x:c r="R927" t="str">
        <x:v>Soldier Field</x:v>
      </x:c>
      <x:c r="S927" t="str">
        <x:v>FOX</x:v>
      </x:c>
      <x:c r="T927"/>
      <x:c r="U927" s="70"/>
      <x:c r="V927" s="70"/>
      <x:c r="W927"/>
      <x:c r="X927" t="str">
        <x:v>https://www.espn.com/nfl/game/_/gameId/401872937</x:v>
      </x:c>
    </x:row>
    <x:row r="928">
      <x:c r="A928" t="str">
        <x:v>NFL</x:v>
      </x:c>
      <x:c r="B928" t="n">
        <x:v>2</x:v>
      </x:c>
      <x:c r="C928" s="68" t="n">
        <x:v>46285.708333333336</x:v>
      </x:c>
      <x:c r="D928" s="71" t="str">
        <x:v>post</x:v>
      </x:c>
      <x:c r="E928" s="72" t="b">
        <x:v>1</x:v>
      </x:c>
      <x:c r="F928" t="str">
        <x:v>New Orleans Saints</x:v>
      </x:c>
      <x:c r="G928" t="str">
        <x:v>NO</x:v>
      </x:c>
      <x:c r="H928" s="69" t="n">
        <x:v>24</x:v>
      </x:c>
      <x:c r="I928" t="str">
        <x:v>1-1</x:v>
      </x:c>
      <x:c r="J928" t="str">
        <x:f>IF(E928&lt;&gt;TRUE,"",IF(H928&gt;M928,"W",IF(H928&lt;M928,"L","T")))</x:f>
        <x:v>W</x:v>
      </x:c>
      <x:c r="K928" t="str">
        <x:v>Baltimore Ravens</x:v>
      </x:c>
      <x:c r="L928" t="str">
        <x:v>BAL</x:v>
      </x:c>
      <x:c r="M928" s="69" t="n">
        <x:v>17</x:v>
      </x:c>
      <x:c r="N928" t="str">
        <x:v>1-1</x:v>
      </x:c>
      <x:c r="O928" t="str">
        <x:f>IF(E928&lt;&gt;TRUE,"",IF(M928&gt;H928,"W",IF(M928&lt;H928,"L","T")))</x:f>
        <x:v>L</x:v>
      </x:c>
      <x:c r="P928" s="66" t="b">
        <x:v>0</x:v>
      </x:c>
      <x:c r="Q928" s="66" t="b">
        <x:v>0</x:v>
      </x:c>
      <x:c r="R928" t="str">
        <x:v>M&amp;T Bank Stadium</x:v>
      </x:c>
      <x:c r="S928" t="str">
        <x:v>CBS</x:v>
      </x:c>
      <x:c r="T928"/>
      <x:c r="U928" s="70"/>
      <x:c r="V928" s="70"/>
      <x:c r="W928"/>
      <x:c r="X928" t="str">
        <x:v>https://www.espn.com/nfl/game/_/gameId/401872938</x:v>
      </x:c>
    </x:row>
    <x:row r="929">
      <x:c r="A929" t="str">
        <x:v>NFL</x:v>
      </x:c>
      <x:c r="B929" t="n">
        <x:v>2</x:v>
      </x:c>
      <x:c r="C929" s="68" t="n">
        <x:v>46285.708333333336</x:v>
      </x:c>
      <x:c r="D929" s="71" t="str">
        <x:v>post</x:v>
      </x:c>
      <x:c r="E929" s="72" t="b">
        <x:v>1</x:v>
      </x:c>
      <x:c r="F929" t="str">
        <x:v>Philadelphia Eagles</x:v>
      </x:c>
      <x:c r="G929" t="str">
        <x:v>PHI</x:v>
      </x:c>
      <x:c r="H929" s="69" t="n">
        <x:v>24</x:v>
      </x:c>
      <x:c r="I929" t="str">
        <x:v>2-0</x:v>
      </x:c>
      <x:c r="J929" t="str">
        <x:f>IF(E929&lt;&gt;TRUE,"",IF(H929&gt;M929,"W",IF(H929&lt;M929,"L","T")))</x:f>
        <x:v>W</x:v>
      </x:c>
      <x:c r="K929" t="str">
        <x:v>Tennessee Titans</x:v>
      </x:c>
      <x:c r="L929" t="str">
        <x:v>TEN</x:v>
      </x:c>
      <x:c r="M929" s="69" t="n">
        <x:v>20</x:v>
      </x:c>
      <x:c r="N929" t="str">
        <x:v>0-2</x:v>
      </x:c>
      <x:c r="O929" t="str">
        <x:f>IF(E929&lt;&gt;TRUE,"",IF(M929&gt;H929,"W",IF(M929&lt;H929,"L","T")))</x:f>
        <x:v>L</x:v>
      </x:c>
      <x:c r="P929" s="66" t="b">
        <x:v>0</x:v>
      </x:c>
      <x:c r="Q929" s="66" t="b">
        <x:v>0</x:v>
      </x:c>
      <x:c r="R929" t="str">
        <x:v>Nissan Stadium</x:v>
      </x:c>
      <x:c r="S929" t="str">
        <x:v>FOX</x:v>
      </x:c>
      <x:c r="T929"/>
      <x:c r="U929" s="70"/>
      <x:c r="V929" s="70"/>
      <x:c r="W929"/>
      <x:c r="X929" t="str">
        <x:v>https://www.espn.com/nfl/game/_/gameId/401872939</x:v>
      </x:c>
    </x:row>
    <x:row r="930">
      <x:c r="A930" t="str">
        <x:v>NFL</x:v>
      </x:c>
      <x:c r="B930" t="n">
        <x:v>2</x:v>
      </x:c>
      <x:c r="C930" s="68" t="n">
        <x:v>46285.708333333336</x:v>
      </x:c>
      <x:c r="D930" s="71" t="str">
        <x:v>post</x:v>
      </x:c>
      <x:c r="E930" s="72" t="b">
        <x:v>1</x:v>
      </x:c>
      <x:c r="F930" t="str">
        <x:v>Pittsburgh Steelers</x:v>
      </x:c>
      <x:c r="G930" t="str">
        <x:v>PIT</x:v>
      </x:c>
      <x:c r="H930" s="69" t="n">
        <x:v>3</x:v>
      </x:c>
      <x:c r="I930" t="str">
        <x:v>1-1</x:v>
      </x:c>
      <x:c r="J930" t="str">
        <x:f>IF(E930&lt;&gt;TRUE,"",IF(H930&gt;M930,"W",IF(H930&lt;M930,"L","T")))</x:f>
        <x:v>L</x:v>
      </x:c>
      <x:c r="K930" t="str">
        <x:v>New England Patriots</x:v>
      </x:c>
      <x:c r="L930" t="str">
        <x:v>NE</x:v>
      </x:c>
      <x:c r="M930" s="69" t="n">
        <x:v>20</x:v>
      </x:c>
      <x:c r="N930" t="str">
        <x:v>1-1</x:v>
      </x:c>
      <x:c r="O930" t="str">
        <x:f>IF(E930&lt;&gt;TRUE,"",IF(M930&gt;H930,"W",IF(M930&lt;H930,"L","T")))</x:f>
        <x:v>W</x:v>
      </x:c>
      <x:c r="P930" s="66" t="b">
        <x:v>0</x:v>
      </x:c>
      <x:c r="Q930" s="66" t="b">
        <x:v>0</x:v>
      </x:c>
      <x:c r="R930" t="str">
        <x:v>Gillette Stadium</x:v>
      </x:c>
      <x:c r="S930" t="str">
        <x:v>CBS</x:v>
      </x:c>
      <x:c r="T930"/>
      <x:c r="U930" s="70"/>
      <x:c r="V930" s="70"/>
      <x:c r="W930"/>
      <x:c r="X930" t="str">
        <x:v>https://www.espn.com/nfl/game/_/gameId/401872946</x:v>
      </x:c>
    </x:row>
    <x:row r="931">
      <x:c r="A931" t="str">
        <x:v>NFL</x:v>
      </x:c>
      <x:c r="B931" t="n">
        <x:v>2</x:v>
      </x:c>
      <x:c r="C931" s="68" t="n">
        <x:v>46285.836805555555</x:v>
      </x:c>
      <x:c r="D931" s="71" t="str">
        <x:v>post</x:v>
      </x:c>
      <x:c r="E931" s="72" t="b">
        <x:v>1</x:v>
      </x:c>
      <x:c r="F931" t="str">
        <x:v>Jacksonville Jaguars</x:v>
      </x:c>
      <x:c r="G931" t="str">
        <x:v>JAX</x:v>
      </x:c>
      <x:c r="H931" s="69" t="n">
        <x:v>13</x:v>
      </x:c>
      <x:c r="I931" t="str">
        <x:v>1-1</x:v>
      </x:c>
      <x:c r="J931" t="str">
        <x:f>IF(E931&lt;&gt;TRUE,"",IF(H931&gt;M931,"W",IF(H931&lt;M931,"L","T")))</x:f>
        <x:v>L</x:v>
      </x:c>
      <x:c r="K931" t="str">
        <x:v>Denver Broncos</x:v>
      </x:c>
      <x:c r="L931" t="str">
        <x:v>DEN</x:v>
      </x:c>
      <x:c r="M931" s="69" t="n">
        <x:v>20</x:v>
      </x:c>
      <x:c r="N931" t="str">
        <x:v>1-1</x:v>
      </x:c>
      <x:c r="O931" t="str">
        <x:f>IF(E931&lt;&gt;TRUE,"",IF(M931&gt;H931,"W",IF(M931&lt;H931,"L","T")))</x:f>
        <x:v>W</x:v>
      </x:c>
      <x:c r="P931" s="66" t="b">
        <x:v>0</x:v>
      </x:c>
      <x:c r="Q931" s="66" t="b">
        <x:v>0</x:v>
      </x:c>
      <x:c r="R931" t="str">
        <x:v>Empower Field at Mile High</x:v>
      </x:c>
      <x:c r="S931" t="str">
        <x:v>CBS</x:v>
      </x:c>
      <x:c r="T931"/>
      <x:c r="U931" s="70"/>
      <x:c r="V931" s="70"/>
      <x:c r="W931"/>
      <x:c r="X931" t="str">
        <x:v>https://www.espn.com/nfl/game/_/gameId/401872940</x:v>
      </x:c>
    </x:row>
    <x:row r="932">
      <x:c r="A932" t="str">
        <x:v>NFL</x:v>
      </x:c>
      <x:c r="B932" t="n">
        <x:v>2</x:v>
      </x:c>
      <x:c r="C932" s="68" t="n">
        <x:v>46285.836805555555</x:v>
      </x:c>
      <x:c r="D932" s="71" t="str">
        <x:v>post</x:v>
      </x:c>
      <x:c r="E932" s="72" t="b">
        <x:v>1</x:v>
      </x:c>
      <x:c r="F932" t="str">
        <x:v>Las Vegas Raiders</x:v>
      </x:c>
      <x:c r="G932" t="str">
        <x:v>LV</x:v>
      </x:c>
      <x:c r="H932" s="69" t="n">
        <x:v>26</x:v>
      </x:c>
      <x:c r="I932" t="str">
        <x:v>2-0</x:v>
      </x:c>
      <x:c r="J932" t="str">
        <x:f>IF(E932&lt;&gt;TRUE,"",IF(H932&gt;M932,"W",IF(H932&lt;M932,"L","T")))</x:f>
        <x:v>W</x:v>
      </x:c>
      <x:c r="K932" t="str">
        <x:v>Los Angeles Chargers</x:v>
      </x:c>
      <x:c r="L932" t="str">
        <x:v>LAC</x:v>
      </x:c>
      <x:c r="M932" s="69" t="n">
        <x:v>14</x:v>
      </x:c>
      <x:c r="N932" t="str">
        <x:v>0-2</x:v>
      </x:c>
      <x:c r="O932" t="str">
        <x:f>IF(E932&lt;&gt;TRUE,"",IF(M932&gt;H932,"W",IF(M932&lt;H932,"L","T")))</x:f>
        <x:v>L</x:v>
      </x:c>
      <x:c r="P932" s="66" t="b">
        <x:v>0</x:v>
      </x:c>
      <x:c r="Q932" s="66" t="b">
        <x:v>0</x:v>
      </x:c>
      <x:c r="R932" t="str">
        <x:v>SoFi Stadium</x:v>
      </x:c>
      <x:c r="S932" t="str">
        <x:v>CBS</x:v>
      </x:c>
      <x:c r="T932"/>
      <x:c r="U932" s="70"/>
      <x:c r="V932" s="70"/>
      <x:c r="W932"/>
      <x:c r="X932" t="str">
        <x:v>https://www.espn.com/nfl/game/_/gameId/401872941</x:v>
      </x:c>
    </x:row>
    <x:row r="933">
      <x:c r="A933" t="str">
        <x:v>NFL</x:v>
      </x:c>
      <x:c r="B933" t="n">
        <x:v>2</x:v>
      </x:c>
      <x:c r="C933" s="68" t="n">
        <x:v>46285.850694444445</x:v>
      </x:c>
      <x:c r="D933" s="71" t="str">
        <x:v>post</x:v>
      </x:c>
      <x:c r="E933" s="72" t="b">
        <x:v>1</x:v>
      </x:c>
      <x:c r="F933" t="str">
        <x:v>Miami Dolphins</x:v>
      </x:c>
      <x:c r="G933" t="str">
        <x:v>MIA</x:v>
      </x:c>
      <x:c r="H933" s="69" t="n">
        <x:v>13</x:v>
      </x:c>
      <x:c r="I933" t="str">
        <x:v>0-2</x:v>
      </x:c>
      <x:c r="J933" t="str">
        <x:f>IF(E933&lt;&gt;TRUE,"",IF(H933&gt;M933,"W",IF(H933&lt;M933,"L","T")))</x:f>
        <x:v>L</x:v>
      </x:c>
      <x:c r="K933" t="str">
        <x:v>San Francisco 49ers</x:v>
      </x:c>
      <x:c r="L933" t="str">
        <x:v>SF</x:v>
      </x:c>
      <x:c r="M933" s="69" t="n">
        <x:v>35</x:v>
      </x:c>
      <x:c r="N933" t="str">
        <x:v>2-0</x:v>
      </x:c>
      <x:c r="O933" t="str">
        <x:f>IF(E933&lt;&gt;TRUE,"",IF(M933&gt;H933,"W",IF(M933&lt;H933,"L","T")))</x:f>
        <x:v>W</x:v>
      </x:c>
      <x:c r="P933" s="66" t="b">
        <x:v>0</x:v>
      </x:c>
      <x:c r="Q933" s="66" t="b">
        <x:v>0</x:v>
      </x:c>
      <x:c r="R933" t="str">
        <x:v>Levi's Stadium</x:v>
      </x:c>
      <x:c r="S933" t="str">
        <x:v>FOX</x:v>
      </x:c>
      <x:c r="T933"/>
      <x:c r="U933" s="70"/>
      <x:c r="V933" s="70"/>
      <x:c r="W933"/>
      <x:c r="X933" t="str">
        <x:v>https://www.espn.com/nfl/game/_/gameId/401872942</x:v>
      </x:c>
    </x:row>
    <x:row r="934">
      <x:c r="A934" t="str">
        <x:v>NFL</x:v>
      </x:c>
      <x:c r="B934" t="n">
        <x:v>2</x:v>
      </x:c>
      <x:c r="C934" s="68" t="n">
        <x:v>46285.850694444445</x:v>
      </x:c>
      <x:c r="D934" s="71" t="str">
        <x:v>post</x:v>
      </x:c>
      <x:c r="E934" s="72" t="b">
        <x:v>1</x:v>
      </x:c>
      <x:c r="F934" t="str">
        <x:v>Seattle Seahawks</x:v>
      </x:c>
      <x:c r="G934" t="str">
        <x:v>SEA</x:v>
      </x:c>
      <x:c r="H934" s="69" t="n">
        <x:v>31</x:v>
      </x:c>
      <x:c r="I934" t="str">
        <x:v>2-0</x:v>
      </x:c>
      <x:c r="J934" t="str">
        <x:f>IF(E934&lt;&gt;TRUE,"",IF(H934&gt;M934,"W",IF(H934&lt;M934,"L","T")))</x:f>
        <x:v>W</x:v>
      </x:c>
      <x:c r="K934" t="str">
        <x:v>Arizona Cardinals</x:v>
      </x:c>
      <x:c r="L934" t="str">
        <x:v>ARI</x:v>
      </x:c>
      <x:c r="M934" s="69" t="n">
        <x:v>7</x:v>
      </x:c>
      <x:c r="N934" t="str">
        <x:v>1-1</x:v>
      </x:c>
      <x:c r="O934" t="str">
        <x:f>IF(E934&lt;&gt;TRUE,"",IF(M934&gt;H934,"W",IF(M934&lt;H934,"L","T")))</x:f>
        <x:v>L</x:v>
      </x:c>
      <x:c r="P934" s="66" t="b">
        <x:v>0</x:v>
      </x:c>
      <x:c r="Q934" s="66" t="b">
        <x:v>0</x:v>
      </x:c>
      <x:c r="R934" t="str">
        <x:v>State Farm Stadium</x:v>
      </x:c>
      <x:c r="S934" t="str">
        <x:v>FOX</x:v>
      </x:c>
      <x:c r="T934"/>
      <x:c r="U934" s="70"/>
      <x:c r="V934" s="70"/>
      <x:c r="W934"/>
      <x:c r="X934" t="str">
        <x:v>https://www.espn.com/nfl/game/_/gameId/401872943</x:v>
      </x:c>
    </x:row>
    <x:row r="935">
      <x:c r="A935" t="str">
        <x:v>NFL</x:v>
      </x:c>
      <x:c r="B935" t="n">
        <x:v>2</x:v>
      </x:c>
      <x:c r="C935" s="68" t="n">
        <x:v>46285.850694444445</x:v>
      </x:c>
      <x:c r="D935" s="71" t="str">
        <x:v>post</x:v>
      </x:c>
      <x:c r="E935" s="72" t="b">
        <x:v>1</x:v>
      </x:c>
      <x:c r="F935" t="str">
        <x:v>Washington Commanders</x:v>
      </x:c>
      <x:c r="G935" t="str">
        <x:v>WSH</x:v>
      </x:c>
      <x:c r="H935" s="69" t="n">
        <x:v>20</x:v>
      </x:c>
      <x:c r="I935" t="str">
        <x:v>0-2</x:v>
      </x:c>
      <x:c r="J935" t="str">
        <x:f>IF(E935&lt;&gt;TRUE,"",IF(H935&gt;M935,"W",IF(H935&lt;M935,"L","T")))</x:f>
        <x:v>L</x:v>
      </x:c>
      <x:c r="K935" t="str">
        <x:v>Dallas Cowboys</x:v>
      </x:c>
      <x:c r="L935" t="str">
        <x:v>DAL</x:v>
      </x:c>
      <x:c r="M935" s="69" t="n">
        <x:v>37</x:v>
      </x:c>
      <x:c r="N935" t="str">
        <x:v>1-1</x:v>
      </x:c>
      <x:c r="O935" t="str">
        <x:f>IF(E935&lt;&gt;TRUE,"",IF(M935&gt;H935,"W",IF(M935&lt;H935,"L","T")))</x:f>
        <x:v>W</x:v>
      </x:c>
      <x:c r="P935" s="66" t="b">
        <x:v>0</x:v>
      </x:c>
      <x:c r="Q935" s="66" t="b">
        <x:v>0</x:v>
      </x:c>
      <x:c r="R935" t="str">
        <x:v>AT&amp;T Stadium</x:v>
      </x:c>
      <x:c r="S935" t="str">
        <x:v>FOX</x:v>
      </x:c>
      <x:c r="T935"/>
      <x:c r="U935" s="70"/>
      <x:c r="V935" s="70"/>
      <x:c r="W935"/>
      <x:c r="X935" t="str">
        <x:v>https://www.espn.com/nfl/game/_/gameId/401872944</x:v>
      </x:c>
    </x:row>
    <x:row r="936">
      <x:c r="A936" t="str">
        <x:v>NFL</x:v>
      </x:c>
      <x:c r="B936" t="n">
        <x:v>2</x:v>
      </x:c>
      <x:c r="C936" s="68" t="n">
        <x:v>46286.01388888889</x:v>
      </x:c>
      <x:c r="D936" s="71" t="str">
        <x:v>post</x:v>
      </x:c>
      <x:c r="E936" s="72" t="b">
        <x:v>1</x:v>
      </x:c>
      <x:c r="F936" t="str">
        <x:v>Indianapolis Colts</x:v>
      </x:c>
      <x:c r="G936" t="str">
        <x:v>IND</x:v>
      </x:c>
      <x:c r="H936" s="69" t="n">
        <x:v>30</x:v>
      </x:c>
      <x:c r="I936" t="str">
        <x:v>0-2</x:v>
      </x:c>
      <x:c r="J936" t="str">
        <x:f>IF(E936&lt;&gt;TRUE,"",IF(H936&gt;M936,"W",IF(H936&lt;M936,"L","T")))</x:f>
        <x:v>L</x:v>
      </x:c>
      <x:c r="K936" t="str">
        <x:v>Kansas City Chiefs</x:v>
      </x:c>
      <x:c r="L936" t="str">
        <x:v>KC</x:v>
      </x:c>
      <x:c r="M936" s="69" t="n">
        <x:v>33</x:v>
      </x:c>
      <x:c r="N936" t="str">
        <x:v>2-0</x:v>
      </x:c>
      <x:c r="O936" t="str">
        <x:f>IF(E936&lt;&gt;TRUE,"",IF(M936&gt;H936,"W",IF(M936&lt;H936,"L","T")))</x:f>
        <x:v>W</x:v>
      </x:c>
      <x:c r="P936" s="66" t="b">
        <x:v>0</x:v>
      </x:c>
      <x:c r="Q936" s="66" t="b">
        <x:v>0</x:v>
      </x:c>
      <x:c r="R936" t="str">
        <x:v>Arrowhead Stadium</x:v>
      </x:c>
      <x:c r="S936" t="str">
        <x:v>NBC</x:v>
      </x:c>
      <x:c r="T936"/>
      <x:c r="U936" s="70"/>
      <x:c r="V936" s="70"/>
      <x:c r="W936"/>
      <x:c r="X936" t="str">
        <x:v>https://www.espn.com/nfl/game/_/gameId/401872945</x:v>
      </x:c>
    </x:row>
    <x:row r="937">
      <x:c r="A937" t="str">
        <x:v>NFL</x:v>
      </x:c>
      <x:c r="B937" t="n">
        <x:v>2</x:v>
      </x:c>
      <x:c r="C937" s="68" t="n">
        <x:v>46287.010416666664</x:v>
      </x:c>
      <x:c r="D937" s="71" t="str">
        <x:v>pre</x:v>
      </x:c>
      <x:c r="E937" s="72" t="b">
        <x:v>0</x:v>
      </x:c>
      <x:c r="F937" t="str">
        <x:v>New York Giants</x:v>
      </x:c>
      <x:c r="G937" t="str">
        <x:v>NYG</x:v>
      </x:c>
      <x:c r="H937" s="69" t="n">
        <x:v>0</x:v>
      </x:c>
      <x:c r="I937" t="str">
        <x:v>1-0</x:v>
      </x:c>
      <x:c r="J937" t="str">
        <x:f>IF(E937&lt;&gt;TRUE,"",IF(H937&gt;M937,"W",IF(H937&lt;M937,"L","T")))</x:f>
      </x:c>
      <x:c r="K937" t="str">
        <x:v>Los Angeles Rams</x:v>
      </x:c>
      <x:c r="L937" t="str">
        <x:v>LAR</x:v>
      </x:c>
      <x:c r="M937" s="69" t="n">
        <x:v>0</x:v>
      </x:c>
      <x:c r="N937" t="str">
        <x:v>0-1</x:v>
      </x:c>
      <x:c r="O937" t="str">
        <x:f>IF(E937&lt;&gt;TRUE,"",IF(M937&gt;H937,"W",IF(M937&lt;H937,"L","T")))</x:f>
      </x:c>
      <x:c r="P937" s="66" t="b">
        <x:v>0</x:v>
      </x:c>
      <x:c r="Q937" s="66" t="b">
        <x:v>0</x:v>
      </x:c>
      <x:c r="R937" t="str">
        <x:v>SoFi Stadium</x:v>
      </x:c>
      <x:c r="S937" t="str">
        <x:v>ESPN / ABC</x:v>
      </x:c>
      <x:c r="T937" t="str">
        <x:v>LAR -6.5</x:v>
      </x:c>
      <x:c r="U937" s="70" t="n">
        <x:v>-6.5</x:v>
      </x:c>
      <x:c r="V937" s="70" t="n">
        <x:v>47.5</x:v>
      </x:c>
      <x:c r="W937" t="str">
        <x:v>DraftKings</x:v>
      </x:c>
      <x:c r="X937" t="str">
        <x:v>https://www.espn.com/nfl/game/_/gameId/401872947</x:v>
      </x:c>
    </x:row>
    <x:row r="938">
      <x:c r="A938" t="str">
        <x:v>NFL</x:v>
      </x:c>
      <x:c r="B938" t="n">
        <x:v>3</x:v>
      </x:c>
      <x:c r="C938" s="68" t="n">
        <x:v>46290.010416666664</x:v>
      </x:c>
      <x:c r="D938" s="71" t="str">
        <x:v>pre</x:v>
      </x:c>
      <x:c r="E938" s="72" t="b">
        <x:v>0</x:v>
      </x:c>
      <x:c r="F938" t="str">
        <x:v>Atlanta Falcons</x:v>
      </x:c>
      <x:c r="G938" t="str">
        <x:v>ATL</x:v>
      </x:c>
      <x:c r="H938" s="69" t="n">
        <x:v>0</x:v>
      </x:c>
      <x:c r="I938" t="str">
        <x:v>0-2</x:v>
      </x:c>
      <x:c r="J938" t="str">
        <x:f>IF(E938&lt;&gt;TRUE,"",IF(H938&gt;M938,"W",IF(H938&lt;M938,"L","T")))</x:f>
      </x:c>
      <x:c r="K938" t="str">
        <x:v>Green Bay Packers</x:v>
      </x:c>
      <x:c r="L938" t="str">
        <x:v>GB</x:v>
      </x:c>
      <x:c r="M938" s="69" t="n">
        <x:v>0</x:v>
      </x:c>
      <x:c r="N938" t="str">
        <x:v>1-1</x:v>
      </x:c>
      <x:c r="O938" t="str">
        <x:f>IF(E938&lt;&gt;TRUE,"",IF(M938&gt;H938,"W",IF(M938&lt;H938,"L","T")))</x:f>
      </x:c>
      <x:c r="P938" s="66" t="b">
        <x:v>0</x:v>
      </x:c>
      <x:c r="Q938" s="66" t="b">
        <x:v>0</x:v>
      </x:c>
      <x:c r="R938" t="str">
        <x:v>Lambeau Field</x:v>
      </x:c>
      <x:c r="S938" t="str">
        <x:v>Prime Video</x:v>
      </x:c>
      <x:c r="T938" t="str">
        <x:v>GB -7</x:v>
      </x:c>
      <x:c r="U938" s="70" t="n">
        <x:v>-7</x:v>
      </x:c>
      <x:c r="V938" s="70" t="n">
        <x:v>44.5</x:v>
      </x:c>
      <x:c r="W938" t="str">
        <x:v>DraftKings</x:v>
      </x:c>
      <x:c r="X938" t="str">
        <x:v>https://www.espn.com/nfl/game/_/gameId/401872948</x:v>
      </x:c>
    </x:row>
    <x:row r="939">
      <x:c r="A939" t="str">
        <x:v>NFL</x:v>
      </x:c>
      <x:c r="B939" t="n">
        <x:v>3</x:v>
      </x:c>
      <x:c r="C939" s="68" t="n">
        <x:v>46292.708333333336</x:v>
      </x:c>
      <x:c r="D939" s="71" t="str">
        <x:v>pre</x:v>
      </x:c>
      <x:c r="E939" s="72" t="b">
        <x:v>0</x:v>
      </x:c>
      <x:c r="F939" t="str">
        <x:v>Carolina Panthers</x:v>
      </x:c>
      <x:c r="G939" t="str">
        <x:v>CAR</x:v>
      </x:c>
      <x:c r="H939" s="69" t="n">
        <x:v>0</x:v>
      </x:c>
      <x:c r="I939" t="str">
        <x:v>1-1</x:v>
      </x:c>
      <x:c r="J939" t="str">
        <x:f>IF(E939&lt;&gt;TRUE,"",IF(H939&gt;M939,"W",IF(H939&lt;M939,"L","T")))</x:f>
      </x:c>
      <x:c r="K939" t="str">
        <x:v>Cleveland Browns</x:v>
      </x:c>
      <x:c r="L939" t="str">
        <x:v>CLE</x:v>
      </x:c>
      <x:c r="M939" s="69" t="n">
        <x:v>0</x:v>
      </x:c>
      <x:c r="N939" t="str">
        <x:v>1-1</x:v>
      </x:c>
      <x:c r="O939" t="str">
        <x:f>IF(E939&lt;&gt;TRUE,"",IF(M939&gt;H939,"W",IF(M939&lt;H939,"L","T")))</x:f>
      </x:c>
      <x:c r="P939" s="66" t="b">
        <x:v>0</x:v>
      </x:c>
      <x:c r="Q939" s="66" t="b">
        <x:v>0</x:v>
      </x:c>
      <x:c r="R939" t="str">
        <x:v>Huntington Bank Field</x:v>
      </x:c>
      <x:c r="S939" t="str">
        <x:v>FOX</x:v>
      </x:c>
      <x:c r="T939" t="str">
        <x:v>CAR -2.5</x:v>
      </x:c>
      <x:c r="U939" s="70" t="n">
        <x:v>2.5</x:v>
      </x:c>
      <x:c r="V939" s="70" t="n">
        <x:v>41.5</x:v>
      </x:c>
      <x:c r="W939" t="str">
        <x:v>DraftKings</x:v>
      </x:c>
      <x:c r="X939" t="str">
        <x:v>https://www.espn.com/nfl/game/_/gameId/401872949</x:v>
      </x:c>
    </x:row>
    <x:row r="940">
      <x:c r="A940" t="str">
        <x:v>NFL</x:v>
      </x:c>
      <x:c r="B940" t="n">
        <x:v>3</x:v>
      </x:c>
      <x:c r="C940" s="68" t="n">
        <x:v>46292.708333333336</x:v>
      </x:c>
      <x:c r="D940" s="71" t="str">
        <x:v>pre</x:v>
      </x:c>
      <x:c r="E940" s="72" t="b">
        <x:v>0</x:v>
      </x:c>
      <x:c r="F940" t="str">
        <x:v>Cincinnati Bengals</x:v>
      </x:c>
      <x:c r="G940" t="str">
        <x:v>CIN</x:v>
      </x:c>
      <x:c r="H940" s="69" t="n">
        <x:v>0</x:v>
      </x:c>
      <x:c r="I940" t="str">
        <x:v>2-0</x:v>
      </x:c>
      <x:c r="J940" t="str">
        <x:f>IF(E940&lt;&gt;TRUE,"",IF(H940&gt;M940,"W",IF(H940&lt;M940,"L","T")))</x:f>
      </x:c>
      <x:c r="K940" t="str">
        <x:v>Pittsburgh Steelers</x:v>
      </x:c>
      <x:c r="L940" t="str">
        <x:v>PIT</x:v>
      </x:c>
      <x:c r="M940" s="69" t="n">
        <x:v>0</x:v>
      </x:c>
      <x:c r="N940" t="str">
        <x:v>1-1</x:v>
      </x:c>
      <x:c r="O940" t="str">
        <x:f>IF(E940&lt;&gt;TRUE,"",IF(M940&gt;H940,"W",IF(M940&lt;H940,"L","T")))</x:f>
      </x:c>
      <x:c r="P940" s="66" t="b">
        <x:v>0</x:v>
      </x:c>
      <x:c r="Q940" s="66" t="b">
        <x:v>0</x:v>
      </x:c>
      <x:c r="R940" t="str">
        <x:v>Acrisure Stadium</x:v>
      </x:c>
      <x:c r="S940" t="str">
        <x:v>CBS</x:v>
      </x:c>
      <x:c r="T940" t="str">
        <x:v>CIN -3.5</x:v>
      </x:c>
      <x:c r="U940" s="70" t="n">
        <x:v>3.5</x:v>
      </x:c>
      <x:c r="V940" s="70" t="n">
        <x:v>42.5</x:v>
      </x:c>
      <x:c r="W940" t="str">
        <x:v>DraftKings</x:v>
      </x:c>
      <x:c r="X940" t="str">
        <x:v>https://www.espn.com/nfl/game/_/gameId/401872950</x:v>
      </x:c>
    </x:row>
    <x:row r="941">
      <x:c r="A941" t="str">
        <x:v>NFL</x:v>
      </x:c>
      <x:c r="B941" t="n">
        <x:v>3</x:v>
      </x:c>
      <x:c r="C941" s="68" t="n">
        <x:v>46292.708333333336</x:v>
      </x:c>
      <x:c r="D941" s="71" t="str">
        <x:v>pre</x:v>
      </x:c>
      <x:c r="E941" s="72" t="b">
        <x:v>0</x:v>
      </x:c>
      <x:c r="F941" t="str">
        <x:v>Houston Texans</x:v>
      </x:c>
      <x:c r="G941" t="str">
        <x:v>HOU</x:v>
      </x:c>
      <x:c r="H941" s="69" t="n">
        <x:v>0</x:v>
      </x:c>
      <x:c r="I941" t="str">
        <x:v>0-2</x:v>
      </x:c>
      <x:c r="J941" t="str">
        <x:f>IF(E941&lt;&gt;TRUE,"",IF(H941&gt;M941,"W",IF(H941&lt;M941,"L","T")))</x:f>
      </x:c>
      <x:c r="K941" t="str">
        <x:v>Indianapolis Colts</x:v>
      </x:c>
      <x:c r="L941" t="str">
        <x:v>IND</x:v>
      </x:c>
      <x:c r="M941" s="69" t="n">
        <x:v>0</x:v>
      </x:c>
      <x:c r="N941" t="str">
        <x:v>0-2</x:v>
      </x:c>
      <x:c r="O941" t="str">
        <x:f>IF(E941&lt;&gt;TRUE,"",IF(M941&gt;H941,"W",IF(M941&lt;H941,"L","T")))</x:f>
      </x:c>
      <x:c r="P941" s="66" t="b">
        <x:v>0</x:v>
      </x:c>
      <x:c r="Q941" s="66" t="b">
        <x:v>0</x:v>
      </x:c>
      <x:c r="R941" t="str">
        <x:v>Lucas Oil Stadium</x:v>
      </x:c>
      <x:c r="S941" t="str">
        <x:v>CBS</x:v>
      </x:c>
      <x:c r="T941" t="str">
        <x:v>HOU -1.5</x:v>
      </x:c>
      <x:c r="U941" s="70" t="n">
        <x:v>1.5</x:v>
      </x:c>
      <x:c r="V941" s="70" t="n">
        <x:v>43.5</x:v>
      </x:c>
      <x:c r="W941" t="str">
        <x:v>DraftKings</x:v>
      </x:c>
      <x:c r="X941" t="str">
        <x:v>https://www.espn.com/nfl/game/_/gameId/401872951</x:v>
      </x:c>
    </x:row>
    <x:row r="942">
      <x:c r="A942" t="str">
        <x:v>NFL</x:v>
      </x:c>
      <x:c r="B942" t="n">
        <x:v>3</x:v>
      </x:c>
      <x:c r="C942" s="68" t="n">
        <x:v>46292.708333333336</x:v>
      </x:c>
      <x:c r="D942" s="71" t="str">
        <x:v>pre</x:v>
      </x:c>
      <x:c r="E942" s="72" t="b">
        <x:v>0</x:v>
      </x:c>
      <x:c r="F942" t="str">
        <x:v>Kansas City Chiefs</x:v>
      </x:c>
      <x:c r="G942" t="str">
        <x:v>KC</x:v>
      </x:c>
      <x:c r="H942" s="69" t="n">
        <x:v>0</x:v>
      </x:c>
      <x:c r="I942" t="str">
        <x:v>2-0</x:v>
      </x:c>
      <x:c r="J942" t="str">
        <x:f>IF(E942&lt;&gt;TRUE,"",IF(H942&gt;M942,"W",IF(H942&lt;M942,"L","T")))</x:f>
      </x:c>
      <x:c r="K942" t="str">
        <x:v>Miami Dolphins</x:v>
      </x:c>
      <x:c r="L942" t="str">
        <x:v>MIA</x:v>
      </x:c>
      <x:c r="M942" s="69" t="n">
        <x:v>0</x:v>
      </x:c>
      <x:c r="N942" t="str">
        <x:v>0-2</x:v>
      </x:c>
      <x:c r="O942" t="str">
        <x:f>IF(E942&lt;&gt;TRUE,"",IF(M942&gt;H942,"W",IF(M942&lt;H942,"L","T")))</x:f>
      </x:c>
      <x:c r="P942" s="66" t="b">
        <x:v>0</x:v>
      </x:c>
      <x:c r="Q942" s="66" t="b">
        <x:v>0</x:v>
      </x:c>
      <x:c r="R942" t="str">
        <x:v>Hard Rock Stadium</x:v>
      </x:c>
      <x:c r="S942" t="str">
        <x:v>CBS</x:v>
      </x:c>
      <x:c r="T942" t="str">
        <x:v>KC -10.5</x:v>
      </x:c>
      <x:c r="U942" s="70" t="n">
        <x:v>10.5</x:v>
      </x:c>
      <x:c r="V942" s="70" t="n">
        <x:v>45.5</x:v>
      </x:c>
      <x:c r="W942" t="str">
        <x:v>DraftKings</x:v>
      </x:c>
      <x:c r="X942" t="str">
        <x:v>https://www.espn.com/nfl/game/_/gameId/401872952</x:v>
      </x:c>
    </x:row>
    <x:row r="943">
      <x:c r="A943" t="str">
        <x:v>NFL</x:v>
      </x:c>
      <x:c r="B943" t="n">
        <x:v>3</x:v>
      </x:c>
      <x:c r="C943" s="68" t="n">
        <x:v>46292.708333333336</x:v>
      </x:c>
      <x:c r="D943" s="71" t="str">
        <x:v>pre</x:v>
      </x:c>
      <x:c r="E943" s="72" t="b">
        <x:v>0</x:v>
      </x:c>
      <x:c r="F943" t="str">
        <x:v>Los Angeles Chargers</x:v>
      </x:c>
      <x:c r="G943" t="str">
        <x:v>LAC</x:v>
      </x:c>
      <x:c r="H943" s="69" t="n">
        <x:v>0</x:v>
      </x:c>
      <x:c r="I943" t="str">
        <x:v>0-2</x:v>
      </x:c>
      <x:c r="J943" t="str">
        <x:f>IF(E943&lt;&gt;TRUE,"",IF(H943&gt;M943,"W",IF(H943&lt;M943,"L","T")))</x:f>
      </x:c>
      <x:c r="K943" t="str">
        <x:v>Buffalo Bills</x:v>
      </x:c>
      <x:c r="L943" t="str">
        <x:v>BUF</x:v>
      </x:c>
      <x:c r="M943" s="69" t="n">
        <x:v>0</x:v>
      </x:c>
      <x:c r="N943" t="str">
        <x:v>2-0</x:v>
      </x:c>
      <x:c r="O943" t="str">
        <x:f>IF(E943&lt;&gt;TRUE,"",IF(M943&gt;H943,"W",IF(M943&lt;H943,"L","T")))</x:f>
      </x:c>
      <x:c r="P943" s="66" t="b">
        <x:v>0</x:v>
      </x:c>
      <x:c r="Q943" s="66" t="b">
        <x:v>0</x:v>
      </x:c>
      <x:c r="R943" t="str">
        <x:v>Highmark Stadium</x:v>
      </x:c>
      <x:c r="S943" t="str">
        <x:v>FOX</x:v>
      </x:c>
      <x:c r="T943" t="str">
        <x:v>BUF -7</x:v>
      </x:c>
      <x:c r="U943" s="70" t="n">
        <x:v>-7</x:v>
      </x:c>
      <x:c r="V943" s="70" t="n">
        <x:v>50.5</x:v>
      </x:c>
      <x:c r="W943" t="str">
        <x:v>DraftKings</x:v>
      </x:c>
      <x:c r="X943" t="str">
        <x:v>https://www.espn.com/nfl/game/_/gameId/401872953</x:v>
      </x:c>
    </x:row>
    <x:row r="944">
      <x:c r="A944" t="str">
        <x:v>NFL</x:v>
      </x:c>
      <x:c r="B944" t="n">
        <x:v>3</x:v>
      </x:c>
      <x:c r="C944" s="68" t="n">
        <x:v>46292.708333333336</x:v>
      </x:c>
      <x:c r="D944" s="71" t="str">
        <x:v>pre</x:v>
      </x:c>
      <x:c r="E944" s="72" t="b">
        <x:v>0</x:v>
      </x:c>
      <x:c r="F944" t="str">
        <x:v>New York Jets</x:v>
      </x:c>
      <x:c r="G944" t="str">
        <x:v>NYJ</x:v>
      </x:c>
      <x:c r="H944" s="69" t="n">
        <x:v>0</x:v>
      </x:c>
      <x:c r="I944" t="str">
        <x:v>1-1</x:v>
      </x:c>
      <x:c r="J944" t="str">
        <x:f>IF(E944&lt;&gt;TRUE,"",IF(H944&gt;M944,"W",IF(H944&lt;M944,"L","T")))</x:f>
      </x:c>
      <x:c r="K944" t="str">
        <x:v>Detroit Lions</x:v>
      </x:c>
      <x:c r="L944" t="str">
        <x:v>DET</x:v>
      </x:c>
      <x:c r="M944" s="69" t="n">
        <x:v>0</x:v>
      </x:c>
      <x:c r="N944" t="str">
        <x:v>1-1</x:v>
      </x:c>
      <x:c r="O944" t="str">
        <x:f>IF(E944&lt;&gt;TRUE,"",IF(M944&gt;H944,"W",IF(M944&lt;H944,"L","T")))</x:f>
      </x:c>
      <x:c r="P944" s="66" t="b">
        <x:v>0</x:v>
      </x:c>
      <x:c r="Q944" s="66" t="b">
        <x:v>0</x:v>
      </x:c>
      <x:c r="R944" t="str">
        <x:v>Ford Field</x:v>
      </x:c>
      <x:c r="S944" t="str">
        <x:v>FOX</x:v>
      </x:c>
      <x:c r="T944" t="str">
        <x:v>DET -6.5</x:v>
      </x:c>
      <x:c r="U944" s="70" t="n">
        <x:v>-6.5</x:v>
      </x:c>
      <x:c r="V944" s="70" t="n">
        <x:v>48.5</x:v>
      </x:c>
      <x:c r="W944" t="str">
        <x:v>DraftKings</x:v>
      </x:c>
      <x:c r="X944" t="str">
        <x:v>https://www.espn.com/nfl/game/_/gameId/401872954</x:v>
      </x:c>
    </x:row>
    <x:row r="945">
      <x:c r="A945" t="str">
        <x:v>NFL</x:v>
      </x:c>
      <x:c r="B945" t="n">
        <x:v>3</x:v>
      </x:c>
      <x:c r="C945" s="68" t="n">
        <x:v>46292.708333333336</x:v>
      </x:c>
      <x:c r="D945" s="71" t="str">
        <x:v>pre</x:v>
      </x:c>
      <x:c r="E945" s="72" t="b">
        <x:v>0</x:v>
      </x:c>
      <x:c r="F945" t="str">
        <x:v>Seattle Seahawks</x:v>
      </x:c>
      <x:c r="G945" t="str">
        <x:v>SEA</x:v>
      </x:c>
      <x:c r="H945" s="69" t="n">
        <x:v>0</x:v>
      </x:c>
      <x:c r="I945" t="str">
        <x:v>2-0</x:v>
      </x:c>
      <x:c r="J945" t="str">
        <x:f>IF(E945&lt;&gt;TRUE,"",IF(H945&gt;M945,"W",IF(H945&lt;M945,"L","T")))</x:f>
      </x:c>
      <x:c r="K945" t="str">
        <x:v>Washington Commanders</x:v>
      </x:c>
      <x:c r="L945" t="str">
        <x:v>WSH</x:v>
      </x:c>
      <x:c r="M945" s="69" t="n">
        <x:v>0</x:v>
      </x:c>
      <x:c r="N945" t="str">
        <x:v>0-2</x:v>
      </x:c>
      <x:c r="O945" t="str">
        <x:f>IF(E945&lt;&gt;TRUE,"",IF(M945&gt;H945,"W",IF(M945&lt;H945,"L","T")))</x:f>
      </x:c>
      <x:c r="P945" s="66" t="b">
        <x:v>0</x:v>
      </x:c>
      <x:c r="Q945" s="66" t="b">
        <x:v>0</x:v>
      </x:c>
      <x:c r="R945" t="str">
        <x:v>Northwest Stadium</x:v>
      </x:c>
      <x:c r="S945" t="str">
        <x:v>FOX</x:v>
      </x:c>
      <x:c r="T945" t="str">
        <x:v>SEA -6.5</x:v>
      </x:c>
      <x:c r="U945" s="70" t="n">
        <x:v>6.5</x:v>
      </x:c>
      <x:c r="V945" s="70" t="n">
        <x:v>40.5</x:v>
      </x:c>
      <x:c r="W945" t="str">
        <x:v>DraftKings</x:v>
      </x:c>
      <x:c r="X945" t="str">
        <x:v>https://www.espn.com/nfl/game/_/gameId/401872955</x:v>
      </x:c>
    </x:row>
    <x:row r="946">
      <x:c r="A946" t="str">
        <x:v>NFL</x:v>
      </x:c>
      <x:c r="B946" t="n">
        <x:v>3</x:v>
      </x:c>
      <x:c r="C946" s="68" t="n">
        <x:v>46292.708333333336</x:v>
      </x:c>
      <x:c r="D946" s="71" t="str">
        <x:v>pre</x:v>
      </x:c>
      <x:c r="E946" s="72" t="b">
        <x:v>0</x:v>
      </x:c>
      <x:c r="F946" t="str">
        <x:v>Tennessee Titans</x:v>
      </x:c>
      <x:c r="G946" t="str">
        <x:v>TEN</x:v>
      </x:c>
      <x:c r="H946" s="69" t="n">
        <x:v>0</x:v>
      </x:c>
      <x:c r="I946" t="str">
        <x:v>0-2</x:v>
      </x:c>
      <x:c r="J946" t="str">
        <x:f>IF(E946&lt;&gt;TRUE,"",IF(H946&gt;M946,"W",IF(H946&lt;M946,"L","T")))</x:f>
      </x:c>
      <x:c r="K946" t="str">
        <x:v>New York Giants</x:v>
      </x:c>
      <x:c r="L946" t="str">
        <x:v>NYG</x:v>
      </x:c>
      <x:c r="M946" s="69" t="n">
        <x:v>0</x:v>
      </x:c>
      <x:c r="N946" t="str">
        <x:v>1-0</x:v>
      </x:c>
      <x:c r="O946" t="str">
        <x:f>IF(E946&lt;&gt;TRUE,"",IF(M946&gt;H946,"W",IF(M946&lt;H946,"L","T")))</x:f>
      </x:c>
      <x:c r="P946" s="66" t="b">
        <x:v>0</x:v>
      </x:c>
      <x:c r="Q946" s="66" t="b">
        <x:v>0</x:v>
      </x:c>
      <x:c r="R946" t="str">
        <x:v>MetLife Stadium</x:v>
      </x:c>
      <x:c r="S946" t="str">
        <x:v>CBS</x:v>
      </x:c>
      <x:c r="T946" t="str">
        <x:v>NYG -6</x:v>
      </x:c>
      <x:c r="U946" s="70" t="n">
        <x:v>-6</x:v>
      </x:c>
      <x:c r="V946" s="70" t="n">
        <x:v>43.5</x:v>
      </x:c>
      <x:c r="W946" t="str">
        <x:v>DraftKings</x:v>
      </x:c>
      <x:c r="X946" t="str">
        <x:v>https://www.espn.com/nfl/game/_/gameId/401872956</x:v>
      </x:c>
    </x:row>
    <x:row r="947">
      <x:c r="A947" t="str">
        <x:v>NFL</x:v>
      </x:c>
      <x:c r="B947" t="n">
        <x:v>3</x:v>
      </x:c>
      <x:c r="C947" s="68" t="n">
        <x:v>46292.708333333336</x:v>
      </x:c>
      <x:c r="D947" s="71" t="str">
        <x:v>pre</x:v>
      </x:c>
      <x:c r="E947" s="72" t="b">
        <x:v>0</x:v>
      </x:c>
      <x:c r="F947" t="str">
        <x:v>New England Patriots</x:v>
      </x:c>
      <x:c r="G947" t="str">
        <x:v>NE</x:v>
      </x:c>
      <x:c r="H947" s="69" t="n">
        <x:v>0</x:v>
      </x:c>
      <x:c r="I947" t="str">
        <x:v>1-1</x:v>
      </x:c>
      <x:c r="J947" t="str">
        <x:f>IF(E947&lt;&gt;TRUE,"",IF(H947&gt;M947,"W",IF(H947&lt;M947,"L","T")))</x:f>
      </x:c>
      <x:c r="K947" t="str">
        <x:v>Jacksonville Jaguars</x:v>
      </x:c>
      <x:c r="L947" t="str">
        <x:v>JAX</x:v>
      </x:c>
      <x:c r="M947" s="69" t="n">
        <x:v>0</x:v>
      </x:c>
      <x:c r="N947" t="str">
        <x:v>1-1</x:v>
      </x:c>
      <x:c r="O947" t="str">
        <x:f>IF(E947&lt;&gt;TRUE,"",IF(M947&gt;H947,"W",IF(M947&lt;H947,"L","T")))</x:f>
      </x:c>
      <x:c r="P947" s="66" t="b">
        <x:v>0</x:v>
      </x:c>
      <x:c r="Q947" s="66" t="b">
        <x:v>0</x:v>
      </x:c>
      <x:c r="R947" t="str">
        <x:v>EverBank Stadium</x:v>
      </x:c>
      <x:c r="S947" t="str">
        <x:v>CBS</x:v>
      </x:c>
      <x:c r="T947" t="str">
        <x:v>JAX -2.5</x:v>
      </x:c>
      <x:c r="U947" s="70" t="n">
        <x:v>-2.5</x:v>
      </x:c>
      <x:c r="V947" s="70" t="n">
        <x:v>44.5</x:v>
      </x:c>
      <x:c r="W947" t="str">
        <x:v>DraftKings</x:v>
      </x:c>
      <x:c r="X947" t="str">
        <x:v>https://www.espn.com/nfl/game/_/gameId/401872957</x:v>
      </x:c>
    </x:row>
    <x:row r="948">
      <x:c r="A948" t="str">
        <x:v>NFL</x:v>
      </x:c>
      <x:c r="B948" t="n">
        <x:v>3</x:v>
      </x:c>
      <x:c r="C948" s="68" t="n">
        <x:v>46292.836805555555</x:v>
      </x:c>
      <x:c r="D948" s="71" t="str">
        <x:v>pre</x:v>
      </x:c>
      <x:c r="E948" s="72" t="b">
        <x:v>0</x:v>
      </x:c>
      <x:c r="F948" t="str">
        <x:v>Arizona Cardinals</x:v>
      </x:c>
      <x:c r="G948" t="str">
        <x:v>ARI</x:v>
      </x:c>
      <x:c r="H948" s="69" t="n">
        <x:v>0</x:v>
      </x:c>
      <x:c r="I948" t="str">
        <x:v>1-1</x:v>
      </x:c>
      <x:c r="J948" t="str">
        <x:f>IF(E948&lt;&gt;TRUE,"",IF(H948&gt;M948,"W",IF(H948&lt;M948,"L","T")))</x:f>
      </x:c>
      <x:c r="K948" t="str">
        <x:v>San Francisco 49ers</x:v>
      </x:c>
      <x:c r="L948" t="str">
        <x:v>SF</x:v>
      </x:c>
      <x:c r="M948" s="69" t="n">
        <x:v>0</x:v>
      </x:c>
      <x:c r="N948" t="str">
        <x:v>2-0</x:v>
      </x:c>
      <x:c r="O948" t="str">
        <x:f>IF(E948&lt;&gt;TRUE,"",IF(M948&gt;H948,"W",IF(M948&lt;H948,"L","T")))</x:f>
      </x:c>
      <x:c r="P948" s="66" t="b">
        <x:v>0</x:v>
      </x:c>
      <x:c r="Q948" s="66" t="b">
        <x:v>0</x:v>
      </x:c>
      <x:c r="R948" t="str">
        <x:v>Levi's Stadium</x:v>
      </x:c>
      <x:c r="S948" t="str">
        <x:v>FOX</x:v>
      </x:c>
      <x:c r="T948" t="str">
        <x:v>SF -8.5</x:v>
      </x:c>
      <x:c r="U948" s="70" t="n">
        <x:v>-8.5</x:v>
      </x:c>
      <x:c r="V948" s="70" t="n">
        <x:v>48.5</x:v>
      </x:c>
      <x:c r="W948" t="str">
        <x:v>DraftKings</x:v>
      </x:c>
      <x:c r="X948" t="str">
        <x:v>https://www.espn.com/nfl/game/_/gameId/401872958</x:v>
      </x:c>
    </x:row>
    <x:row r="949">
      <x:c r="A949" t="str">
        <x:v>NFL</x:v>
      </x:c>
      <x:c r="B949" t="n">
        <x:v>3</x:v>
      </x:c>
      <x:c r="C949" s="68" t="n">
        <x:v>46292.836805555555</x:v>
      </x:c>
      <x:c r="D949" s="71" t="str">
        <x:v>pre</x:v>
      </x:c>
      <x:c r="E949" s="72" t="b">
        <x:v>0</x:v>
      </x:c>
      <x:c r="F949" t="str">
        <x:v>Minnesota Vikings</x:v>
      </x:c>
      <x:c r="G949" t="str">
        <x:v>MIN</x:v>
      </x:c>
      <x:c r="H949" s="69" t="n">
        <x:v>0</x:v>
      </x:c>
      <x:c r="I949" t="str">
        <x:v>2-0</x:v>
      </x:c>
      <x:c r="J949" t="str">
        <x:f>IF(E949&lt;&gt;TRUE,"",IF(H949&gt;M949,"W",IF(H949&lt;M949,"L","T")))</x:f>
      </x:c>
      <x:c r="K949" t="str">
        <x:v>Tampa Bay Buccaneers</x:v>
      </x:c>
      <x:c r="L949" t="str">
        <x:v>TB</x:v>
      </x:c>
      <x:c r="M949" s="69" t="n">
        <x:v>0</x:v>
      </x:c>
      <x:c r="N949" t="str">
        <x:v>0-2</x:v>
      </x:c>
      <x:c r="O949" t="str">
        <x:f>IF(E949&lt;&gt;TRUE,"",IF(M949&gt;H949,"W",IF(M949&lt;H949,"L","T")))</x:f>
      </x:c>
      <x:c r="P949" s="66" t="b">
        <x:v>0</x:v>
      </x:c>
      <x:c r="Q949" s="66" t="b">
        <x:v>0</x:v>
      </x:c>
      <x:c r="R949" t="str">
        <x:v>Raymond James Stadium</x:v>
      </x:c>
      <x:c r="S949" t="str">
        <x:v>FOX</x:v>
      </x:c>
      <x:c r="T949" t="str">
        <x:v>MIN -2.5</x:v>
      </x:c>
      <x:c r="U949" s="70" t="n">
        <x:v>2.5</x:v>
      </x:c>
      <x:c r="V949" s="70" t="n">
        <x:v>43.5</x:v>
      </x:c>
      <x:c r="W949" t="str">
        <x:v>DraftKings</x:v>
      </x:c>
      <x:c r="X949" t="str">
        <x:v>https://www.espn.com/nfl/game/_/gameId/401872959</x:v>
      </x:c>
    </x:row>
    <x:row r="950">
      <x:c r="A950" t="str">
        <x:v>NFL</x:v>
      </x:c>
      <x:c r="B950" t="n">
        <x:v>3</x:v>
      </x:c>
      <x:c r="C950" s="68" t="n">
        <x:v>46292.850694444445</x:v>
      </x:c>
      <x:c r="D950" s="71" t="str">
        <x:v>pre</x:v>
      </x:c>
      <x:c r="E950" s="72" t="b">
        <x:v>0</x:v>
      </x:c>
      <x:c r="F950" t="str">
        <x:v>Baltimore Ravens</x:v>
      </x:c>
      <x:c r="G950" t="str">
        <x:v>BAL</x:v>
      </x:c>
      <x:c r="H950" s="69" t="n">
        <x:v>0</x:v>
      </x:c>
      <x:c r="I950" t="str">
        <x:v>1-1</x:v>
      </x:c>
      <x:c r="J950" t="str">
        <x:f>IF(E950&lt;&gt;TRUE,"",IF(H950&gt;M950,"W",IF(H950&lt;M950,"L","T")))</x:f>
      </x:c>
      <x:c r="K950" t="str">
        <x:v>Dallas Cowboys</x:v>
      </x:c>
      <x:c r="L950" t="str">
        <x:v>DAL</x:v>
      </x:c>
      <x:c r="M950" s="69" t="n">
        <x:v>0</x:v>
      </x:c>
      <x:c r="N950" t="str">
        <x:v>1-1</x:v>
      </x:c>
      <x:c r="O950" t="str">
        <x:f>IF(E950&lt;&gt;TRUE,"",IF(M950&gt;H950,"W",IF(M950&lt;H950,"L","T")))</x:f>
      </x:c>
      <x:c r="P950" s="66" t="b">
        <x:v>1</x:v>
      </x:c>
      <x:c r="Q950" s="66" t="b">
        <x:v>0</x:v>
      </x:c>
      <x:c r="R950" t="str">
        <x:v>Maracanã Stadium</x:v>
      </x:c>
      <x:c r="S950" t="str">
        <x:v>CBS</x:v>
      </x:c>
      <x:c r="T950" t="str">
        <x:v>BAL -3</x:v>
      </x:c>
      <x:c r="U950" s="70" t="n">
        <x:v>3</x:v>
      </x:c>
      <x:c r="V950" s="70" t="n">
        <x:v>52.5</x:v>
      </x:c>
      <x:c r="W950" t="str">
        <x:v>DraftKings</x:v>
      </x:c>
      <x:c r="X950" t="str">
        <x:v>https://www.espn.com/nfl/game/_/gameId/401872960</x:v>
      </x:c>
    </x:row>
    <x:row r="951">
      <x:c r="A951" t="str">
        <x:v>NFL</x:v>
      </x:c>
      <x:c r="B951" t="n">
        <x:v>3</x:v>
      </x:c>
      <x:c r="C951" s="68" t="n">
        <x:v>46292.850694444445</x:v>
      </x:c>
      <x:c r="D951" s="71" t="str">
        <x:v>pre</x:v>
      </x:c>
      <x:c r="E951" s="72" t="b">
        <x:v>0</x:v>
      </x:c>
      <x:c r="F951" t="str">
        <x:v>Las Vegas Raiders</x:v>
      </x:c>
      <x:c r="G951" t="str">
        <x:v>LV</x:v>
      </x:c>
      <x:c r="H951" s="69" t="n">
        <x:v>0</x:v>
      </x:c>
      <x:c r="I951" t="str">
        <x:v>2-0</x:v>
      </x:c>
      <x:c r="J951" t="str">
        <x:f>IF(E951&lt;&gt;TRUE,"",IF(H951&gt;M951,"W",IF(H951&lt;M951,"L","T")))</x:f>
      </x:c>
      <x:c r="K951" t="str">
        <x:v>New Orleans Saints</x:v>
      </x:c>
      <x:c r="L951" t="str">
        <x:v>NO</x:v>
      </x:c>
      <x:c r="M951" s="69" t="n">
        <x:v>0</x:v>
      </x:c>
      <x:c r="N951" t="str">
        <x:v>1-1</x:v>
      </x:c>
      <x:c r="O951" t="str">
        <x:f>IF(E951&lt;&gt;TRUE,"",IF(M951&gt;H951,"W",IF(M951&lt;H951,"L","T")))</x:f>
      </x:c>
      <x:c r="P951" s="66" t="b">
        <x:v>0</x:v>
      </x:c>
      <x:c r="Q951" s="66" t="b">
        <x:v>0</x:v>
      </x:c>
      <x:c r="R951" t="str">
        <x:v>Caesars Superdome</x:v>
      </x:c>
      <x:c r="S951" t="str">
        <x:v>CBS</x:v>
      </x:c>
      <x:c r="T951" t="str">
        <x:v>NO -3</x:v>
      </x:c>
      <x:c r="U951" s="70" t="n">
        <x:v>-3</x:v>
      </x:c>
      <x:c r="V951" s="70" t="n">
        <x:v>43.5</x:v>
      </x:c>
      <x:c r="W951" t="str">
        <x:v>DraftKings</x:v>
      </x:c>
      <x:c r="X951" t="str">
        <x:v>https://www.espn.com/nfl/game/_/gameId/401872961</x:v>
      </x:c>
    </x:row>
    <x:row r="952">
      <x:c r="A952" t="str">
        <x:v>NFL</x:v>
      </x:c>
      <x:c r="B952" t="n">
        <x:v>3</x:v>
      </x:c>
      <x:c r="C952" s="68" t="n">
        <x:v>46293.01388888889</x:v>
      </x:c>
      <x:c r="D952" s="71" t="str">
        <x:v>pre</x:v>
      </x:c>
      <x:c r="E952" s="72" t="b">
        <x:v>0</x:v>
      </x:c>
      <x:c r="F952" t="str">
        <x:v>Los Angeles Rams</x:v>
      </x:c>
      <x:c r="G952" t="str">
        <x:v>LAR</x:v>
      </x:c>
      <x:c r="H952" s="69" t="n">
        <x:v>0</x:v>
      </x:c>
      <x:c r="I952" t="str">
        <x:v>0-1</x:v>
      </x:c>
      <x:c r="J952" t="str">
        <x:f>IF(E952&lt;&gt;TRUE,"",IF(H952&gt;M952,"W",IF(H952&lt;M952,"L","T")))</x:f>
      </x:c>
      <x:c r="K952" t="str">
        <x:v>Denver Broncos</x:v>
      </x:c>
      <x:c r="L952" t="str">
        <x:v>DEN</x:v>
      </x:c>
      <x:c r="M952" s="69" t="n">
        <x:v>0</x:v>
      </x:c>
      <x:c r="N952" t="str">
        <x:v>1-1</x:v>
      </x:c>
      <x:c r="O952" t="str">
        <x:f>IF(E952&lt;&gt;TRUE,"",IF(M952&gt;H952,"W",IF(M952&lt;H952,"L","T")))</x:f>
      </x:c>
      <x:c r="P952" s="66" t="b">
        <x:v>0</x:v>
      </x:c>
      <x:c r="Q952" s="66" t="b">
        <x:v>0</x:v>
      </x:c>
      <x:c r="R952" t="str">
        <x:v>Empower Field at Mile High</x:v>
      </x:c>
      <x:c r="S952" t="str">
        <x:v>NBC</x:v>
      </x:c>
      <x:c r="T952" t="str">
        <x:v>LAR -2.5</x:v>
      </x:c>
      <x:c r="U952" s="70" t="n">
        <x:v>2.5</x:v>
      </x:c>
      <x:c r="V952" s="70" t="n">
        <x:v>45.5</x:v>
      </x:c>
      <x:c r="W952" t="str">
        <x:v>DraftKings</x:v>
      </x:c>
      <x:c r="X952" t="str">
        <x:v>https://www.espn.com/nfl/game/_/gameId/401872962</x:v>
      </x:c>
    </x:row>
    <x:row r="953">
      <x:c r="A953" t="str">
        <x:v>NFL</x:v>
      </x:c>
      <x:c r="B953" t="n">
        <x:v>3</x:v>
      </x:c>
      <x:c r="C953" s="68" t="n">
        <x:v>46294.010416666664</x:v>
      </x:c>
      <x:c r="D953" s="71" t="str">
        <x:v>pre</x:v>
      </x:c>
      <x:c r="E953" s="72" t="b">
        <x:v>0</x:v>
      </x:c>
      <x:c r="F953" t="str">
        <x:v>Philadelphia Eagles</x:v>
      </x:c>
      <x:c r="G953" t="str">
        <x:v>PHI</x:v>
      </x:c>
      <x:c r="H953" s="69" t="n">
        <x:v>0</x:v>
      </x:c>
      <x:c r="I953" t="str">
        <x:v>2-0</x:v>
      </x:c>
      <x:c r="J953" t="str">
        <x:f>IF(E953&lt;&gt;TRUE,"",IF(H953&gt;M953,"W",IF(H953&lt;M953,"L","T")))</x:f>
      </x:c>
      <x:c r="K953" t="str">
        <x:v>Chicago Bears</x:v>
      </x:c>
      <x:c r="L953" t="str">
        <x:v>CHI</x:v>
      </x:c>
      <x:c r="M953" s="69" t="n">
        <x:v>0</x:v>
      </x:c>
      <x:c r="N953" t="str">
        <x:v>1-1</x:v>
      </x:c>
      <x:c r="O953" t="str">
        <x:f>IF(E953&lt;&gt;TRUE,"",IF(M953&gt;H953,"W",IF(M953&lt;H953,"L","T")))</x:f>
      </x:c>
      <x:c r="P953" s="66" t="b">
        <x:v>0</x:v>
      </x:c>
      <x:c r="Q953" s="66" t="b">
        <x:v>0</x:v>
      </x:c>
      <x:c r="R953" t="str">
        <x:v>Soldier Field</x:v>
      </x:c>
      <x:c r="S953" t="str">
        <x:v>ESPN / ABC</x:v>
      </x:c>
      <x:c r="T953" t="str">
        <x:v>PHI -4.5</x:v>
      </x:c>
      <x:c r="U953" s="70" t="n">
        <x:v>4.5</x:v>
      </x:c>
      <x:c r="V953" s="70" t="n">
        <x:v>44.5</x:v>
      </x:c>
      <x:c r="W953" t="str">
        <x:v>DraftKings</x:v>
      </x:c>
      <x:c r="X953" t="str">
        <x:v>https://www.espn.com/nfl/game/_/gameId/401872963</x:v>
      </x:c>
    </x:row>
    <x:row r="954">
      <x:c r="A954" t="str">
        <x:v>NFL</x:v>
      </x:c>
      <x:c r="B954" t="n">
        <x:v>4</x:v>
      </x:c>
      <x:c r="C954" s="68" t="n">
        <x:v>46297.010416666664</x:v>
      </x:c>
      <x:c r="D954" s="71" t="str">
        <x:v>pre</x:v>
      </x:c>
      <x:c r="E954" s="72" t="b">
        <x:v>0</x:v>
      </x:c>
      <x:c r="F954" t="str">
        <x:v>Pittsburgh Steelers</x:v>
      </x:c>
      <x:c r="G954" t="str">
        <x:v>PIT</x:v>
      </x:c>
      <x:c r="H954" s="69" t="n">
        <x:v>0</x:v>
      </x:c>
      <x:c r="I954" t="str">
        <x:v>1-1</x:v>
      </x:c>
      <x:c r="J954" t="str">
        <x:f>IF(E954&lt;&gt;TRUE,"",IF(H954&gt;M954,"W",IF(H954&lt;M954,"L","T")))</x:f>
      </x:c>
      <x:c r="K954" t="str">
        <x:v>Cleveland Browns</x:v>
      </x:c>
      <x:c r="L954" t="str">
        <x:v>CLE</x:v>
      </x:c>
      <x:c r="M954" s="69" t="n">
        <x:v>0</x:v>
      </x:c>
      <x:c r="N954" t="str">
        <x:v>1-1</x:v>
      </x:c>
      <x:c r="O954" t="str">
        <x:f>IF(E954&lt;&gt;TRUE,"",IF(M954&gt;H954,"W",IF(M954&lt;H954,"L","T")))</x:f>
      </x:c>
      <x:c r="P954" s="66" t="b">
        <x:v>0</x:v>
      </x:c>
      <x:c r="Q954" s="66" t="b">
        <x:v>0</x:v>
      </x:c>
      <x:c r="R954" t="str">
        <x:v>Huntington Bank Field</x:v>
      </x:c>
      <x:c r="S954" t="str">
        <x:v>Prime Video</x:v>
      </x:c>
      <x:c r="T954" t="str">
        <x:v>PIT -2.5</x:v>
      </x:c>
      <x:c r="U954" s="70" t="n">
        <x:v>2.5</x:v>
      </x:c>
      <x:c r="V954" s="70" t="n">
        <x:v>40.5</x:v>
      </x:c>
      <x:c r="W954" t="str">
        <x:v>DraftKings</x:v>
      </x:c>
      <x:c r="X954" t="str">
        <x:v>https://www.espn.com/nfl/game/_/gameId/401872964</x:v>
      </x:c>
    </x:row>
    <x:row r="955">
      <x:c r="A955" t="str">
        <x:v>NFL</x:v>
      </x:c>
      <x:c r="B955" t="n">
        <x:v>4</x:v>
      </x:c>
      <x:c r="C955" s="68" t="n">
        <x:v>46299.5625</x:v>
      </x:c>
      <x:c r="D955" s="71" t="str">
        <x:v>pre</x:v>
      </x:c>
      <x:c r="E955" s="72" t="b">
        <x:v>0</x:v>
      </x:c>
      <x:c r="F955" t="str">
        <x:v>Indianapolis Colts</x:v>
      </x:c>
      <x:c r="G955" t="str">
        <x:v>IND</x:v>
      </x:c>
      <x:c r="H955" s="69" t="n">
        <x:v>0</x:v>
      </x:c>
      <x:c r="I955" t="str">
        <x:v>0-2</x:v>
      </x:c>
      <x:c r="J955" t="str">
        <x:f>IF(E955&lt;&gt;TRUE,"",IF(H955&gt;M955,"W",IF(H955&lt;M955,"L","T")))</x:f>
      </x:c>
      <x:c r="K955" t="str">
        <x:v>Washington Commanders</x:v>
      </x:c>
      <x:c r="L955" t="str">
        <x:v>WSH</x:v>
      </x:c>
      <x:c r="M955" s="69" t="n">
        <x:v>0</x:v>
      </x:c>
      <x:c r="N955" t="str">
        <x:v>0-2</x:v>
      </x:c>
      <x:c r="O955" t="str">
        <x:f>IF(E955&lt;&gt;TRUE,"",IF(M955&gt;H955,"W",IF(M955&lt;H955,"L","T")))</x:f>
      </x:c>
      <x:c r="P955" s="66" t="b">
        <x:v>1</x:v>
      </x:c>
      <x:c r="Q955" s="66" t="b">
        <x:v>0</x:v>
      </x:c>
      <x:c r="R955" t="str">
        <x:v>Tottenham Hotspur Stadium</x:v>
      </x:c>
      <x:c r="S955" t="str">
        <x:v>NFL Net</x:v>
      </x:c>
      <x:c r="T955" t="str">
        <x:v>WSH -1.5</x:v>
      </x:c>
      <x:c r="U955" s="70" t="n">
        <x:v>-1.5</x:v>
      </x:c>
      <x:c r="V955" s="70" t="n">
        <x:v>50.5</x:v>
      </x:c>
      <x:c r="W955" t="str">
        <x:v>DraftKings</x:v>
      </x:c>
      <x:c r="X955" t="str">
        <x:v>https://www.espn.com/nfl/game/_/gameId/401872965</x:v>
      </x:c>
    </x:row>
    <x:row r="956">
      <x:c r="A956" t="str">
        <x:v>NFL</x:v>
      </x:c>
      <x:c r="B956" t="n">
        <x:v>4</x:v>
      </x:c>
      <x:c r="C956" s="68" t="n">
        <x:v>46299.708333333336</x:v>
      </x:c>
      <x:c r="D956" s="71" t="str">
        <x:v>pre</x:v>
      </x:c>
      <x:c r="E956" s="72" t="b">
        <x:v>0</x:v>
      </x:c>
      <x:c r="F956" t="str">
        <x:v>Arizona Cardinals</x:v>
      </x:c>
      <x:c r="G956" t="str">
        <x:v>ARI</x:v>
      </x:c>
      <x:c r="H956" s="69" t="n">
        <x:v>0</x:v>
      </x:c>
      <x:c r="I956" t="str">
        <x:v>1-1</x:v>
      </x:c>
      <x:c r="J956" t="str">
        <x:f>IF(E956&lt;&gt;TRUE,"",IF(H956&gt;M956,"W",IF(H956&lt;M956,"L","T")))</x:f>
      </x:c>
      <x:c r="K956" t="str">
        <x:v>New York Giants</x:v>
      </x:c>
      <x:c r="L956" t="str">
        <x:v>NYG</x:v>
      </x:c>
      <x:c r="M956" s="69" t="n">
        <x:v>0</x:v>
      </x:c>
      <x:c r="N956" t="str">
        <x:v>1-0</x:v>
      </x:c>
      <x:c r="O956" t="str">
        <x:f>IF(E956&lt;&gt;TRUE,"",IF(M956&gt;H956,"W",IF(M956&lt;H956,"L","T")))</x:f>
      </x:c>
      <x:c r="P956" s="66" t="b">
        <x:v>0</x:v>
      </x:c>
      <x:c r="Q956" s="66" t="b">
        <x:v>0</x:v>
      </x:c>
      <x:c r="R956" t="str">
        <x:v>MetLife Stadium</x:v>
      </x:c>
      <x:c r="S956" t="str">
        <x:v>CBS</x:v>
      </x:c>
      <x:c r="T956" t="str">
        <x:v>NYG -7</x:v>
      </x:c>
      <x:c r="U956" s="70" t="n">
        <x:v>-7</x:v>
      </x:c>
      <x:c r="V956" s="70" t="n">
        <x:v>45.5</x:v>
      </x:c>
      <x:c r="W956" t="str">
        <x:v>DraftKings</x:v>
      </x:c>
      <x:c r="X956" t="str">
        <x:v>https://www.espn.com/nfl/game/_/gameId/401872966</x:v>
      </x:c>
    </x:row>
    <x:row r="957">
      <x:c r="A957" t="str">
        <x:v>NFL</x:v>
      </x:c>
      <x:c r="B957" t="n">
        <x:v>4</x:v>
      </x:c>
      <x:c r="C957" s="68" t="n">
        <x:v>46299.708333333336</x:v>
      </x:c>
      <x:c r="D957" s="71" t="str">
        <x:v>pre</x:v>
      </x:c>
      <x:c r="E957" s="72" t="b">
        <x:v>0</x:v>
      </x:c>
      <x:c r="F957" t="str">
        <x:v>Dallas Cowboys</x:v>
      </x:c>
      <x:c r="G957" t="str">
        <x:v>DAL</x:v>
      </x:c>
      <x:c r="H957" s="69" t="n">
        <x:v>0</x:v>
      </x:c>
      <x:c r="I957" t="str">
        <x:v>1-1</x:v>
      </x:c>
      <x:c r="J957" t="str">
        <x:f>IF(E957&lt;&gt;TRUE,"",IF(H957&gt;M957,"W",IF(H957&lt;M957,"L","T")))</x:f>
      </x:c>
      <x:c r="K957" t="str">
        <x:v>Houston Texans</x:v>
      </x:c>
      <x:c r="L957" t="str">
        <x:v>HOU</x:v>
      </x:c>
      <x:c r="M957" s="69" t="n">
        <x:v>0</x:v>
      </x:c>
      <x:c r="N957" t="str">
        <x:v>0-2</x:v>
      </x:c>
      <x:c r="O957" t="str">
        <x:f>IF(E957&lt;&gt;TRUE,"",IF(M957&gt;H957,"W",IF(M957&lt;H957,"L","T")))</x:f>
      </x:c>
      <x:c r="P957" s="66" t="b">
        <x:v>0</x:v>
      </x:c>
      <x:c r="Q957" s="66" t="b">
        <x:v>0</x:v>
      </x:c>
      <x:c r="R957" t="str">
        <x:v>Reliant Stadium</x:v>
      </x:c>
      <x:c r="S957" t="str">
        <x:v>FOX</x:v>
      </x:c>
      <x:c r="T957" t="str">
        <x:v>HOU -2.5</x:v>
      </x:c>
      <x:c r="U957" s="70" t="n">
        <x:v>-2.5</x:v>
      </x:c>
      <x:c r="V957" s="70" t="n">
        <x:v>47.5</x:v>
      </x:c>
      <x:c r="W957" t="str">
        <x:v>DraftKings</x:v>
      </x:c>
      <x:c r="X957" t="str">
        <x:v>https://www.espn.com/nfl/game/_/gameId/401872967</x:v>
      </x:c>
    </x:row>
    <x:row r="958">
      <x:c r="A958" t="str">
        <x:v>NFL</x:v>
      </x:c>
      <x:c r="B958" t="n">
        <x:v>4</x:v>
      </x:c>
      <x:c r="C958" s="68" t="n">
        <x:v>46299.708333333336</x:v>
      </x:c>
      <x:c r="D958" s="71" t="str">
        <x:v>pre</x:v>
      </x:c>
      <x:c r="E958" s="72" t="b">
        <x:v>0</x:v>
      </x:c>
      <x:c r="F958" t="str">
        <x:v>Green Bay Packers</x:v>
      </x:c>
      <x:c r="G958" t="str">
        <x:v>GB</x:v>
      </x:c>
      <x:c r="H958" s="69" t="n">
        <x:v>0</x:v>
      </x:c>
      <x:c r="I958" t="str">
        <x:v>1-1</x:v>
      </x:c>
      <x:c r="J958" t="str">
        <x:f>IF(E958&lt;&gt;TRUE,"",IF(H958&gt;M958,"W",IF(H958&lt;M958,"L","T")))</x:f>
      </x:c>
      <x:c r="K958" t="str">
        <x:v>Tampa Bay Buccaneers</x:v>
      </x:c>
      <x:c r="L958" t="str">
        <x:v>TB</x:v>
      </x:c>
      <x:c r="M958" s="69" t="n">
        <x:v>0</x:v>
      </x:c>
      <x:c r="N958" t="str">
        <x:v>0-2</x:v>
      </x:c>
      <x:c r="O958" t="str">
        <x:f>IF(E958&lt;&gt;TRUE,"",IF(M958&gt;H958,"W",IF(M958&lt;H958,"L","T")))</x:f>
      </x:c>
      <x:c r="P958" s="66" t="b">
        <x:v>0</x:v>
      </x:c>
      <x:c r="Q958" s="66" t="b">
        <x:v>0</x:v>
      </x:c>
      <x:c r="R958" t="str">
        <x:v>Raymond James Stadium</x:v>
      </x:c>
      <x:c r="S958" t="str">
        <x:v>FOX</x:v>
      </x:c>
      <x:c r="T958" t="str">
        <x:v>GB -1.5</x:v>
      </x:c>
      <x:c r="U958" s="70" t="n">
        <x:v>1.5</x:v>
      </x:c>
      <x:c r="V958" s="70" t="n">
        <x:v>47.5</x:v>
      </x:c>
      <x:c r="W958" t="str">
        <x:v>DraftKings</x:v>
      </x:c>
      <x:c r="X958" t="str">
        <x:v>https://www.espn.com/nfl/game/_/gameId/401872968</x:v>
      </x:c>
    </x:row>
    <x:row r="959">
      <x:c r="A959" t="str">
        <x:v>NFL</x:v>
      </x:c>
      <x:c r="B959" t="n">
        <x:v>4</x:v>
      </x:c>
      <x:c r="C959" s="68" t="n">
        <x:v>46299.708333333336</x:v>
      </x:c>
      <x:c r="D959" s="71" t="str">
        <x:v>pre</x:v>
      </x:c>
      <x:c r="E959" s="72" t="b">
        <x:v>0</x:v>
      </x:c>
      <x:c r="F959" t="str">
        <x:v>Jacksonville Jaguars</x:v>
      </x:c>
      <x:c r="G959" t="str">
        <x:v>JAX</x:v>
      </x:c>
      <x:c r="H959" s="69" t="n">
        <x:v>0</x:v>
      </x:c>
      <x:c r="I959" t="str">
        <x:v>1-1</x:v>
      </x:c>
      <x:c r="J959" t="str">
        <x:f>IF(E959&lt;&gt;TRUE,"",IF(H959&gt;M959,"W",IF(H959&lt;M959,"L","T")))</x:f>
      </x:c>
      <x:c r="K959" t="str">
        <x:v>Cincinnati Bengals</x:v>
      </x:c>
      <x:c r="L959" t="str">
        <x:v>CIN</x:v>
      </x:c>
      <x:c r="M959" s="69" t="n">
        <x:v>0</x:v>
      </x:c>
      <x:c r="N959" t="str">
        <x:v>2-0</x:v>
      </x:c>
      <x:c r="O959" t="str">
        <x:f>IF(E959&lt;&gt;TRUE,"",IF(M959&gt;H959,"W",IF(M959&lt;H959,"L","T")))</x:f>
      </x:c>
      <x:c r="P959" s="66" t="b">
        <x:v>0</x:v>
      </x:c>
      <x:c r="Q959" s="66" t="b">
        <x:v>0</x:v>
      </x:c>
      <x:c r="R959" t="str">
        <x:v>Paycor Stadium</x:v>
      </x:c>
      <x:c r="S959" t="str">
        <x:v>CBS</x:v>
      </x:c>
      <x:c r="T959" t="str">
        <x:v>CIN -2.5</x:v>
      </x:c>
      <x:c r="U959" s="70" t="n">
        <x:v>-2.5</x:v>
      </x:c>
      <x:c r="V959" s="70" t="n">
        <x:v>51.5</x:v>
      </x:c>
      <x:c r="W959" t="str">
        <x:v>DraftKings</x:v>
      </x:c>
      <x:c r="X959" t="str">
        <x:v>https://www.espn.com/nfl/game/_/gameId/401872969</x:v>
      </x:c>
    </x:row>
    <x:row r="960">
      <x:c r="A960" t="str">
        <x:v>NFL</x:v>
      </x:c>
      <x:c r="B960" t="n">
        <x:v>4</x:v>
      </x:c>
      <x:c r="C960" s="68" t="n">
        <x:v>46299.708333333336</x:v>
      </x:c>
      <x:c r="D960" s="71" t="str">
        <x:v>pre</x:v>
      </x:c>
      <x:c r="E960" s="72" t="b">
        <x:v>0</x:v>
      </x:c>
      <x:c r="F960" t="str">
        <x:v>Los Angeles Rams</x:v>
      </x:c>
      <x:c r="G960" t="str">
        <x:v>LAR</x:v>
      </x:c>
      <x:c r="H960" s="69" t="n">
        <x:v>0</x:v>
      </x:c>
      <x:c r="I960" t="str">
        <x:v>0-1</x:v>
      </x:c>
      <x:c r="J960" t="str">
        <x:f>IF(E960&lt;&gt;TRUE,"",IF(H960&gt;M960,"W",IF(H960&lt;M960,"L","T")))</x:f>
      </x:c>
      <x:c r="K960" t="str">
        <x:v>Philadelphia Eagles</x:v>
      </x:c>
      <x:c r="L960" t="str">
        <x:v>PHI</x:v>
      </x:c>
      <x:c r="M960" s="69" t="n">
        <x:v>0</x:v>
      </x:c>
      <x:c r="N960" t="str">
        <x:v>2-0</x:v>
      </x:c>
      <x:c r="O960" t="str">
        <x:f>IF(E960&lt;&gt;TRUE,"",IF(M960&gt;H960,"W",IF(M960&lt;H960,"L","T")))</x:f>
      </x:c>
      <x:c r="P960" s="66" t="b">
        <x:v>0</x:v>
      </x:c>
      <x:c r="Q960" s="66" t="b">
        <x:v>0</x:v>
      </x:c>
      <x:c r="R960" t="str">
        <x:v>Lincoln Financial Field</x:v>
      </x:c>
      <x:c r="S960" t="str">
        <x:v>FOX</x:v>
      </x:c>
      <x:c r="T960" t="str">
        <x:v>LAR -1.5</x:v>
      </x:c>
      <x:c r="U960" s="70" t="n">
        <x:v>1.5</x:v>
      </x:c>
      <x:c r="V960" s="70" t="n">
        <x:v>47.5</x:v>
      </x:c>
      <x:c r="W960" t="str">
        <x:v>DraftKings</x:v>
      </x:c>
      <x:c r="X960" t="str">
        <x:v>https://www.espn.com/nfl/game/_/gameId/401872970</x:v>
      </x:c>
    </x:row>
    <x:row r="961">
      <x:c r="A961" t="str">
        <x:v>NFL</x:v>
      </x:c>
      <x:c r="B961" t="n">
        <x:v>4</x:v>
      </x:c>
      <x:c r="C961" s="68" t="n">
        <x:v>46299.708333333336</x:v>
      </x:c>
      <x:c r="D961" s="71" t="str">
        <x:v>pre</x:v>
      </x:c>
      <x:c r="E961" s="72" t="b">
        <x:v>0</x:v>
      </x:c>
      <x:c r="F961" t="str">
        <x:v>New England Patriots</x:v>
      </x:c>
      <x:c r="G961" t="str">
        <x:v>NE</x:v>
      </x:c>
      <x:c r="H961" s="69" t="n">
        <x:v>0</x:v>
      </x:c>
      <x:c r="I961" t="str">
        <x:v>1-1</x:v>
      </x:c>
      <x:c r="J961" t="str">
        <x:f>IF(E961&lt;&gt;TRUE,"",IF(H961&gt;M961,"W",IF(H961&lt;M961,"L","T")))</x:f>
      </x:c>
      <x:c r="K961" t="str">
        <x:v>Buffalo Bills</x:v>
      </x:c>
      <x:c r="L961" t="str">
        <x:v>BUF</x:v>
      </x:c>
      <x:c r="M961" s="69" t="n">
        <x:v>0</x:v>
      </x:c>
      <x:c r="N961" t="str">
        <x:v>2-0</x:v>
      </x:c>
      <x:c r="O961" t="str">
        <x:f>IF(E961&lt;&gt;TRUE,"",IF(M961&gt;H961,"W",IF(M961&lt;H961,"L","T")))</x:f>
      </x:c>
      <x:c r="P961" s="66" t="b">
        <x:v>0</x:v>
      </x:c>
      <x:c r="Q961" s="66" t="b">
        <x:v>0</x:v>
      </x:c>
      <x:c r="R961" t="str">
        <x:v>Highmark Stadium</x:v>
      </x:c>
      <x:c r="S961" t="str">
        <x:v>CBS</x:v>
      </x:c>
      <x:c r="T961" t="str">
        <x:v>BUF -3</x:v>
      </x:c>
      <x:c r="U961" s="70" t="n">
        <x:v>-3</x:v>
      </x:c>
      <x:c r="V961" s="70" t="n">
        <x:v>49.5</x:v>
      </x:c>
      <x:c r="W961" t="str">
        <x:v>DraftKings</x:v>
      </x:c>
      <x:c r="X961" t="str">
        <x:v>https://www.espn.com/nfl/game/_/gameId/401872971</x:v>
      </x:c>
    </x:row>
    <x:row r="962">
      <x:c r="A962" t="str">
        <x:v>NFL</x:v>
      </x:c>
      <x:c r="B962" t="n">
        <x:v>4</x:v>
      </x:c>
      <x:c r="C962" s="68" t="n">
        <x:v>46299.708333333336</x:v>
      </x:c>
      <x:c r="D962" s="71" t="str">
        <x:v>pre</x:v>
      </x:c>
      <x:c r="E962" s="72" t="b">
        <x:v>0</x:v>
      </x:c>
      <x:c r="F962" t="str">
        <x:v>New York Jets</x:v>
      </x:c>
      <x:c r="G962" t="str">
        <x:v>NYJ</x:v>
      </x:c>
      <x:c r="H962" s="69" t="n">
        <x:v>0</x:v>
      </x:c>
      <x:c r="I962" t="str">
        <x:v>1-1</x:v>
      </x:c>
      <x:c r="J962" t="str">
        <x:f>IF(E962&lt;&gt;TRUE,"",IF(H962&gt;M962,"W",IF(H962&lt;M962,"L","T")))</x:f>
      </x:c>
      <x:c r="K962" t="str">
        <x:v>Chicago Bears</x:v>
      </x:c>
      <x:c r="L962" t="str">
        <x:v>CHI</x:v>
      </x:c>
      <x:c r="M962" s="69" t="n">
        <x:v>0</x:v>
      </x:c>
      <x:c r="N962" t="str">
        <x:v>1-1</x:v>
      </x:c>
      <x:c r="O962" t="str">
        <x:f>IF(E962&lt;&gt;TRUE,"",IF(M962&gt;H962,"W",IF(M962&lt;H962,"L","T")))</x:f>
      </x:c>
      <x:c r="P962" s="66" t="b">
        <x:v>0</x:v>
      </x:c>
      <x:c r="Q962" s="66" t="b">
        <x:v>0</x:v>
      </x:c>
      <x:c r="R962" t="str">
        <x:v>Soldier Field</x:v>
      </x:c>
      <x:c r="S962" t="str">
        <x:v>FOX</x:v>
      </x:c>
      <x:c r="T962" t="str">
        <x:v>CHI -8.5</x:v>
      </x:c>
      <x:c r="U962" s="70" t="n">
        <x:v>-8.5</x:v>
      </x:c>
      <x:c r="V962" s="70" t="n">
        <x:v>45.5</x:v>
      </x:c>
      <x:c r="W962" t="str">
        <x:v>DraftKings</x:v>
      </x:c>
      <x:c r="X962" t="str">
        <x:v>https://www.espn.com/nfl/game/_/gameId/401872972</x:v>
      </x:c>
    </x:row>
    <x:row r="963">
      <x:c r="A963" t="str">
        <x:v>NFL</x:v>
      </x:c>
      <x:c r="B963" t="n">
        <x:v>4</x:v>
      </x:c>
      <x:c r="C963" s="68" t="n">
        <x:v>46299.708333333336</x:v>
      </x:c>
      <x:c r="D963" s="71" t="str">
        <x:v>pre</x:v>
      </x:c>
      <x:c r="E963" s="72" t="b">
        <x:v>0</x:v>
      </x:c>
      <x:c r="F963" t="str">
        <x:v>Tennessee Titans</x:v>
      </x:c>
      <x:c r="G963" t="str">
        <x:v>TEN</x:v>
      </x:c>
      <x:c r="H963" s="69" t="n">
        <x:v>0</x:v>
      </x:c>
      <x:c r="I963" t="str">
        <x:v>0-2</x:v>
      </x:c>
      <x:c r="J963" t="str">
        <x:f>IF(E963&lt;&gt;TRUE,"",IF(H963&gt;M963,"W",IF(H963&lt;M963,"L","T")))</x:f>
      </x:c>
      <x:c r="K963" t="str">
        <x:v>Baltimore Ravens</x:v>
      </x:c>
      <x:c r="L963" t="str">
        <x:v>BAL</x:v>
      </x:c>
      <x:c r="M963" s="69" t="n">
        <x:v>0</x:v>
      </x:c>
      <x:c r="N963" t="str">
        <x:v>1-1</x:v>
      </x:c>
      <x:c r="O963" t="str">
        <x:f>IF(E963&lt;&gt;TRUE,"",IF(M963&gt;H963,"W",IF(M963&lt;H963,"L","T")))</x:f>
      </x:c>
      <x:c r="P963" s="66" t="b">
        <x:v>0</x:v>
      </x:c>
      <x:c r="Q963" s="66" t="b">
        <x:v>0</x:v>
      </x:c>
      <x:c r="R963" t="str">
        <x:v>M&amp;T Bank Stadium</x:v>
      </x:c>
      <x:c r="S963" t="str">
        <x:v>CBS</x:v>
      </x:c>
      <x:c r="T963" t="str">
        <x:v>BAL -8.5</x:v>
      </x:c>
      <x:c r="U963" s="70" t="n">
        <x:v>-8.5</x:v>
      </x:c>
      <x:c r="V963" s="70" t="n">
        <x:v>47.5</x:v>
      </x:c>
      <x:c r="W963" t="str">
        <x:v>DraftKings</x:v>
      </x:c>
      <x:c r="X963" t="str">
        <x:v>https://www.espn.com/nfl/game/_/gameId/401872973</x:v>
      </x:c>
    </x:row>
    <x:row r="964">
      <x:c r="A964" t="str">
        <x:v>NFL</x:v>
      </x:c>
      <x:c r="B964" t="n">
        <x:v>4</x:v>
      </x:c>
      <x:c r="C964" s="68" t="n">
        <x:v>46299.836805555555</x:v>
      </x:c>
      <x:c r="D964" s="71" t="str">
        <x:v>pre</x:v>
      </x:c>
      <x:c r="E964" s="72" t="b">
        <x:v>0</x:v>
      </x:c>
      <x:c r="F964" t="str">
        <x:v>Miami Dolphins</x:v>
      </x:c>
      <x:c r="G964" t="str">
        <x:v>MIA</x:v>
      </x:c>
      <x:c r="H964" s="69" t="n">
        <x:v>0</x:v>
      </x:c>
      <x:c r="I964" t="str">
        <x:v>0-2</x:v>
      </x:c>
      <x:c r="J964" t="str">
        <x:f>IF(E964&lt;&gt;TRUE,"",IF(H964&gt;M964,"W",IF(H964&lt;M964,"L","T")))</x:f>
      </x:c>
      <x:c r="K964" t="str">
        <x:v>Minnesota Vikings</x:v>
      </x:c>
      <x:c r="L964" t="str">
        <x:v>MIN</x:v>
      </x:c>
      <x:c r="M964" s="69" t="n">
        <x:v>0</x:v>
      </x:c>
      <x:c r="N964" t="str">
        <x:v>2-0</x:v>
      </x:c>
      <x:c r="O964" t="str">
        <x:f>IF(E964&lt;&gt;TRUE,"",IF(M964&gt;H964,"W",IF(M964&lt;H964,"L","T")))</x:f>
      </x:c>
      <x:c r="P964" s="66" t="b">
        <x:v>0</x:v>
      </x:c>
      <x:c r="Q964" s="66" t="b">
        <x:v>0</x:v>
      </x:c>
      <x:c r="R964" t="str">
        <x:v>U.S. Bank Stadium</x:v>
      </x:c>
      <x:c r="S964" t="str">
        <x:v>FOX</x:v>
      </x:c>
      <x:c r="T964" t="str">
        <x:v>MIN -7.5</x:v>
      </x:c>
      <x:c r="U964" s="70" t="n">
        <x:v>-7.5</x:v>
      </x:c>
      <x:c r="V964" s="70" t="n">
        <x:v>43.5</x:v>
      </x:c>
      <x:c r="W964" t="str">
        <x:v>DraftKings</x:v>
      </x:c>
      <x:c r="X964" t="str">
        <x:v>https://www.espn.com/nfl/game/_/gameId/401872974</x:v>
      </x:c>
    </x:row>
    <x:row r="965">
      <x:c r="A965" t="str">
        <x:v>NFL</x:v>
      </x:c>
      <x:c r="B965" t="n">
        <x:v>4</x:v>
      </x:c>
      <x:c r="C965" s="68" t="n">
        <x:v>46299.850694444445</x:v>
      </x:c>
      <x:c r="D965" s="71" t="str">
        <x:v>pre</x:v>
      </x:c>
      <x:c r="E965" s="72" t="b">
        <x:v>0</x:v>
      </x:c>
      <x:c r="F965" t="str">
        <x:v>Denver Broncos</x:v>
      </x:c>
      <x:c r="G965" t="str">
        <x:v>DEN</x:v>
      </x:c>
      <x:c r="H965" s="69" t="n">
        <x:v>0</x:v>
      </x:c>
      <x:c r="I965" t="str">
        <x:v>1-1</x:v>
      </x:c>
      <x:c r="J965" t="str">
        <x:f>IF(E965&lt;&gt;TRUE,"",IF(H965&gt;M965,"W",IF(H965&lt;M965,"L","T")))</x:f>
      </x:c>
      <x:c r="K965" t="str">
        <x:v>San Francisco 49ers</x:v>
      </x:c>
      <x:c r="L965" t="str">
        <x:v>SF</x:v>
      </x:c>
      <x:c r="M965" s="69" t="n">
        <x:v>0</x:v>
      </x:c>
      <x:c r="N965" t="str">
        <x:v>2-0</x:v>
      </x:c>
      <x:c r="O965" t="str">
        <x:f>IF(E965&lt;&gt;TRUE,"",IF(M965&gt;H965,"W",IF(M965&lt;H965,"L","T")))</x:f>
      </x:c>
      <x:c r="P965" s="66" t="b">
        <x:v>0</x:v>
      </x:c>
      <x:c r="Q965" s="66" t="b">
        <x:v>0</x:v>
      </x:c>
      <x:c r="R965" t="str">
        <x:v>Levi's Stadium</x:v>
      </x:c>
      <x:c r="S965" t="str">
        <x:v>CBS</x:v>
      </x:c>
      <x:c r="T965" t="str">
        <x:v>SF -2.5</x:v>
      </x:c>
      <x:c r="U965" s="70" t="n">
        <x:v>-2.5</x:v>
      </x:c>
      <x:c r="V965" s="70" t="n">
        <x:v>46.5</x:v>
      </x:c>
      <x:c r="W965" t="str">
        <x:v>DraftKings</x:v>
      </x:c>
      <x:c r="X965" t="str">
        <x:v>https://www.espn.com/nfl/game/_/gameId/401872975</x:v>
      </x:c>
    </x:row>
    <x:row r="966">
      <x:c r="A966" t="str">
        <x:v>NFL</x:v>
      </x:c>
      <x:c r="B966" t="n">
        <x:v>4</x:v>
      </x:c>
      <x:c r="C966" s="68" t="n">
        <x:v>46299.850694444445</x:v>
      </x:c>
      <x:c r="D966" s="71" t="str">
        <x:v>pre</x:v>
      </x:c>
      <x:c r="E966" s="72" t="b">
        <x:v>0</x:v>
      </x:c>
      <x:c r="F966" t="str">
        <x:v>Kansas City Chiefs</x:v>
      </x:c>
      <x:c r="G966" t="str">
        <x:v>KC</x:v>
      </x:c>
      <x:c r="H966" s="69" t="n">
        <x:v>0</x:v>
      </x:c>
      <x:c r="I966" t="str">
        <x:v>2-0</x:v>
      </x:c>
      <x:c r="J966" t="str">
        <x:f>IF(E966&lt;&gt;TRUE,"",IF(H966&gt;M966,"W",IF(H966&lt;M966,"L","T")))</x:f>
      </x:c>
      <x:c r="K966" t="str">
        <x:v>Las Vegas Raiders</x:v>
      </x:c>
      <x:c r="L966" t="str">
        <x:v>LV</x:v>
      </x:c>
      <x:c r="M966" s="69" t="n">
        <x:v>0</x:v>
      </x:c>
      <x:c r="N966" t="str">
        <x:v>2-0</x:v>
      </x:c>
      <x:c r="O966" t="str">
        <x:f>IF(E966&lt;&gt;TRUE,"",IF(M966&gt;H966,"W",IF(M966&lt;H966,"L","T")))</x:f>
      </x:c>
      <x:c r="P966" s="66" t="b">
        <x:v>0</x:v>
      </x:c>
      <x:c r="Q966" s="66" t="b">
        <x:v>0</x:v>
      </x:c>
      <x:c r="R966" t="str">
        <x:v>Allegiant Stadium</x:v>
      </x:c>
      <x:c r="S966" t="str">
        <x:v>CBS</x:v>
      </x:c>
      <x:c r="T966" t="str">
        <x:v>KC -5.5</x:v>
      </x:c>
      <x:c r="U966" s="70" t="n">
        <x:v>5.5</x:v>
      </x:c>
      <x:c r="V966" s="70" t="n">
        <x:v>43.5</x:v>
      </x:c>
      <x:c r="W966" t="str">
        <x:v>DraftKings</x:v>
      </x:c>
      <x:c r="X966" t="str">
        <x:v>https://www.espn.com/nfl/game/_/gameId/401872976</x:v>
      </x:c>
    </x:row>
    <x:row r="967">
      <x:c r="A967" t="str">
        <x:v>NFL</x:v>
      </x:c>
      <x:c r="B967" t="n">
        <x:v>4</x:v>
      </x:c>
      <x:c r="C967" s="68" t="n">
        <x:v>46299.850694444445</x:v>
      </x:c>
      <x:c r="D967" s="71" t="str">
        <x:v>pre</x:v>
      </x:c>
      <x:c r="E967" s="72" t="b">
        <x:v>0</x:v>
      </x:c>
      <x:c r="F967" t="str">
        <x:v>Los Angeles Chargers</x:v>
      </x:c>
      <x:c r="G967" t="str">
        <x:v>LAC</x:v>
      </x:c>
      <x:c r="H967" s="69" t="n">
        <x:v>0</x:v>
      </x:c>
      <x:c r="I967" t="str">
        <x:v>0-2</x:v>
      </x:c>
      <x:c r="J967" t="str">
        <x:f>IF(E967&lt;&gt;TRUE,"",IF(H967&gt;M967,"W",IF(H967&lt;M967,"L","T")))</x:f>
      </x:c>
      <x:c r="K967" t="str">
        <x:v>Seattle Seahawks</x:v>
      </x:c>
      <x:c r="L967" t="str">
        <x:v>SEA</x:v>
      </x:c>
      <x:c r="M967" s="69" t="n">
        <x:v>0</x:v>
      </x:c>
      <x:c r="N967" t="str">
        <x:v>2-0</x:v>
      </x:c>
      <x:c r="O967" t="str">
        <x:f>IF(E967&lt;&gt;TRUE,"",IF(M967&gt;H967,"W",IF(M967&lt;H967,"L","T")))</x:f>
      </x:c>
      <x:c r="P967" s="66" t="b">
        <x:v>0</x:v>
      </x:c>
      <x:c r="Q967" s="66" t="b">
        <x:v>0</x:v>
      </x:c>
      <x:c r="R967" t="str">
        <x:v>Lumen Field</x:v>
      </x:c>
      <x:c r="S967" t="str">
        <x:v>CBS</x:v>
      </x:c>
      <x:c r="T967" t="str">
        <x:v>SEA -3</x:v>
      </x:c>
      <x:c r="U967" s="70" t="n">
        <x:v>-3</x:v>
      </x:c>
      <x:c r="V967" s="70" t="n">
        <x:v>45.5</x:v>
      </x:c>
      <x:c r="W967" t="str">
        <x:v>DraftKings</x:v>
      </x:c>
      <x:c r="X967" t="str">
        <x:v>https://www.espn.com/nfl/game/_/gameId/401872977</x:v>
      </x:c>
    </x:row>
    <x:row r="968">
      <x:c r="A968" t="str">
        <x:v>NFL</x:v>
      </x:c>
      <x:c r="B968" t="n">
        <x:v>4</x:v>
      </x:c>
      <x:c r="C968" s="68" t="n">
        <x:v>46300.01388888889</x:v>
      </x:c>
      <x:c r="D968" s="71" t="str">
        <x:v>pre</x:v>
      </x:c>
      <x:c r="E968" s="72" t="b">
        <x:v>0</x:v>
      </x:c>
      <x:c r="F968" t="str">
        <x:v>Detroit Lions</x:v>
      </x:c>
      <x:c r="G968" t="str">
        <x:v>DET</x:v>
      </x:c>
      <x:c r="H968" s="69" t="n">
        <x:v>0</x:v>
      </x:c>
      <x:c r="I968" t="str">
        <x:v>1-1</x:v>
      </x:c>
      <x:c r="J968" t="str">
        <x:f>IF(E968&lt;&gt;TRUE,"",IF(H968&gt;M968,"W",IF(H968&lt;M968,"L","T")))</x:f>
      </x:c>
      <x:c r="K968" t="str">
        <x:v>Carolina Panthers</x:v>
      </x:c>
      <x:c r="L968" t="str">
        <x:v>CAR</x:v>
      </x:c>
      <x:c r="M968" s="69" t="n">
        <x:v>0</x:v>
      </x:c>
      <x:c r="N968" t="str">
        <x:v>1-1</x:v>
      </x:c>
      <x:c r="O968" t="str">
        <x:f>IF(E968&lt;&gt;TRUE,"",IF(M968&gt;H968,"W",IF(M968&lt;H968,"L","T")))</x:f>
      </x:c>
      <x:c r="P968" s="66" t="b">
        <x:v>0</x:v>
      </x:c>
      <x:c r="Q968" s="66" t="b">
        <x:v>0</x:v>
      </x:c>
      <x:c r="R968" t="str">
        <x:v>Bank of America Stadium</x:v>
      </x:c>
      <x:c r="S968" t="str">
        <x:v>NBC</x:v>
      </x:c>
      <x:c r="T968" t="str">
        <x:v>DET -3</x:v>
      </x:c>
      <x:c r="U968" s="70" t="n">
        <x:v>3</x:v>
      </x:c>
      <x:c r="V968" s="70" t="n">
        <x:v>47.5</x:v>
      </x:c>
      <x:c r="W968" t="str">
        <x:v>DraftKings</x:v>
      </x:c>
      <x:c r="X968" t="str">
        <x:v>https://www.espn.com/nfl/game/_/gameId/401872978</x:v>
      </x:c>
    </x:row>
    <x:row r="969">
      <x:c r="A969" t="str">
        <x:v>NFL</x:v>
      </x:c>
      <x:c r="B969" t="n">
        <x:v>4</x:v>
      </x:c>
      <x:c r="C969" s="68" t="n">
        <x:v>46301.010416666664</x:v>
      </x:c>
      <x:c r="D969" s="71" t="str">
        <x:v>pre</x:v>
      </x:c>
      <x:c r="E969" s="72" t="b">
        <x:v>0</x:v>
      </x:c>
      <x:c r="F969" t="str">
        <x:v>Atlanta Falcons</x:v>
      </x:c>
      <x:c r="G969" t="str">
        <x:v>ATL</x:v>
      </x:c>
      <x:c r="H969" s="69" t="n">
        <x:v>0</x:v>
      </x:c>
      <x:c r="I969" t="str">
        <x:v>0-2</x:v>
      </x:c>
      <x:c r="J969" t="str">
        <x:f>IF(E969&lt;&gt;TRUE,"",IF(H969&gt;M969,"W",IF(H969&lt;M969,"L","T")))</x:f>
      </x:c>
      <x:c r="K969" t="str">
        <x:v>New Orleans Saints</x:v>
      </x:c>
      <x:c r="L969" t="str">
        <x:v>NO</x:v>
      </x:c>
      <x:c r="M969" s="69" t="n">
        <x:v>0</x:v>
      </x:c>
      <x:c r="N969" t="str">
        <x:v>1-1</x:v>
      </x:c>
      <x:c r="O969" t="str">
        <x:f>IF(E969&lt;&gt;TRUE,"",IF(M969&gt;H969,"W",IF(M969&lt;H969,"L","T")))</x:f>
      </x:c>
      <x:c r="P969" s="66" t="b">
        <x:v>0</x:v>
      </x:c>
      <x:c r="Q969" s="66" t="b">
        <x:v>0</x:v>
      </x:c>
      <x:c r="R969" t="str">
        <x:v>Caesars Superdome</x:v>
      </x:c>
      <x:c r="S969" t="str">
        <x:v>ESPN</x:v>
      </x:c>
      <x:c r="T969" t="str">
        <x:v>NO -2.5</x:v>
      </x:c>
      <x:c r="U969" s="70" t="n">
        <x:v>-2.5</x:v>
      </x:c>
      <x:c r="V969" s="70" t="n">
        <x:v>45.5</x:v>
      </x:c>
      <x:c r="W969" t="str">
        <x:v>DraftKings</x:v>
      </x:c>
      <x:c r="X969" t="str">
        <x:v>https://www.espn.com/nfl/game/_/gameId/401872979</x:v>
      </x:c>
    </x:row>
    <x:row r="970">
      <x:c r="A970" t="str">
        <x:v>NFL</x:v>
      </x:c>
      <x:c r="B970" t="n">
        <x:v>5</x:v>
      </x:c>
      <x:c r="C970" s="68" t="n">
        <x:v>46304.010416666664</x:v>
      </x:c>
      <x:c r="D970" s="71" t="str">
        <x:v>pre</x:v>
      </x:c>
      <x:c r="E970" s="72" t="b">
        <x:v>0</x:v>
      </x:c>
      <x:c r="F970" t="str">
        <x:v>Tampa Bay Buccaneers</x:v>
      </x:c>
      <x:c r="G970" t="str">
        <x:v>TB</x:v>
      </x:c>
      <x:c r="H970" s="69" t="n">
        <x:v>0</x:v>
      </x:c>
      <x:c r="I970" t="str">
        <x:v>0-2</x:v>
      </x:c>
      <x:c r="J970" t="str">
        <x:f>IF(E970&lt;&gt;TRUE,"",IF(H970&gt;M970,"W",IF(H970&lt;M970,"L","T")))</x:f>
      </x:c>
      <x:c r="K970" t="str">
        <x:v>Dallas Cowboys</x:v>
      </x:c>
      <x:c r="L970" t="str">
        <x:v>DAL</x:v>
      </x:c>
      <x:c r="M970" s="69" t="n">
        <x:v>0</x:v>
      </x:c>
      <x:c r="N970" t="str">
        <x:v>1-1</x:v>
      </x:c>
      <x:c r="O970" t="str">
        <x:f>IF(E970&lt;&gt;TRUE,"",IF(M970&gt;H970,"W",IF(M970&lt;H970,"L","T")))</x:f>
      </x:c>
      <x:c r="P970" s="66" t="b">
        <x:v>0</x:v>
      </x:c>
      <x:c r="Q970" s="66" t="b">
        <x:v>0</x:v>
      </x:c>
      <x:c r="R970" t="str">
        <x:v>AT&amp;T Stadium</x:v>
      </x:c>
      <x:c r="S970" t="str">
        <x:v>Prime Video</x:v>
      </x:c>
      <x:c r="T970" t="str">
        <x:v>DAL -3.5</x:v>
      </x:c>
      <x:c r="U970" s="70" t="n">
        <x:v>-3.5</x:v>
      </x:c>
      <x:c r="V970" s="70" t="n">
        <x:v>52.5</x:v>
      </x:c>
      <x:c r="W970" t="str">
        <x:v>DraftKings</x:v>
      </x:c>
      <x:c r="X970" t="str">
        <x:v>https://www.espn.com/nfl/game/_/gameId/401872980</x:v>
      </x:c>
    </x:row>
    <x:row r="971">
      <x:c r="A971" t="str">
        <x:v>NFL</x:v>
      </x:c>
      <x:c r="B971" t="n">
        <x:v>5</x:v>
      </x:c>
      <x:c r="C971" s="68" t="n">
        <x:v>46306.5625</x:v>
      </x:c>
      <x:c r="D971" s="71" t="str">
        <x:v>pre</x:v>
      </x:c>
      <x:c r="E971" s="72" t="b">
        <x:v>0</x:v>
      </x:c>
      <x:c r="F971" t="str">
        <x:v>Philadelphia Eagles</x:v>
      </x:c>
      <x:c r="G971" t="str">
        <x:v>PHI</x:v>
      </x:c>
      <x:c r="H971" s="69" t="n">
        <x:v>0</x:v>
      </x:c>
      <x:c r="I971" t="str">
        <x:v>2-0</x:v>
      </x:c>
      <x:c r="J971" t="str">
        <x:f>IF(E971&lt;&gt;TRUE,"",IF(H971&gt;M971,"W",IF(H971&lt;M971,"L","T")))</x:f>
      </x:c>
      <x:c r="K971" t="str">
        <x:v>Jacksonville Jaguars</x:v>
      </x:c>
      <x:c r="L971" t="str">
        <x:v>JAX</x:v>
      </x:c>
      <x:c r="M971" s="69" t="n">
        <x:v>0</x:v>
      </x:c>
      <x:c r="N971" t="str">
        <x:v>1-1</x:v>
      </x:c>
      <x:c r="O971" t="str">
        <x:f>IF(E971&lt;&gt;TRUE,"",IF(M971&gt;H971,"W",IF(M971&lt;H971,"L","T")))</x:f>
      </x:c>
      <x:c r="P971" s="66" t="b">
        <x:v>1</x:v>
      </x:c>
      <x:c r="Q971" s="66" t="b">
        <x:v>0</x:v>
      </x:c>
      <x:c r="R971" t="str">
        <x:v>Tottenham Hotspur Stadium</x:v>
      </x:c>
      <x:c r="S971" t="str">
        <x:v>NFL Net</x:v>
      </x:c>
      <x:c r="T971" t="str">
        <x:v>PHI -1.5</x:v>
      </x:c>
      <x:c r="U971" s="70" t="n">
        <x:v>1.5</x:v>
      </x:c>
      <x:c r="V971" s="70" t="n">
        <x:v>45.5</x:v>
      </x:c>
      <x:c r="W971" t="str">
        <x:v>DraftKings</x:v>
      </x:c>
      <x:c r="X971" t="str">
        <x:v>https://www.espn.com/nfl/game/_/gameId/401872981</x:v>
      </x:c>
    </x:row>
    <x:row r="972">
      <x:c r="A972" t="str">
        <x:v>NFL</x:v>
      </x:c>
      <x:c r="B972" t="n">
        <x:v>5</x:v>
      </x:c>
      <x:c r="C972" s="68" t="n">
        <x:v>46306.708333333336</x:v>
      </x:c>
      <x:c r="D972" s="71" t="str">
        <x:v>pre</x:v>
      </x:c>
      <x:c r="E972" s="72" t="b">
        <x:v>0</x:v>
      </x:c>
      <x:c r="F972" t="str">
        <x:v>Cincinnati Bengals</x:v>
      </x:c>
      <x:c r="G972" t="str">
        <x:v>CIN</x:v>
      </x:c>
      <x:c r="H972" s="69" t="n">
        <x:v>0</x:v>
      </x:c>
      <x:c r="I972" t="str">
        <x:v>2-0</x:v>
      </x:c>
      <x:c r="J972" t="str">
        <x:f>IF(E972&lt;&gt;TRUE,"",IF(H972&gt;M972,"W",IF(H972&lt;M972,"L","T")))</x:f>
      </x:c>
      <x:c r="K972" t="str">
        <x:v>Miami Dolphins</x:v>
      </x:c>
      <x:c r="L972" t="str">
        <x:v>MIA</x:v>
      </x:c>
      <x:c r="M972" s="69" t="n">
        <x:v>0</x:v>
      </x:c>
      <x:c r="N972" t="str">
        <x:v>0-2</x:v>
      </x:c>
      <x:c r="O972" t="str">
        <x:f>IF(E972&lt;&gt;TRUE,"",IF(M972&gt;H972,"W",IF(M972&lt;H972,"L","T")))</x:f>
      </x:c>
      <x:c r="P972" s="66" t="b">
        <x:v>0</x:v>
      </x:c>
      <x:c r="Q972" s="66" t="b">
        <x:v>0</x:v>
      </x:c>
      <x:c r="R972" t="str">
        <x:v>Hard Rock Stadium</x:v>
      </x:c>
      <x:c r="S972" t="str">
        <x:v>FOX</x:v>
      </x:c>
      <x:c r="T972" t="str">
        <x:v>CIN -6</x:v>
      </x:c>
      <x:c r="U972" s="70" t="n">
        <x:v>6</x:v>
      </x:c>
      <x:c r="V972" s="70" t="n">
        <x:v>49.5</x:v>
      </x:c>
      <x:c r="W972" t="str">
        <x:v>DraftKings</x:v>
      </x:c>
      <x:c r="X972" t="str">
        <x:v>https://www.espn.com/nfl/game/_/gameId/401872982</x:v>
      </x:c>
    </x:row>
    <x:row r="973">
      <x:c r="A973" t="str">
        <x:v>NFL</x:v>
      </x:c>
      <x:c r="B973" t="n">
        <x:v>5</x:v>
      </x:c>
      <x:c r="C973" s="68" t="n">
        <x:v>46306.708333333336</x:v>
      </x:c>
      <x:c r="D973" s="71" t="str">
        <x:v>pre</x:v>
      </x:c>
      <x:c r="E973" s="72" t="b">
        <x:v>0</x:v>
      </x:c>
      <x:c r="F973" t="str">
        <x:v>Cleveland Browns</x:v>
      </x:c>
      <x:c r="G973" t="str">
        <x:v>CLE</x:v>
      </x:c>
      <x:c r="H973" s="69" t="n">
        <x:v>0</x:v>
      </x:c>
      <x:c r="I973" t="str">
        <x:v>1-1</x:v>
      </x:c>
      <x:c r="J973" t="str">
        <x:f>IF(E973&lt;&gt;TRUE,"",IF(H973&gt;M973,"W",IF(H973&lt;M973,"L","T")))</x:f>
      </x:c>
      <x:c r="K973" t="str">
        <x:v>New York Jets</x:v>
      </x:c>
      <x:c r="L973" t="str">
        <x:v>NYJ</x:v>
      </x:c>
      <x:c r="M973" s="69" t="n">
        <x:v>0</x:v>
      </x:c>
      <x:c r="N973" t="str">
        <x:v>1-1</x:v>
      </x:c>
      <x:c r="O973" t="str">
        <x:f>IF(E973&lt;&gt;TRUE,"",IF(M973&gt;H973,"W",IF(M973&lt;H973,"L","T")))</x:f>
      </x:c>
      <x:c r="P973" s="66" t="b">
        <x:v>0</x:v>
      </x:c>
      <x:c r="Q973" s="66" t="b">
        <x:v>0</x:v>
      </x:c>
      <x:c r="R973" t="str">
        <x:v>MetLife Stadium</x:v>
      </x:c>
      <x:c r="S973" t="str">
        <x:v>CBS</x:v>
      </x:c>
      <x:c r="T973" t="str">
        <x:v>NYJ -1.5</x:v>
      </x:c>
      <x:c r="U973" s="70" t="n">
        <x:v>-1.5</x:v>
      </x:c>
      <x:c r="V973" s="70" t="n">
        <x:v>39.5</x:v>
      </x:c>
      <x:c r="W973" t="str">
        <x:v>DraftKings</x:v>
      </x:c>
      <x:c r="X973" t="str">
        <x:v>https://www.espn.com/nfl/game/_/gameId/401872983</x:v>
      </x:c>
    </x:row>
    <x:row r="974">
      <x:c r="A974" t="str">
        <x:v>NFL</x:v>
      </x:c>
      <x:c r="B974" t="n">
        <x:v>5</x:v>
      </x:c>
      <x:c r="C974" s="68" t="n">
        <x:v>46306.708333333336</x:v>
      </x:c>
      <x:c r="D974" s="71" t="str">
        <x:v>pre</x:v>
      </x:c>
      <x:c r="E974" s="72" t="b">
        <x:v>0</x:v>
      </x:c>
      <x:c r="F974" t="str">
        <x:v>Houston Texans</x:v>
      </x:c>
      <x:c r="G974" t="str">
        <x:v>HOU</x:v>
      </x:c>
      <x:c r="H974" s="69" t="n">
        <x:v>0</x:v>
      </x:c>
      <x:c r="I974" t="str">
        <x:v>0-2</x:v>
      </x:c>
      <x:c r="J974" t="str">
        <x:f>IF(E974&lt;&gt;TRUE,"",IF(H974&gt;M974,"W",IF(H974&lt;M974,"L","T")))</x:f>
      </x:c>
      <x:c r="K974" t="str">
        <x:v>Tennessee Titans</x:v>
      </x:c>
      <x:c r="L974" t="str">
        <x:v>TEN</x:v>
      </x:c>
      <x:c r="M974" s="69" t="n">
        <x:v>0</x:v>
      </x:c>
      <x:c r="N974" t="str">
        <x:v>0-2</x:v>
      </x:c>
      <x:c r="O974" t="str">
        <x:f>IF(E974&lt;&gt;TRUE,"",IF(M974&gt;H974,"W",IF(M974&lt;H974,"L","T")))</x:f>
      </x:c>
      <x:c r="P974" s="66" t="b">
        <x:v>0</x:v>
      </x:c>
      <x:c r="Q974" s="66" t="b">
        <x:v>0</x:v>
      </x:c>
      <x:c r="R974" t="str">
        <x:v>Nissan Stadium</x:v>
      </x:c>
      <x:c r="S974" t="str">
        <x:v>CBS</x:v>
      </x:c>
      <x:c r="T974" t="str">
        <x:v>HOU -3.5</x:v>
      </x:c>
      <x:c r="U974" s="70" t="n">
        <x:v>3.5</x:v>
      </x:c>
      <x:c r="V974" s="70" t="n">
        <x:v>43.5</x:v>
      </x:c>
      <x:c r="W974" t="str">
        <x:v>DraftKings</x:v>
      </x:c>
      <x:c r="X974" t="str">
        <x:v>https://www.espn.com/nfl/game/_/gameId/401872984</x:v>
      </x:c>
    </x:row>
    <x:row r="975">
      <x:c r="A975" t="str">
        <x:v>NFL</x:v>
      </x:c>
      <x:c r="B975" t="n">
        <x:v>5</x:v>
      </x:c>
      <x:c r="C975" s="68" t="n">
        <x:v>46306.708333333336</x:v>
      </x:c>
      <x:c r="D975" s="71" t="str">
        <x:v>pre</x:v>
      </x:c>
      <x:c r="E975" s="72" t="b">
        <x:v>0</x:v>
      </x:c>
      <x:c r="F975" t="str">
        <x:v>Indianapolis Colts</x:v>
      </x:c>
      <x:c r="G975" t="str">
        <x:v>IND</x:v>
      </x:c>
      <x:c r="H975" s="69" t="n">
        <x:v>0</x:v>
      </x:c>
      <x:c r="I975" t="str">
        <x:v>0-2</x:v>
      </x:c>
      <x:c r="J975" t="str">
        <x:f>IF(E975&lt;&gt;TRUE,"",IF(H975&gt;M975,"W",IF(H975&lt;M975,"L","T")))</x:f>
      </x:c>
      <x:c r="K975" t="str">
        <x:v>Pittsburgh Steelers</x:v>
      </x:c>
      <x:c r="L975" t="str">
        <x:v>PIT</x:v>
      </x:c>
      <x:c r="M975" s="69" t="n">
        <x:v>0</x:v>
      </x:c>
      <x:c r="N975" t="str">
        <x:v>1-1</x:v>
      </x:c>
      <x:c r="O975" t="str">
        <x:f>IF(E975&lt;&gt;TRUE,"",IF(M975&gt;H975,"W",IF(M975&lt;H975,"L","T")))</x:f>
      </x:c>
      <x:c r="P975" s="66" t="b">
        <x:v>0</x:v>
      </x:c>
      <x:c r="Q975" s="66" t="b">
        <x:v>0</x:v>
      </x:c>
      <x:c r="R975" t="str">
        <x:v>Acrisure Stadium</x:v>
      </x:c>
      <x:c r="S975" t="str">
        <x:v>CBS</x:v>
      </x:c>
      <x:c r="T975" t="str">
        <x:v>PIT -2.5</x:v>
      </x:c>
      <x:c r="U975" s="70" t="n">
        <x:v>-2.5</x:v>
      </x:c>
      <x:c r="V975" s="70" t="n">
        <x:v>47.5</x:v>
      </x:c>
      <x:c r="W975" t="str">
        <x:v>DraftKings</x:v>
      </x:c>
      <x:c r="X975" t="str">
        <x:v>https://www.espn.com/nfl/game/_/gameId/401872985</x:v>
      </x:c>
    </x:row>
    <x:row r="976">
      <x:c r="A976" t="str">
        <x:v>NFL</x:v>
      </x:c>
      <x:c r="B976" t="n">
        <x:v>5</x:v>
      </x:c>
      <x:c r="C976" s="68" t="n">
        <x:v>46306.708333333336</x:v>
      </x:c>
      <x:c r="D976" s="71" t="str">
        <x:v>pre</x:v>
      </x:c>
      <x:c r="E976" s="72" t="b">
        <x:v>0</x:v>
      </x:c>
      <x:c r="F976" t="str">
        <x:v>Las Vegas Raiders</x:v>
      </x:c>
      <x:c r="G976" t="str">
        <x:v>LV</x:v>
      </x:c>
      <x:c r="H976" s="69" t="n">
        <x:v>0</x:v>
      </x:c>
      <x:c r="I976" t="str">
        <x:v>2-0</x:v>
      </x:c>
      <x:c r="J976" t="str">
        <x:f>IF(E976&lt;&gt;TRUE,"",IF(H976&gt;M976,"W",IF(H976&lt;M976,"L","T")))</x:f>
      </x:c>
      <x:c r="K976" t="str">
        <x:v>New England Patriots</x:v>
      </x:c>
      <x:c r="L976" t="str">
        <x:v>NE</x:v>
      </x:c>
      <x:c r="M976" s="69" t="n">
        <x:v>0</x:v>
      </x:c>
      <x:c r="N976" t="str">
        <x:v>1-1</x:v>
      </x:c>
      <x:c r="O976" t="str">
        <x:f>IF(E976&lt;&gt;TRUE,"",IF(M976&gt;H976,"W",IF(M976&lt;H976,"L","T")))</x:f>
      </x:c>
      <x:c r="P976" s="66" t="b">
        <x:v>0</x:v>
      </x:c>
      <x:c r="Q976" s="66" t="b">
        <x:v>0</x:v>
      </x:c>
      <x:c r="R976" t="str">
        <x:v>Gillette Stadium</x:v>
      </x:c>
      <x:c r="S976" t="str">
        <x:v>CBS</x:v>
      </x:c>
      <x:c r="T976" t="str">
        <x:v>NE -8.5</x:v>
      </x:c>
      <x:c r="U976" s="70" t="n">
        <x:v>-8.5</x:v>
      </x:c>
      <x:c r="V976" s="70" t="n">
        <x:v>44.5</x:v>
      </x:c>
      <x:c r="W976" t="str">
        <x:v>DraftKings</x:v>
      </x:c>
      <x:c r="X976" t="str">
        <x:v>https://www.espn.com/nfl/game/_/gameId/401872986</x:v>
      </x:c>
    </x:row>
    <x:row r="977">
      <x:c r="A977" t="str">
        <x:v>NFL</x:v>
      </x:c>
      <x:c r="B977" t="n">
        <x:v>5</x:v>
      </x:c>
      <x:c r="C977" s="68" t="n">
        <x:v>46306.708333333336</x:v>
      </x:c>
      <x:c r="D977" s="71" t="str">
        <x:v>pre</x:v>
      </x:c>
      <x:c r="E977" s="72" t="b">
        <x:v>0</x:v>
      </x:c>
      <x:c r="F977" t="str">
        <x:v>Minnesota Vikings</x:v>
      </x:c>
      <x:c r="G977" t="str">
        <x:v>MIN</x:v>
      </x:c>
      <x:c r="H977" s="69" t="n">
        <x:v>0</x:v>
      </x:c>
      <x:c r="I977" t="str">
        <x:v>2-0</x:v>
      </x:c>
      <x:c r="J977" t="str">
        <x:f>IF(E977&lt;&gt;TRUE,"",IF(H977&gt;M977,"W",IF(H977&lt;M977,"L","T")))</x:f>
      </x:c>
      <x:c r="K977" t="str">
        <x:v>New Orleans Saints</x:v>
      </x:c>
      <x:c r="L977" t="str">
        <x:v>NO</x:v>
      </x:c>
      <x:c r="M977" s="69" t="n">
        <x:v>0</x:v>
      </x:c>
      <x:c r="N977" t="str">
        <x:v>1-1</x:v>
      </x:c>
      <x:c r="O977" t="str">
        <x:f>IF(E977&lt;&gt;TRUE,"",IF(M977&gt;H977,"W",IF(M977&lt;H977,"L","T")))</x:f>
      </x:c>
      <x:c r="P977" s="66" t="b">
        <x:v>0</x:v>
      </x:c>
      <x:c r="Q977" s="66" t="b">
        <x:v>0</x:v>
      </x:c>
      <x:c r="R977" t="str">
        <x:v>Caesars Superdome</x:v>
      </x:c>
      <x:c r="S977" t="str">
        <x:v>FOX</x:v>
      </x:c>
      <x:c r="T977" t="str">
        <x:v>MIN -1.5</x:v>
      </x:c>
      <x:c r="U977" s="70" t="n">
        <x:v>1.5</x:v>
      </x:c>
      <x:c r="V977" s="70" t="n">
        <x:v>44.5</x:v>
      </x:c>
      <x:c r="W977" t="str">
        <x:v>DraftKings</x:v>
      </x:c>
      <x:c r="X977" t="str">
        <x:v>https://www.espn.com/nfl/game/_/gameId/401872987</x:v>
      </x:c>
    </x:row>
    <x:row r="978">
      <x:c r="A978" t="str">
        <x:v>NFL</x:v>
      </x:c>
      <x:c r="B978" t="n">
        <x:v>5</x:v>
      </x:c>
      <x:c r="C978" s="68" t="n">
        <x:v>46306.708333333336</x:v>
      </x:c>
      <x:c r="D978" s="71" t="str">
        <x:v>pre</x:v>
      </x:c>
      <x:c r="E978" s="72" t="b">
        <x:v>0</x:v>
      </x:c>
      <x:c r="F978" t="str">
        <x:v>New York Giants</x:v>
      </x:c>
      <x:c r="G978" t="str">
        <x:v>NYG</x:v>
      </x:c>
      <x:c r="H978" s="69" t="n">
        <x:v>0</x:v>
      </x:c>
      <x:c r="I978" t="str">
        <x:v>1-0</x:v>
      </x:c>
      <x:c r="J978" t="str">
        <x:f>IF(E978&lt;&gt;TRUE,"",IF(H978&gt;M978,"W",IF(H978&lt;M978,"L","T")))</x:f>
      </x:c>
      <x:c r="K978" t="str">
        <x:v>Washington Commanders</x:v>
      </x:c>
      <x:c r="L978" t="str">
        <x:v>WSH</x:v>
      </x:c>
      <x:c r="M978" s="69" t="n">
        <x:v>0</x:v>
      </x:c>
      <x:c r="N978" t="str">
        <x:v>0-2</x:v>
      </x:c>
      <x:c r="O978" t="str">
        <x:f>IF(E978&lt;&gt;TRUE,"",IF(M978&gt;H978,"W",IF(M978&lt;H978,"L","T")))</x:f>
      </x:c>
      <x:c r="P978" s="66" t="b">
        <x:v>0</x:v>
      </x:c>
      <x:c r="Q978" s="66" t="b">
        <x:v>0</x:v>
      </x:c>
      <x:c r="R978" t="str">
        <x:v>Northwest Stadium</x:v>
      </x:c>
      <x:c r="S978" t="str">
        <x:v>FOX</x:v>
      </x:c>
      <x:c r="T978" t="str">
        <x:v>WSH -2.5</x:v>
      </x:c>
      <x:c r="U978" s="70" t="n">
        <x:v>-2.5</x:v>
      </x:c>
      <x:c r="V978" s="70" t="n">
        <x:v>48.5</x:v>
      </x:c>
      <x:c r="W978" t="str">
        <x:v>DraftKings</x:v>
      </x:c>
      <x:c r="X978" t="str">
        <x:v>https://www.espn.com/nfl/game/_/gameId/401872988</x:v>
      </x:c>
    </x:row>
    <x:row r="979">
      <x:c r="A979" t="str">
        <x:v>NFL</x:v>
      </x:c>
      <x:c r="B979" t="n">
        <x:v>5</x:v>
      </x:c>
      <x:c r="C979" s="68" t="n">
        <x:v>46306.836805555555</x:v>
      </x:c>
      <x:c r="D979" s="71" t="str">
        <x:v>pre</x:v>
      </x:c>
      <x:c r="E979" s="72" t="b">
        <x:v>0</x:v>
      </x:c>
      <x:c r="F979" t="str">
        <x:v>Denver Broncos</x:v>
      </x:c>
      <x:c r="G979" t="str">
        <x:v>DEN</x:v>
      </x:c>
      <x:c r="H979" s="69" t="n">
        <x:v>0</x:v>
      </x:c>
      <x:c r="I979" t="str">
        <x:v>1-1</x:v>
      </x:c>
      <x:c r="J979" t="str">
        <x:f>IF(E979&lt;&gt;TRUE,"",IF(H979&gt;M979,"W",IF(H979&lt;M979,"L","T")))</x:f>
      </x:c>
      <x:c r="K979" t="str">
        <x:v>Los Angeles Chargers</x:v>
      </x:c>
      <x:c r="L979" t="str">
        <x:v>LAC</x:v>
      </x:c>
      <x:c r="M979" s="69" t="n">
        <x:v>0</x:v>
      </x:c>
      <x:c r="N979" t="str">
        <x:v>0-2</x:v>
      </x:c>
      <x:c r="O979" t="str">
        <x:f>IF(E979&lt;&gt;TRUE,"",IF(M979&gt;H979,"W",IF(M979&lt;H979,"L","T")))</x:f>
      </x:c>
      <x:c r="P979" s="66" t="b">
        <x:v>0</x:v>
      </x:c>
      <x:c r="Q979" s="66" t="b">
        <x:v>0</x:v>
      </x:c>
      <x:c r="R979" t="str">
        <x:v>SoFi Stadium</x:v>
      </x:c>
      <x:c r="S979" t="str">
        <x:v>CBS</x:v>
      </x:c>
      <x:c r="T979" t="str">
        <x:v>LAC -2.5</x:v>
      </x:c>
      <x:c r="U979" s="70" t="n">
        <x:v>-2.5</x:v>
      </x:c>
      <x:c r="V979" s="70" t="n">
        <x:v>44.5</x:v>
      </x:c>
      <x:c r="W979" t="str">
        <x:v>DraftKings</x:v>
      </x:c>
      <x:c r="X979" t="str">
        <x:v>https://www.espn.com/nfl/game/_/gameId/401872989</x:v>
      </x:c>
    </x:row>
    <x:row r="980">
      <x:c r="A980" t="str">
        <x:v>NFL</x:v>
      </x:c>
      <x:c r="B980" t="n">
        <x:v>5</x:v>
      </x:c>
      <x:c r="C980" s="68" t="n">
        <x:v>46306.850694444445</x:v>
      </x:c>
      <x:c r="D980" s="71" t="str">
        <x:v>pre</x:v>
      </x:c>
      <x:c r="E980" s="72" t="b">
        <x:v>0</x:v>
      </x:c>
      <x:c r="F980" t="str">
        <x:v>Chicago Bears</x:v>
      </x:c>
      <x:c r="G980" t="str">
        <x:v>CHI</x:v>
      </x:c>
      <x:c r="H980" s="69" t="n">
        <x:v>0</x:v>
      </x:c>
      <x:c r="I980" t="str">
        <x:v>1-1</x:v>
      </x:c>
      <x:c r="J980" t="str">
        <x:f>IF(E980&lt;&gt;TRUE,"",IF(H980&gt;M980,"W",IF(H980&lt;M980,"L","T")))</x:f>
      </x:c>
      <x:c r="K980" t="str">
        <x:v>Green Bay Packers</x:v>
      </x:c>
      <x:c r="L980" t="str">
        <x:v>GB</x:v>
      </x:c>
      <x:c r="M980" s="69" t="n">
        <x:v>0</x:v>
      </x:c>
      <x:c r="N980" t="str">
        <x:v>1-1</x:v>
      </x:c>
      <x:c r="O980" t="str">
        <x:f>IF(E980&lt;&gt;TRUE,"",IF(M980&gt;H980,"W",IF(M980&lt;H980,"L","T")))</x:f>
      </x:c>
      <x:c r="P980" s="66" t="b">
        <x:v>0</x:v>
      </x:c>
      <x:c r="Q980" s="66" t="b">
        <x:v>0</x:v>
      </x:c>
      <x:c r="R980" t="str">
        <x:v>Lambeau Field</x:v>
      </x:c>
      <x:c r="S980" t="str">
        <x:v>FOX</x:v>
      </x:c>
      <x:c r="T980" t="str">
        <x:v>GB -3</x:v>
      </x:c>
      <x:c r="U980" s="70" t="n">
        <x:v>-3</x:v>
      </x:c>
      <x:c r="V980" s="70" t="n">
        <x:v>49.5</x:v>
      </x:c>
      <x:c r="W980" t="str">
        <x:v>DraftKings</x:v>
      </x:c>
      <x:c r="X980" t="str">
        <x:v>https://www.espn.com/nfl/game/_/gameId/401872990</x:v>
      </x:c>
    </x:row>
    <x:row r="981">
      <x:c r="A981" t="str">
        <x:v>NFL</x:v>
      </x:c>
      <x:c r="B981" t="n">
        <x:v>5</x:v>
      </x:c>
      <x:c r="C981" s="68" t="n">
        <x:v>46306.850694444445</x:v>
      </x:c>
      <x:c r="D981" s="71" t="str">
        <x:v>pre</x:v>
      </x:c>
      <x:c r="E981" s="72" t="b">
        <x:v>0</x:v>
      </x:c>
      <x:c r="F981" t="str">
        <x:v>Detroit Lions</x:v>
      </x:c>
      <x:c r="G981" t="str">
        <x:v>DET</x:v>
      </x:c>
      <x:c r="H981" s="69" t="n">
        <x:v>0</x:v>
      </x:c>
      <x:c r="I981" t="str">
        <x:v>1-1</x:v>
      </x:c>
      <x:c r="J981" t="str">
        <x:f>IF(E981&lt;&gt;TRUE,"",IF(H981&gt;M981,"W",IF(H981&lt;M981,"L","T")))</x:f>
      </x:c>
      <x:c r="K981" t="str">
        <x:v>Arizona Cardinals</x:v>
      </x:c>
      <x:c r="L981" t="str">
        <x:v>ARI</x:v>
      </x:c>
      <x:c r="M981" s="69" t="n">
        <x:v>0</x:v>
      </x:c>
      <x:c r="N981" t="str">
        <x:v>1-1</x:v>
      </x:c>
      <x:c r="O981" t="str">
        <x:f>IF(E981&lt;&gt;TRUE,"",IF(M981&gt;H981,"W",IF(M981&lt;H981,"L","T")))</x:f>
      </x:c>
      <x:c r="P981" s="66" t="b">
        <x:v>0</x:v>
      </x:c>
      <x:c r="Q981" s="66" t="b">
        <x:v>0</x:v>
      </x:c>
      <x:c r="R981" t="str">
        <x:v>State Farm Stadium</x:v>
      </x:c>
      <x:c r="S981" t="str">
        <x:v>FOX</x:v>
      </x:c>
      <x:c r="T981" t="str">
        <x:v>DET -8.5</x:v>
      </x:c>
      <x:c r="U981" s="70" t="n">
        <x:v>8.5</x:v>
      </x:c>
      <x:c r="V981" s="70" t="n">
        <x:v>48.5</x:v>
      </x:c>
      <x:c r="W981" t="str">
        <x:v>DraftKings</x:v>
      </x:c>
      <x:c r="X981" t="str">
        <x:v>https://www.espn.com/nfl/game/_/gameId/401872991</x:v>
      </x:c>
    </x:row>
    <x:row r="982">
      <x:c r="A982" t="str">
        <x:v>NFL</x:v>
      </x:c>
      <x:c r="B982" t="n">
        <x:v>5</x:v>
      </x:c>
      <x:c r="C982" s="68" t="n">
        <x:v>46306.850694444445</x:v>
      </x:c>
      <x:c r="D982" s="71" t="str">
        <x:v>pre</x:v>
      </x:c>
      <x:c r="E982" s="72" t="b">
        <x:v>0</x:v>
      </x:c>
      <x:c r="F982" t="str">
        <x:v>San Francisco 49ers</x:v>
      </x:c>
      <x:c r="G982" t="str">
        <x:v>SF</x:v>
      </x:c>
      <x:c r="H982" s="69" t="n">
        <x:v>0</x:v>
      </x:c>
      <x:c r="I982" t="str">
        <x:v>2-0</x:v>
      </x:c>
      <x:c r="J982" t="str">
        <x:f>IF(E982&lt;&gt;TRUE,"",IF(H982&gt;M982,"W",IF(H982&lt;M982,"L","T")))</x:f>
      </x:c>
      <x:c r="K982" t="str">
        <x:v>Seattle Seahawks</x:v>
      </x:c>
      <x:c r="L982" t="str">
        <x:v>SEA</x:v>
      </x:c>
      <x:c r="M982" s="69" t="n">
        <x:v>0</x:v>
      </x:c>
      <x:c r="N982" t="str">
        <x:v>2-0</x:v>
      </x:c>
      <x:c r="O982" t="str">
        <x:f>IF(E982&lt;&gt;TRUE,"",IF(M982&gt;H982,"W",IF(M982&lt;H982,"L","T")))</x:f>
      </x:c>
      <x:c r="P982" s="66" t="b">
        <x:v>0</x:v>
      </x:c>
      <x:c r="Q982" s="66" t="b">
        <x:v>0</x:v>
      </x:c>
      <x:c r="R982" t="str">
        <x:v>Lumen Field</x:v>
      </x:c>
      <x:c r="S982" t="str">
        <x:v>FOX</x:v>
      </x:c>
      <x:c r="T982" t="str">
        <x:v>SEA -3.5</x:v>
      </x:c>
      <x:c r="U982" s="70" t="n">
        <x:v>-3.5</x:v>
      </x:c>
      <x:c r="V982" s="70" t="n">
        <x:v>48.5</x:v>
      </x:c>
      <x:c r="W982" t="str">
        <x:v>DraftKings</x:v>
      </x:c>
      <x:c r="X982" t="str">
        <x:v>https://www.espn.com/nfl/game/_/gameId/401872992</x:v>
      </x:c>
    </x:row>
    <x:row r="983">
      <x:c r="A983" t="str">
        <x:v>NFL</x:v>
      </x:c>
      <x:c r="B983" t="n">
        <x:v>5</x:v>
      </x:c>
      <x:c r="C983" s="68" t="n">
        <x:v>46307.01388888889</x:v>
      </x:c>
      <x:c r="D983" s="71" t="str">
        <x:v>pre</x:v>
      </x:c>
      <x:c r="E983" s="72" t="b">
        <x:v>0</x:v>
      </x:c>
      <x:c r="F983" t="str">
        <x:v>Baltimore Ravens</x:v>
      </x:c>
      <x:c r="G983" t="str">
        <x:v>BAL</x:v>
      </x:c>
      <x:c r="H983" s="69" t="n">
        <x:v>0</x:v>
      </x:c>
      <x:c r="I983" t="str">
        <x:v>1-1</x:v>
      </x:c>
      <x:c r="J983" t="str">
        <x:f>IF(E983&lt;&gt;TRUE,"",IF(H983&gt;M983,"W",IF(H983&lt;M983,"L","T")))</x:f>
      </x:c>
      <x:c r="K983" t="str">
        <x:v>Atlanta Falcons</x:v>
      </x:c>
      <x:c r="L983" t="str">
        <x:v>ATL</x:v>
      </x:c>
      <x:c r="M983" s="69" t="n">
        <x:v>0</x:v>
      </x:c>
      <x:c r="N983" t="str">
        <x:v>0-2</x:v>
      </x:c>
      <x:c r="O983" t="str">
        <x:f>IF(E983&lt;&gt;TRUE,"",IF(M983&gt;H983,"W",IF(M983&lt;H983,"L","T")))</x:f>
      </x:c>
      <x:c r="P983" s="66" t="b">
        <x:v>0</x:v>
      </x:c>
      <x:c r="Q983" s="66" t="b">
        <x:v>0</x:v>
      </x:c>
      <x:c r="R983" t="str">
        <x:v>Mercedes-Benz Stadium</x:v>
      </x:c>
      <x:c r="S983" t="str">
        <x:v>NBC</x:v>
      </x:c>
      <x:c r="T983" t="str">
        <x:v>BAL -4.5</x:v>
      </x:c>
      <x:c r="U983" s="70" t="n">
        <x:v>4.5</x:v>
      </x:c>
      <x:c r="V983" s="70" t="n">
        <x:v>48.5</x:v>
      </x:c>
      <x:c r="W983" t="str">
        <x:v>DraftKings</x:v>
      </x:c>
      <x:c r="X983" t="str">
        <x:v>https://www.espn.com/nfl/game/_/gameId/401872993</x:v>
      </x:c>
    </x:row>
    <x:row r="984">
      <x:c r="A984" t="str">
        <x:v>NFL</x:v>
      </x:c>
      <x:c r="B984" t="n">
        <x:v>5</x:v>
      </x:c>
      <x:c r="C984" s="68" t="n">
        <x:v>46308.010416666664</x:v>
      </x:c>
      <x:c r="D984" s="71" t="str">
        <x:v>pre</x:v>
      </x:c>
      <x:c r="E984" s="72" t="b">
        <x:v>0</x:v>
      </x:c>
      <x:c r="F984" t="str">
        <x:v>Buffalo Bills</x:v>
      </x:c>
      <x:c r="G984" t="str">
        <x:v>BUF</x:v>
      </x:c>
      <x:c r="H984" s="69" t="n">
        <x:v>0</x:v>
      </x:c>
      <x:c r="I984" t="str">
        <x:v>2-0</x:v>
      </x:c>
      <x:c r="J984" t="str">
        <x:f>IF(E984&lt;&gt;TRUE,"",IF(H984&gt;M984,"W",IF(H984&lt;M984,"L","T")))</x:f>
      </x:c>
      <x:c r="K984" t="str">
        <x:v>Los Angeles Rams</x:v>
      </x:c>
      <x:c r="L984" t="str">
        <x:v>LAR</x:v>
      </x:c>
      <x:c r="M984" s="69" t="n">
        <x:v>0</x:v>
      </x:c>
      <x:c r="N984" t="str">
        <x:v>0-1</x:v>
      </x:c>
      <x:c r="O984" t="str">
        <x:f>IF(E984&lt;&gt;TRUE,"",IF(M984&gt;H984,"W",IF(M984&lt;H984,"L","T")))</x:f>
      </x:c>
      <x:c r="P984" s="66" t="b">
        <x:v>0</x:v>
      </x:c>
      <x:c r="Q984" s="66" t="b">
        <x:v>0</x:v>
      </x:c>
      <x:c r="R984" t="str">
        <x:v>SoFi Stadium</x:v>
      </x:c>
      <x:c r="S984" t="str">
        <x:v>ESPN / ABC</x:v>
      </x:c>
      <x:c r="T984" t="str">
        <x:v>LAR -3</x:v>
      </x:c>
      <x:c r="U984" s="70" t="n">
        <x:v>-3</x:v>
      </x:c>
      <x:c r="V984" s="70" t="n">
        <x:v>53.5</x:v>
      </x:c>
      <x:c r="W984" t="str">
        <x:v>DraftKings</x:v>
      </x:c>
      <x:c r="X984" t="str">
        <x:v>https://www.espn.com/nfl/game/_/gameId/401872994</x:v>
      </x:c>
    </x:row>
    <x:row r="985">
      <x:c r="A985" t="str">
        <x:v>NFL</x:v>
      </x:c>
      <x:c r="B985" t="n">
        <x:v>6</x:v>
      </x:c>
      <x:c r="C985" s="68" t="n">
        <x:v>46311.010416666664</x:v>
      </x:c>
      <x:c r="D985" s="71" t="str">
        <x:v>pre</x:v>
      </x:c>
      <x:c r="E985" s="72" t="b">
        <x:v>0</x:v>
      </x:c>
      <x:c r="F985" t="str">
        <x:v>Seattle Seahawks</x:v>
      </x:c>
      <x:c r="G985" t="str">
        <x:v>SEA</x:v>
      </x:c>
      <x:c r="H985" s="69" t="n">
        <x:v>0</x:v>
      </x:c>
      <x:c r="I985" t="str">
        <x:v>2-0</x:v>
      </x:c>
      <x:c r="J985" t="str">
        <x:f>IF(E985&lt;&gt;TRUE,"",IF(H985&gt;M985,"W",IF(H985&lt;M985,"L","T")))</x:f>
      </x:c>
      <x:c r="K985" t="str">
        <x:v>Denver Broncos</x:v>
      </x:c>
      <x:c r="L985" t="str">
        <x:v>DEN</x:v>
      </x:c>
      <x:c r="M985" s="69" t="n">
        <x:v>0</x:v>
      </x:c>
      <x:c r="N985" t="str">
        <x:v>1-1</x:v>
      </x:c>
      <x:c r="O985" t="str">
        <x:f>IF(E985&lt;&gt;TRUE,"",IF(M985&gt;H985,"W",IF(M985&lt;H985,"L","T")))</x:f>
      </x:c>
      <x:c r="P985" s="66" t="b">
        <x:v>0</x:v>
      </x:c>
      <x:c r="Q985" s="66" t="b">
        <x:v>0</x:v>
      </x:c>
      <x:c r="R985" t="str">
        <x:v>Empower Field at Mile High</x:v>
      </x:c>
      <x:c r="S985" t="str">
        <x:v>Prime Video</x:v>
      </x:c>
      <x:c r="T985" t="str">
        <x:v>SEA -1.5</x:v>
      </x:c>
      <x:c r="U985" s="70" t="n">
        <x:v>1.5</x:v>
      </x:c>
      <x:c r="V985" s="70" t="n">
        <x:v>43.5</x:v>
      </x:c>
      <x:c r="W985" t="str">
        <x:v>DraftKings</x:v>
      </x:c>
      <x:c r="X985" t="str">
        <x:v>https://www.espn.com/nfl/game/_/gameId/401872995</x:v>
      </x:c>
    </x:row>
    <x:row r="986">
      <x:c r="A986" t="str">
        <x:v>NFL</x:v>
      </x:c>
      <x:c r="B986" t="n">
        <x:v>6</x:v>
      </x:c>
      <x:c r="C986" s="68" t="n">
        <x:v>46313.5625</x:v>
      </x:c>
      <x:c r="D986" s="71" t="str">
        <x:v>pre</x:v>
      </x:c>
      <x:c r="E986" s="72" t="b">
        <x:v>0</x:v>
      </x:c>
      <x:c r="F986" t="str">
        <x:v>Houston Texans</x:v>
      </x:c>
      <x:c r="G986" t="str">
        <x:v>HOU</x:v>
      </x:c>
      <x:c r="H986" s="69" t="n">
        <x:v>0</x:v>
      </x:c>
      <x:c r="I986" t="str">
        <x:v>0-2</x:v>
      </x:c>
      <x:c r="J986" t="str">
        <x:f>IF(E986&lt;&gt;TRUE,"",IF(H986&gt;M986,"W",IF(H986&lt;M986,"L","T")))</x:f>
      </x:c>
      <x:c r="K986" t="str">
        <x:v>Jacksonville Jaguars</x:v>
      </x:c>
      <x:c r="L986" t="str">
        <x:v>JAX</x:v>
      </x:c>
      <x:c r="M986" s="69" t="n">
        <x:v>0</x:v>
      </x:c>
      <x:c r="N986" t="str">
        <x:v>1-1</x:v>
      </x:c>
      <x:c r="O986" t="str">
        <x:f>IF(E986&lt;&gt;TRUE,"",IF(M986&gt;H986,"W",IF(M986&lt;H986,"L","T")))</x:f>
      </x:c>
      <x:c r="P986" s="66" t="b">
        <x:v>1</x:v>
      </x:c>
      <x:c r="Q986" s="66" t="b">
        <x:v>0</x:v>
      </x:c>
      <x:c r="R986" t="str">
        <x:v>Wembley Stadium</x:v>
      </x:c>
      <x:c r="S986" t="str">
        <x:v>NFL Net</x:v>
      </x:c>
      <x:c r="T986" t="str">
        <x:v>JAX -1.5</x:v>
      </x:c>
      <x:c r="U986" s="70" t="n">
        <x:v>-1.5</x:v>
      </x:c>
      <x:c r="V986" s="70" t="n">
        <x:v>42.5</x:v>
      </x:c>
      <x:c r="W986" t="str">
        <x:v>DraftKings</x:v>
      </x:c>
      <x:c r="X986" t="str">
        <x:v>https://www.espn.com/nfl/game/_/gameId/401872996</x:v>
      </x:c>
    </x:row>
    <x:row r="987">
      <x:c r="A987" t="str">
        <x:v>NFL</x:v>
      </x:c>
      <x:c r="B987" t="n">
        <x:v>6</x:v>
      </x:c>
      <x:c r="C987" s="68" t="n">
        <x:v>46313.708333333336</x:v>
      </x:c>
      <x:c r="D987" s="71" t="str">
        <x:v>pre</x:v>
      </x:c>
      <x:c r="E987" s="72" t="b">
        <x:v>0</x:v>
      </x:c>
      <x:c r="F987" t="str">
        <x:v>Baltimore Ravens</x:v>
      </x:c>
      <x:c r="G987" t="str">
        <x:v>BAL</x:v>
      </x:c>
      <x:c r="H987" s="69" t="n">
        <x:v>0</x:v>
      </x:c>
      <x:c r="I987" t="str">
        <x:v>1-1</x:v>
      </x:c>
      <x:c r="J987" t="str">
        <x:f>IF(E987&lt;&gt;TRUE,"",IF(H987&gt;M987,"W",IF(H987&lt;M987,"L","T")))</x:f>
      </x:c>
      <x:c r="K987" t="str">
        <x:v>Cleveland Browns</x:v>
      </x:c>
      <x:c r="L987" t="str">
        <x:v>CLE</x:v>
      </x:c>
      <x:c r="M987" s="69" t="n">
        <x:v>0</x:v>
      </x:c>
      <x:c r="N987" t="str">
        <x:v>1-1</x:v>
      </x:c>
      <x:c r="O987" t="str">
        <x:f>IF(E987&lt;&gt;TRUE,"",IF(M987&gt;H987,"W",IF(M987&lt;H987,"L","T")))</x:f>
      </x:c>
      <x:c r="P987" s="66" t="b">
        <x:v>0</x:v>
      </x:c>
      <x:c r="Q987" s="66" t="b">
        <x:v>0</x:v>
      </x:c>
      <x:c r="R987" t="str">
        <x:v>Huntington Bank Field</x:v>
      </x:c>
      <x:c r="S987" t="str">
        <x:v>FOX</x:v>
      </x:c>
      <x:c r="T987" t="str">
        <x:v>BAL -6.5</x:v>
      </x:c>
      <x:c r="U987" s="70" t="n">
        <x:v>6.5</x:v>
      </x:c>
      <x:c r="V987" s="70" t="n">
        <x:v>44.5</x:v>
      </x:c>
      <x:c r="W987" t="str">
        <x:v>DraftKings</x:v>
      </x:c>
      <x:c r="X987" t="str">
        <x:v>https://www.espn.com/nfl/game/_/gameId/401872997</x:v>
      </x:c>
    </x:row>
    <x:row r="988">
      <x:c r="A988" t="str">
        <x:v>NFL</x:v>
      </x:c>
      <x:c r="B988" t="n">
        <x:v>6</x:v>
      </x:c>
      <x:c r="C988" s="68" t="n">
        <x:v>46313.708333333336</x:v>
      </x:c>
      <x:c r="D988" s="71" t="str">
        <x:v>pre</x:v>
      </x:c>
      <x:c r="E988" s="72" t="b">
        <x:v>0</x:v>
      </x:c>
      <x:c r="F988" t="str">
        <x:v>Carolina Panthers</x:v>
      </x:c>
      <x:c r="G988" t="str">
        <x:v>CAR</x:v>
      </x:c>
      <x:c r="H988" s="69" t="n">
        <x:v>0</x:v>
      </x:c>
      <x:c r="I988" t="str">
        <x:v>1-1</x:v>
      </x:c>
      <x:c r="J988" t="str">
        <x:f>IF(E988&lt;&gt;TRUE,"",IF(H988&gt;M988,"W",IF(H988&lt;M988,"L","T")))</x:f>
      </x:c>
      <x:c r="K988" t="str">
        <x:v>Philadelphia Eagles</x:v>
      </x:c>
      <x:c r="L988" t="str">
        <x:v>PHI</x:v>
      </x:c>
      <x:c r="M988" s="69" t="n">
        <x:v>0</x:v>
      </x:c>
      <x:c r="N988" t="str">
        <x:v>2-0</x:v>
      </x:c>
      <x:c r="O988" t="str">
        <x:f>IF(E988&lt;&gt;TRUE,"",IF(M988&gt;H988,"W",IF(M988&lt;H988,"L","T")))</x:f>
      </x:c>
      <x:c r="P988" s="66" t="b">
        <x:v>0</x:v>
      </x:c>
      <x:c r="Q988" s="66" t="b">
        <x:v>0</x:v>
      </x:c>
      <x:c r="R988" t="str">
        <x:v>Lincoln Financial Field</x:v>
      </x:c>
      <x:c r="S988" t="str">
        <x:v>CBS</x:v>
      </x:c>
      <x:c r="T988" t="str">
        <x:v>PHI -6.5</x:v>
      </x:c>
      <x:c r="U988" s="70" t="n">
        <x:v>-6.5</x:v>
      </x:c>
      <x:c r="V988" s="70" t="n">
        <x:v>43.5</x:v>
      </x:c>
      <x:c r="W988" t="str">
        <x:v>DraftKings</x:v>
      </x:c>
      <x:c r="X988" t="str">
        <x:v>https://www.espn.com/nfl/game/_/gameId/401872998</x:v>
      </x:c>
    </x:row>
    <x:row r="989">
      <x:c r="A989" t="str">
        <x:v>NFL</x:v>
      </x:c>
      <x:c r="B989" t="n">
        <x:v>6</x:v>
      </x:c>
      <x:c r="C989" s="68" t="n">
        <x:v>46313.708333333336</x:v>
      </x:c>
      <x:c r="D989" s="71" t="str">
        <x:v>pre</x:v>
      </x:c>
      <x:c r="E989" s="72" t="b">
        <x:v>0</x:v>
      </x:c>
      <x:c r="F989" t="str">
        <x:v>Chicago Bears</x:v>
      </x:c>
      <x:c r="G989" t="str">
        <x:v>CHI</x:v>
      </x:c>
      <x:c r="H989" s="69" t="n">
        <x:v>0</x:v>
      </x:c>
      <x:c r="I989" t="str">
        <x:v>1-1</x:v>
      </x:c>
      <x:c r="J989" t="str">
        <x:f>IF(E989&lt;&gt;TRUE,"",IF(H989&gt;M989,"W",IF(H989&lt;M989,"L","T")))</x:f>
      </x:c>
      <x:c r="K989" t="str">
        <x:v>Atlanta Falcons</x:v>
      </x:c>
      <x:c r="L989" t="str">
        <x:v>ATL</x:v>
      </x:c>
      <x:c r="M989" s="69" t="n">
        <x:v>0</x:v>
      </x:c>
      <x:c r="N989" t="str">
        <x:v>0-2</x:v>
      </x:c>
      <x:c r="O989" t="str">
        <x:f>IF(E989&lt;&gt;TRUE,"",IF(M989&gt;H989,"W",IF(M989&lt;H989,"L","T")))</x:f>
      </x:c>
      <x:c r="P989" s="66" t="b">
        <x:v>0</x:v>
      </x:c>
      <x:c r="Q989" s="66" t="b">
        <x:v>0</x:v>
      </x:c>
      <x:c r="R989" t="str">
        <x:v>Mercedes-Benz Stadium</x:v>
      </x:c>
      <x:c r="S989" t="str">
        <x:v>FOX</x:v>
      </x:c>
      <x:c r="T989" t="str">
        <x:v>CHI -3</x:v>
      </x:c>
      <x:c r="U989" s="70" t="n">
        <x:v>3</x:v>
      </x:c>
      <x:c r="V989" s="70" t="n">
        <x:v>47.5</x:v>
      </x:c>
      <x:c r="W989" t="str">
        <x:v>DraftKings</x:v>
      </x:c>
      <x:c r="X989" t="str">
        <x:v>https://www.espn.com/nfl/game/_/gameId/401872999</x:v>
      </x:c>
    </x:row>
    <x:row r="990">
      <x:c r="A990" t="str">
        <x:v>NFL</x:v>
      </x:c>
      <x:c r="B990" t="n">
        <x:v>6</x:v>
      </x:c>
      <x:c r="C990" s="68" t="n">
        <x:v>46313.708333333336</x:v>
      </x:c>
      <x:c r="D990" s="71" t="str">
        <x:v>pre</x:v>
      </x:c>
      <x:c r="E990" s="72" t="b">
        <x:v>0</x:v>
      </x:c>
      <x:c r="F990" t="str">
        <x:v>New Orleans Saints</x:v>
      </x:c>
      <x:c r="G990" t="str">
        <x:v>NO</x:v>
      </x:c>
      <x:c r="H990" s="69" t="n">
        <x:v>0</x:v>
      </x:c>
      <x:c r="I990" t="str">
        <x:v>1-1</x:v>
      </x:c>
      <x:c r="J990" t="str">
        <x:f>IF(E990&lt;&gt;TRUE,"",IF(H990&gt;M990,"W",IF(H990&lt;M990,"L","T")))</x:f>
      </x:c>
      <x:c r="K990" t="str">
        <x:v>New York Giants</x:v>
      </x:c>
      <x:c r="L990" t="str">
        <x:v>NYG</x:v>
      </x:c>
      <x:c r="M990" s="69" t="n">
        <x:v>0</x:v>
      </x:c>
      <x:c r="N990" t="str">
        <x:v>1-0</x:v>
      </x:c>
      <x:c r="O990" t="str">
        <x:f>IF(E990&lt;&gt;TRUE,"",IF(M990&gt;H990,"W",IF(M990&lt;H990,"L","T")))</x:f>
      </x:c>
      <x:c r="P990" s="66" t="b">
        <x:v>0</x:v>
      </x:c>
      <x:c r="Q990" s="66" t="b">
        <x:v>0</x:v>
      </x:c>
      <x:c r="R990" t="str">
        <x:v>MetLife Stadium</x:v>
      </x:c>
      <x:c r="S990" t="str">
        <x:v>FOX</x:v>
      </x:c>
      <x:c r="T990" t="str">
        <x:v>NYG -2.5</x:v>
      </x:c>
      <x:c r="U990" s="70" t="n">
        <x:v>-2.5</x:v>
      </x:c>
      <x:c r="V990" s="70" t="n">
        <x:v>44.5</x:v>
      </x:c>
      <x:c r="W990" t="str">
        <x:v>DraftKings</x:v>
      </x:c>
      <x:c r="X990" t="str">
        <x:v>https://www.espn.com/nfl/game/_/gameId/401873000</x:v>
      </x:c>
    </x:row>
    <x:row r="991">
      <x:c r="A991" t="str">
        <x:v>NFL</x:v>
      </x:c>
      <x:c r="B991" t="n">
        <x:v>6</x:v>
      </x:c>
      <x:c r="C991" s="68" t="n">
        <x:v>46313.708333333336</x:v>
      </x:c>
      <x:c r="D991" s="71" t="str">
        <x:v>pre</x:v>
      </x:c>
      <x:c r="E991" s="72" t="b">
        <x:v>0</x:v>
      </x:c>
      <x:c r="F991" t="str">
        <x:v>New York Jets</x:v>
      </x:c>
      <x:c r="G991" t="str">
        <x:v>NYJ</x:v>
      </x:c>
      <x:c r="H991" s="69" t="n">
        <x:v>0</x:v>
      </x:c>
      <x:c r="I991" t="str">
        <x:v>1-1</x:v>
      </x:c>
      <x:c r="J991" t="str">
        <x:f>IF(E991&lt;&gt;TRUE,"",IF(H991&gt;M991,"W",IF(H991&lt;M991,"L","T")))</x:f>
      </x:c>
      <x:c r="K991" t="str">
        <x:v>New England Patriots</x:v>
      </x:c>
      <x:c r="L991" t="str">
        <x:v>NE</x:v>
      </x:c>
      <x:c r="M991" s="69" t="n">
        <x:v>0</x:v>
      </x:c>
      <x:c r="N991" t="str">
        <x:v>1-1</x:v>
      </x:c>
      <x:c r="O991" t="str">
        <x:f>IF(E991&lt;&gt;TRUE,"",IF(M991&gt;H991,"W",IF(M991&lt;H991,"L","T")))</x:f>
      </x:c>
      <x:c r="P991" s="66" t="b">
        <x:v>0</x:v>
      </x:c>
      <x:c r="Q991" s="66" t="b">
        <x:v>0</x:v>
      </x:c>
      <x:c r="R991" t="str">
        <x:v>Gillette Stadium</x:v>
      </x:c>
      <x:c r="S991" t="str">
        <x:v>CBS</x:v>
      </x:c>
      <x:c r="T991" t="str">
        <x:v>NE -9.5</x:v>
      </x:c>
      <x:c r="U991" s="70" t="n">
        <x:v>-9.5</x:v>
      </x:c>
      <x:c r="V991" s="70" t="n">
        <x:v>42.5</x:v>
      </x:c>
      <x:c r="W991" t="str">
        <x:v>DraftKings</x:v>
      </x:c>
      <x:c r="X991" t="str">
        <x:v>https://www.espn.com/nfl/game/_/gameId/401873001</x:v>
      </x:c>
    </x:row>
    <x:row r="992">
      <x:c r="A992" t="str">
        <x:v>NFL</x:v>
      </x:c>
      <x:c r="B992" t="n">
        <x:v>6</x:v>
      </x:c>
      <x:c r="C992" s="68" t="n">
        <x:v>46313.708333333336</x:v>
      </x:c>
      <x:c r="D992" s="71" t="str">
        <x:v>pre</x:v>
      </x:c>
      <x:c r="E992" s="72" t="b">
        <x:v>0</x:v>
      </x:c>
      <x:c r="F992" t="str">
        <x:v>Pittsburgh Steelers</x:v>
      </x:c>
      <x:c r="G992" t="str">
        <x:v>PIT</x:v>
      </x:c>
      <x:c r="H992" s="69" t="n">
        <x:v>0</x:v>
      </x:c>
      <x:c r="I992" t="str">
        <x:v>1-1</x:v>
      </x:c>
      <x:c r="J992" t="str">
        <x:f>IF(E992&lt;&gt;TRUE,"",IF(H992&gt;M992,"W",IF(H992&lt;M992,"L","T")))</x:f>
      </x:c>
      <x:c r="K992" t="str">
        <x:v>Tampa Bay Buccaneers</x:v>
      </x:c>
      <x:c r="L992" t="str">
        <x:v>TB</x:v>
      </x:c>
      <x:c r="M992" s="69" t="n">
        <x:v>0</x:v>
      </x:c>
      <x:c r="N992" t="str">
        <x:v>0-2</x:v>
      </x:c>
      <x:c r="O992" t="str">
        <x:f>IF(E992&lt;&gt;TRUE,"",IF(M992&gt;H992,"W",IF(M992&lt;H992,"L","T")))</x:f>
      </x:c>
      <x:c r="P992" s="66" t="b">
        <x:v>0</x:v>
      </x:c>
      <x:c r="Q992" s="66" t="b">
        <x:v>0</x:v>
      </x:c>
      <x:c r="R992" t="str">
        <x:v>Raymond James Stadium</x:v>
      </x:c>
      <x:c r="S992" t="str">
        <x:v>CBS</x:v>
      </x:c>
      <x:c r="T992" t="str">
        <x:v>TB -1.5</x:v>
      </x:c>
      <x:c r="U992" s="70" t="n">
        <x:v>-1.5</x:v>
      </x:c>
      <x:c r="V992" s="70" t="n">
        <x:v>45.5</x:v>
      </x:c>
      <x:c r="W992" t="str">
        <x:v>DraftKings</x:v>
      </x:c>
      <x:c r="X992" t="str">
        <x:v>https://www.espn.com/nfl/game/_/gameId/401873002</x:v>
      </x:c>
    </x:row>
    <x:row r="993">
      <x:c r="A993" t="str">
        <x:v>NFL</x:v>
      </x:c>
      <x:c r="B993" t="n">
        <x:v>6</x:v>
      </x:c>
      <x:c r="C993" s="68" t="n">
        <x:v>46313.708333333336</x:v>
      </x:c>
      <x:c r="D993" s="71" t="str">
        <x:v>pre</x:v>
      </x:c>
      <x:c r="E993" s="72" t="b">
        <x:v>0</x:v>
      </x:c>
      <x:c r="F993" t="str">
        <x:v>Tennessee Titans</x:v>
      </x:c>
      <x:c r="G993" t="str">
        <x:v>TEN</x:v>
      </x:c>
      <x:c r="H993" s="69" t="n">
        <x:v>0</x:v>
      </x:c>
      <x:c r="I993" t="str">
        <x:v>0-2</x:v>
      </x:c>
      <x:c r="J993" t="str">
        <x:f>IF(E993&lt;&gt;TRUE,"",IF(H993&gt;M993,"W",IF(H993&lt;M993,"L","T")))</x:f>
      </x:c>
      <x:c r="K993" t="str">
        <x:v>Indianapolis Colts</x:v>
      </x:c>
      <x:c r="L993" t="str">
        <x:v>IND</x:v>
      </x:c>
      <x:c r="M993" s="69" t="n">
        <x:v>0</x:v>
      </x:c>
      <x:c r="N993" t="str">
        <x:v>0-2</x:v>
      </x:c>
      <x:c r="O993" t="str">
        <x:f>IF(E993&lt;&gt;TRUE,"",IF(M993&gt;H993,"W",IF(M993&lt;H993,"L","T")))</x:f>
      </x:c>
      <x:c r="P993" s="66" t="b">
        <x:v>0</x:v>
      </x:c>
      <x:c r="Q993" s="66" t="b">
        <x:v>0</x:v>
      </x:c>
      <x:c r="R993" t="str">
        <x:v>Lucas Oil Stadium</x:v>
      </x:c>
      <x:c r="S993" t="str">
        <x:v>FOX</x:v>
      </x:c>
      <x:c r="T993" t="str">
        <x:v>IND -3.5</x:v>
      </x:c>
      <x:c r="U993" s="70" t="n">
        <x:v>-3.5</x:v>
      </x:c>
      <x:c r="V993" s="70" t="n">
        <x:v>47.5</x:v>
      </x:c>
      <x:c r="W993" t="str">
        <x:v>DraftKings</x:v>
      </x:c>
      <x:c r="X993" t="str">
        <x:v>https://www.espn.com/nfl/game/_/gameId/401873003</x:v>
      </x:c>
    </x:row>
    <x:row r="994">
      <x:c r="A994" t="str">
        <x:v>NFL</x:v>
      </x:c>
      <x:c r="B994" t="n">
        <x:v>6</x:v>
      </x:c>
      <x:c r="C994" s="68" t="n">
        <x:v>46313.836805555555</x:v>
      </x:c>
      <x:c r="D994" s="71" t="str">
        <x:v>pre</x:v>
      </x:c>
      <x:c r="E994" s="72" t="b">
        <x:v>0</x:v>
      </x:c>
      <x:c r="F994" t="str">
        <x:v>Arizona Cardinals</x:v>
      </x:c>
      <x:c r="G994" t="str">
        <x:v>ARI</x:v>
      </x:c>
      <x:c r="H994" s="69" t="n">
        <x:v>0</x:v>
      </x:c>
      <x:c r="I994" t="str">
        <x:v>1-1</x:v>
      </x:c>
      <x:c r="J994" t="str">
        <x:f>IF(E994&lt;&gt;TRUE,"",IF(H994&gt;M994,"W",IF(H994&lt;M994,"L","T")))</x:f>
      </x:c>
      <x:c r="K994" t="str">
        <x:v>Los Angeles Rams</x:v>
      </x:c>
      <x:c r="L994" t="str">
        <x:v>LAR</x:v>
      </x:c>
      <x:c r="M994" s="69" t="n">
        <x:v>0</x:v>
      </x:c>
      <x:c r="N994" t="str">
        <x:v>0-1</x:v>
      </x:c>
      <x:c r="O994" t="str">
        <x:f>IF(E994&lt;&gt;TRUE,"",IF(M994&gt;H994,"W",IF(M994&lt;H994,"L","T")))</x:f>
      </x:c>
      <x:c r="P994" s="66" t="b">
        <x:v>0</x:v>
      </x:c>
      <x:c r="Q994" s="66" t="b">
        <x:v>0</x:v>
      </x:c>
      <x:c r="R994" t="str">
        <x:v>SoFi Stadium</x:v>
      </x:c>
      <x:c r="S994" t="str">
        <x:v>FOX</x:v>
      </x:c>
      <x:c r="T994" t="str">
        <x:v>LAR -13.5</x:v>
      </x:c>
      <x:c r="U994" s="70" t="n">
        <x:v>-13.5</x:v>
      </x:c>
      <x:c r="V994" s="70" t="n">
        <x:v>47.5</x:v>
      </x:c>
      <x:c r="W994" t="str">
        <x:v>DraftKings</x:v>
      </x:c>
      <x:c r="X994" t="str">
        <x:v>https://www.espn.com/nfl/game/_/gameId/401873004</x:v>
      </x:c>
    </x:row>
    <x:row r="995">
      <x:c r="A995" t="str">
        <x:v>NFL</x:v>
      </x:c>
      <x:c r="B995" t="n">
        <x:v>6</x:v>
      </x:c>
      <x:c r="C995" s="68" t="n">
        <x:v>46313.850694444445</x:v>
      </x:c>
      <x:c r="D995" s="71" t="str">
        <x:v>pre</x:v>
      </x:c>
      <x:c r="E995" s="72" t="b">
        <x:v>0</x:v>
      </x:c>
      <x:c r="F995" t="str">
        <x:v>Buffalo Bills</x:v>
      </x:c>
      <x:c r="G995" t="str">
        <x:v>BUF</x:v>
      </x:c>
      <x:c r="H995" s="69" t="n">
        <x:v>0</x:v>
      </x:c>
      <x:c r="I995" t="str">
        <x:v>2-0</x:v>
      </x:c>
      <x:c r="J995" t="str">
        <x:f>IF(E995&lt;&gt;TRUE,"",IF(H995&gt;M995,"W",IF(H995&lt;M995,"L","T")))</x:f>
      </x:c>
      <x:c r="K995" t="str">
        <x:v>Las Vegas Raiders</x:v>
      </x:c>
      <x:c r="L995" t="str">
        <x:v>LV</x:v>
      </x:c>
      <x:c r="M995" s="69" t="n">
        <x:v>0</x:v>
      </x:c>
      <x:c r="N995" t="str">
        <x:v>2-0</x:v>
      </x:c>
      <x:c r="O995" t="str">
        <x:f>IF(E995&lt;&gt;TRUE,"",IF(M995&gt;H995,"W",IF(M995&lt;H995,"L","T")))</x:f>
      </x:c>
      <x:c r="P995" s="66" t="b">
        <x:v>0</x:v>
      </x:c>
      <x:c r="Q995" s="66" t="b">
        <x:v>0</x:v>
      </x:c>
      <x:c r="R995" t="str">
        <x:v>Allegiant Stadium</x:v>
      </x:c>
      <x:c r="S995" t="str">
        <x:v>CBS</x:v>
      </x:c>
      <x:c r="T995" t="str">
        <x:v>BUF -6.5</x:v>
      </x:c>
      <x:c r="U995" s="70" t="n">
        <x:v>6.5</x:v>
      </x:c>
      <x:c r="V995" s="70" t="n">
        <x:v>47.5</x:v>
      </x:c>
      <x:c r="W995" t="str">
        <x:v>DraftKings</x:v>
      </x:c>
      <x:c r="X995" t="str">
        <x:v>https://www.espn.com/nfl/game/_/gameId/401873005</x:v>
      </x:c>
    </x:row>
    <x:row r="996">
      <x:c r="A996" t="str">
        <x:v>NFL</x:v>
      </x:c>
      <x:c r="B996" t="n">
        <x:v>6</x:v>
      </x:c>
      <x:c r="C996" s="68" t="n">
        <x:v>46313.850694444445</x:v>
      </x:c>
      <x:c r="D996" s="71" t="str">
        <x:v>pre</x:v>
      </x:c>
      <x:c r="E996" s="72" t="b">
        <x:v>0</x:v>
      </x:c>
      <x:c r="F996" t="str">
        <x:v>Los Angeles Chargers</x:v>
      </x:c>
      <x:c r="G996" t="str">
        <x:v>LAC</x:v>
      </x:c>
      <x:c r="H996" s="69" t="n">
        <x:v>0</x:v>
      </x:c>
      <x:c r="I996" t="str">
        <x:v>0-2</x:v>
      </x:c>
      <x:c r="J996" t="str">
        <x:f>IF(E996&lt;&gt;TRUE,"",IF(H996&gt;M996,"W",IF(H996&lt;M996,"L","T")))</x:f>
      </x:c>
      <x:c r="K996" t="str">
        <x:v>Kansas City Chiefs</x:v>
      </x:c>
      <x:c r="L996" t="str">
        <x:v>KC</x:v>
      </x:c>
      <x:c r="M996" s="69" t="n">
        <x:v>0</x:v>
      </x:c>
      <x:c r="N996" t="str">
        <x:v>2-0</x:v>
      </x:c>
      <x:c r="O996" t="str">
        <x:f>IF(E996&lt;&gt;TRUE,"",IF(M996&gt;H996,"W",IF(M996&lt;H996,"L","T")))</x:f>
      </x:c>
      <x:c r="P996" s="66" t="b">
        <x:v>0</x:v>
      </x:c>
      <x:c r="Q996" s="66" t="b">
        <x:v>0</x:v>
      </x:c>
      <x:c r="R996" t="str">
        <x:v>Arrowhead Stadium</x:v>
      </x:c>
      <x:c r="S996" t="str">
        <x:v>CBS</x:v>
      </x:c>
      <x:c r="T996" t="str">
        <x:v>KC -2.5</x:v>
      </x:c>
      <x:c r="U996" s="70" t="n">
        <x:v>-2.5</x:v>
      </x:c>
      <x:c r="V996" s="70" t="n">
        <x:v>46.5</x:v>
      </x:c>
      <x:c r="W996" t="str">
        <x:v>DraftKings</x:v>
      </x:c>
      <x:c r="X996" t="str">
        <x:v>https://www.espn.com/nfl/game/_/gameId/401873006</x:v>
      </x:c>
    </x:row>
    <x:row r="997">
      <x:c r="A997" t="str">
        <x:v>NFL</x:v>
      </x:c>
      <x:c r="B997" t="n">
        <x:v>6</x:v>
      </x:c>
      <x:c r="C997" s="68" t="n">
        <x:v>46314.01388888889</x:v>
      </x:c>
      <x:c r="D997" s="71" t="str">
        <x:v>pre</x:v>
      </x:c>
      <x:c r="E997" s="72" t="b">
        <x:v>0</x:v>
      </x:c>
      <x:c r="F997" t="str">
        <x:v>Dallas Cowboys</x:v>
      </x:c>
      <x:c r="G997" t="str">
        <x:v>DAL</x:v>
      </x:c>
      <x:c r="H997" s="69" t="n">
        <x:v>0</x:v>
      </x:c>
      <x:c r="I997" t="str">
        <x:v>1-1</x:v>
      </x:c>
      <x:c r="J997" t="str">
        <x:f>IF(E997&lt;&gt;TRUE,"",IF(H997&gt;M997,"W",IF(H997&lt;M997,"L","T")))</x:f>
      </x:c>
      <x:c r="K997" t="str">
        <x:v>Green Bay Packers</x:v>
      </x:c>
      <x:c r="L997" t="str">
        <x:v>GB</x:v>
      </x:c>
      <x:c r="M997" s="69" t="n">
        <x:v>0</x:v>
      </x:c>
      <x:c r="N997" t="str">
        <x:v>1-1</x:v>
      </x:c>
      <x:c r="O997" t="str">
        <x:f>IF(E997&lt;&gt;TRUE,"",IF(M997&gt;H997,"W",IF(M997&lt;H997,"L","T")))</x:f>
      </x:c>
      <x:c r="P997" s="66" t="b">
        <x:v>0</x:v>
      </x:c>
      <x:c r="Q997" s="66" t="b">
        <x:v>0</x:v>
      </x:c>
      <x:c r="R997" t="str">
        <x:v>Lambeau Field</x:v>
      </x:c>
      <x:c r="S997" t="str">
        <x:v>NBC</x:v>
      </x:c>
      <x:c r="T997" t="str">
        <x:v>GB -3</x:v>
      </x:c>
      <x:c r="U997" s="70" t="n">
        <x:v>-3</x:v>
      </x:c>
      <x:c r="V997" s="70" t="n">
        <x:v>51.5</x:v>
      </x:c>
      <x:c r="W997" t="str">
        <x:v>DraftKings</x:v>
      </x:c>
      <x:c r="X997" t="str">
        <x:v>https://www.espn.com/nfl/game/_/gameId/401873007</x:v>
      </x:c>
    </x:row>
    <x:row r="998">
      <x:c r="A998" t="str">
        <x:v>NFL</x:v>
      </x:c>
      <x:c r="B998" t="n">
        <x:v>6</x:v>
      </x:c>
      <x:c r="C998" s="68" t="n">
        <x:v>46315.010416666664</x:v>
      </x:c>
      <x:c r="D998" s="71" t="str">
        <x:v>pre</x:v>
      </x:c>
      <x:c r="E998" s="72" t="b">
        <x:v>0</x:v>
      </x:c>
      <x:c r="F998" t="str">
        <x:v>Washington Commanders</x:v>
      </x:c>
      <x:c r="G998" t="str">
        <x:v>WSH</x:v>
      </x:c>
      <x:c r="H998" s="69" t="n">
        <x:v>0</x:v>
      </x:c>
      <x:c r="I998" t="str">
        <x:v>0-2</x:v>
      </x:c>
      <x:c r="J998" t="str">
        <x:f>IF(E998&lt;&gt;TRUE,"",IF(H998&gt;M998,"W",IF(H998&lt;M998,"L","T")))</x:f>
      </x:c>
      <x:c r="K998" t="str">
        <x:v>San Francisco 49ers</x:v>
      </x:c>
      <x:c r="L998" t="str">
        <x:v>SF</x:v>
      </x:c>
      <x:c r="M998" s="69" t="n">
        <x:v>0</x:v>
      </x:c>
      <x:c r="N998" t="str">
        <x:v>2-0</x:v>
      </x:c>
      <x:c r="O998" t="str">
        <x:f>IF(E998&lt;&gt;TRUE,"",IF(M998&gt;H998,"W",IF(M998&lt;H998,"L","T")))</x:f>
      </x:c>
      <x:c r="P998" s="66" t="b">
        <x:v>0</x:v>
      </x:c>
      <x:c r="Q998" s="66" t="b">
        <x:v>0</x:v>
      </x:c>
      <x:c r="R998" t="str">
        <x:v>Levi's Stadium</x:v>
      </x:c>
      <x:c r="S998" t="str">
        <x:v>ESPN / ABC</x:v>
      </x:c>
      <x:c r="T998" t="str">
        <x:v>SF -5.5</x:v>
      </x:c>
      <x:c r="U998" s="70" t="n">
        <x:v>-5.5</x:v>
      </x:c>
      <x:c r="V998" s="70" t="n">
        <x:v>50.5</x:v>
      </x:c>
      <x:c r="W998" t="str">
        <x:v>DraftKings</x:v>
      </x:c>
      <x:c r="X998" t="str">
        <x:v>https://www.espn.com/nfl/game/_/gameId/401873008</x:v>
      </x:c>
    </x:row>
    <x:row r="999">
      <x:c r="A999" t="str">
        <x:v>NFL</x:v>
      </x:c>
      <x:c r="B999" t="n">
        <x:v>7</x:v>
      </x:c>
      <x:c r="C999" s="68" t="n">
        <x:v>46318.010416666664</x:v>
      </x:c>
      <x:c r="D999" s="71" t="str">
        <x:v>pre</x:v>
      </x:c>
      <x:c r="E999" s="72" t="b">
        <x:v>0</x:v>
      </x:c>
      <x:c r="F999" t="str">
        <x:v>New England Patriots</x:v>
      </x:c>
      <x:c r="G999" t="str">
        <x:v>NE</x:v>
      </x:c>
      <x:c r="H999" s="69" t="n">
        <x:v>0</x:v>
      </x:c>
      <x:c r="I999" t="str">
        <x:v>1-1</x:v>
      </x:c>
      <x:c r="J999" t="str">
        <x:f>IF(E999&lt;&gt;TRUE,"",IF(H999&gt;M999,"W",IF(H999&lt;M999,"L","T")))</x:f>
      </x:c>
      <x:c r="K999" t="str">
        <x:v>Chicago Bears</x:v>
      </x:c>
      <x:c r="L999" t="str">
        <x:v>CHI</x:v>
      </x:c>
      <x:c r="M999" s="69" t="n">
        <x:v>0</x:v>
      </x:c>
      <x:c r="N999" t="str">
        <x:v>1-1</x:v>
      </x:c>
      <x:c r="O999" t="str">
        <x:f>IF(E999&lt;&gt;TRUE,"",IF(M999&gt;H999,"W",IF(M999&lt;H999,"L","T")))</x:f>
      </x:c>
      <x:c r="P999" s="66" t="b">
        <x:v>0</x:v>
      </x:c>
      <x:c r="Q999" s="66" t="b">
        <x:v>0</x:v>
      </x:c>
      <x:c r="R999" t="str">
        <x:v>Soldier Field</x:v>
      </x:c>
      <x:c r="S999" t="str">
        <x:v>Prime Video</x:v>
      </x:c>
      <x:c r="T999" t="str">
        <x:v>CHI -1.5</x:v>
      </x:c>
      <x:c r="U999" s="70" t="n">
        <x:v>-1.5</x:v>
      </x:c>
      <x:c r="V999" s="70" t="n">
        <x:v>47.5</x:v>
      </x:c>
      <x:c r="W999" t="str">
        <x:v>DraftKings</x:v>
      </x:c>
      <x:c r="X999" t="str">
        <x:v>https://www.espn.com/nfl/game/_/gameId/401873010</x:v>
      </x:c>
    </x:row>
    <x:row r="1000">
      <x:c r="A1000" t="str">
        <x:v>NFL</x:v>
      </x:c>
      <x:c r="B1000" t="n">
        <x:v>7</x:v>
      </x:c>
      <x:c r="C1000" s="68" t="n">
        <x:v>46320.5625</x:v>
      </x:c>
      <x:c r="D1000" s="71" t="str">
        <x:v>pre</x:v>
      </x:c>
      <x:c r="E1000" s="72" t="b">
        <x:v>0</x:v>
      </x:c>
      <x:c r="F1000" t="str">
        <x:v>Pittsburgh Steelers</x:v>
      </x:c>
      <x:c r="G1000" t="str">
        <x:v>PIT</x:v>
      </x:c>
      <x:c r="H1000" s="69" t="n">
        <x:v>0</x:v>
      </x:c>
      <x:c r="I1000" t="str">
        <x:v>1-1</x:v>
      </x:c>
      <x:c r="J1000" t="str">
        <x:f>IF(E1000&lt;&gt;TRUE,"",IF(H1000&gt;M1000,"W",IF(H1000&lt;M1000,"L","T")))</x:f>
      </x:c>
      <x:c r="K1000" t="str">
        <x:v>New Orleans Saints</x:v>
      </x:c>
      <x:c r="L1000" t="str">
        <x:v>NO</x:v>
      </x:c>
      <x:c r="M1000" s="69" t="n">
        <x:v>0</x:v>
      </x:c>
      <x:c r="N1000" t="str">
        <x:v>1-1</x:v>
      </x:c>
      <x:c r="O1000" t="str">
        <x:f>IF(E1000&lt;&gt;TRUE,"",IF(M1000&gt;H1000,"W",IF(M1000&lt;H1000,"L","T")))</x:f>
      </x:c>
      <x:c r="P1000" s="66" t="b">
        <x:v>1</x:v>
      </x:c>
      <x:c r="Q1000" s="66" t="b">
        <x:v>0</x:v>
      </x:c>
      <x:c r="R1000" t="str">
        <x:v>Stade de France</x:v>
      </x:c>
      <x:c r="S1000" t="str">
        <x:v>NFL Net</x:v>
      </x:c>
      <x:c r="T1000" t="str">
        <x:v>PIT -2.5</x:v>
      </x:c>
      <x:c r="U1000" s="70" t="n">
        <x:v>2.5</x:v>
      </x:c>
      <x:c r="V1000" s="70" t="n">
        <x:v>42.5</x:v>
      </x:c>
      <x:c r="W1000" t="str">
        <x:v>DraftKings</x:v>
      </x:c>
      <x:c r="X1000" t="str">
        <x:v>https://www.espn.com/nfl/game/_/gameId/401873011</x:v>
      </x:c>
    </x:row>
    <x:row r="1001">
      <x:c r="A1001" t="str">
        <x:v>NFL</x:v>
      </x:c>
      <x:c r="B1001" t="n">
        <x:v>7</x:v>
      </x:c>
      <x:c r="C1001" s="68" t="n">
        <x:v>46320.708333333336</x:v>
      </x:c>
      <x:c r="D1001" s="71" t="str">
        <x:v>pre</x:v>
      </x:c>
      <x:c r="E1001" s="72" t="b">
        <x:v>0</x:v>
      </x:c>
      <x:c r="F1001" t="str">
        <x:v>Cincinnati Bengals</x:v>
      </x:c>
      <x:c r="G1001" t="str">
        <x:v>CIN</x:v>
      </x:c>
      <x:c r="H1001" s="69" t="n">
        <x:v>0</x:v>
      </x:c>
      <x:c r="I1001" t="str">
        <x:v>2-0</x:v>
      </x:c>
      <x:c r="J1001" t="str">
        <x:f>IF(E1001&lt;&gt;TRUE,"",IF(H1001&gt;M1001,"W",IF(H1001&lt;M1001,"L","T")))</x:f>
      </x:c>
      <x:c r="K1001" t="str">
        <x:v>Baltimore Ravens</x:v>
      </x:c>
      <x:c r="L1001" t="str">
        <x:v>BAL</x:v>
      </x:c>
      <x:c r="M1001" s="69" t="n">
        <x:v>0</x:v>
      </x:c>
      <x:c r="N1001" t="str">
        <x:v>1-1</x:v>
      </x:c>
      <x:c r="O1001" t="str">
        <x:f>IF(E1001&lt;&gt;TRUE,"",IF(M1001&gt;H1001,"W",IF(M1001&lt;H1001,"L","T")))</x:f>
      </x:c>
      <x:c r="P1001" s="66" t="b">
        <x:v>0</x:v>
      </x:c>
      <x:c r="Q1001" s="66" t="b">
        <x:v>0</x:v>
      </x:c>
      <x:c r="R1001" t="str">
        <x:v>M&amp;T Bank Stadium</x:v>
      </x:c>
      <x:c r="S1001" t="str">
        <x:v>CBS</x:v>
      </x:c>
      <x:c r="T1001" t="str">
        <x:v>BAL -3.5</x:v>
      </x:c>
      <x:c r="U1001" s="70" t="n">
        <x:v>-3.5</x:v>
      </x:c>
      <x:c r="V1001" s="70" t="n">
        <x:v>51.5</x:v>
      </x:c>
      <x:c r="W1001" t="str">
        <x:v>DraftKings</x:v>
      </x:c>
      <x:c r="X1001" t="str">
        <x:v>https://www.espn.com/nfl/game/_/gameId/401873012</x:v>
      </x:c>
    </x:row>
    <x:row r="1002">
      <x:c r="A1002" t="str">
        <x:v>NFL</x:v>
      </x:c>
      <x:c r="B1002" t="n">
        <x:v>7</x:v>
      </x:c>
      <x:c r="C1002" s="68" t="n">
        <x:v>46320.708333333336</x:v>
      </x:c>
      <x:c r="D1002" s="71" t="str">
        <x:v>pre</x:v>
      </x:c>
      <x:c r="E1002" s="72" t="b">
        <x:v>0</x:v>
      </x:c>
      <x:c r="F1002" t="str">
        <x:v>Cleveland Browns</x:v>
      </x:c>
      <x:c r="G1002" t="str">
        <x:v>CLE</x:v>
      </x:c>
      <x:c r="H1002" s="69" t="n">
        <x:v>0</x:v>
      </x:c>
      <x:c r="I1002" t="str">
        <x:v>1-1</x:v>
      </x:c>
      <x:c r="J1002" t="str">
        <x:f>IF(E1002&lt;&gt;TRUE,"",IF(H1002&gt;M1002,"W",IF(H1002&lt;M1002,"L","T")))</x:f>
      </x:c>
      <x:c r="K1002" t="str">
        <x:v>Tennessee Titans</x:v>
      </x:c>
      <x:c r="L1002" t="str">
        <x:v>TEN</x:v>
      </x:c>
      <x:c r="M1002" s="69" t="n">
        <x:v>0</x:v>
      </x:c>
      <x:c r="N1002" t="str">
        <x:v>0-2</x:v>
      </x:c>
      <x:c r="O1002" t="str">
        <x:f>IF(E1002&lt;&gt;TRUE,"",IF(M1002&gt;H1002,"W",IF(M1002&lt;H1002,"L","T")))</x:f>
      </x:c>
      <x:c r="P1002" s="66" t="b">
        <x:v>0</x:v>
      </x:c>
      <x:c r="Q1002" s="66" t="b">
        <x:v>0</x:v>
      </x:c>
      <x:c r="R1002" t="str">
        <x:v>Nissan Stadium</x:v>
      </x:c>
      <x:c r="S1002" t="str">
        <x:v>CBS</x:v>
      </x:c>
      <x:c r="T1002" t="str">
        <x:v>TEN -2.5</x:v>
      </x:c>
      <x:c r="U1002" s="70" t="n">
        <x:v>-2.5</x:v>
      </x:c>
      <x:c r="V1002" s="70" t="n">
        <x:v>40.5</x:v>
      </x:c>
      <x:c r="W1002" t="str">
        <x:v>DraftKings</x:v>
      </x:c>
      <x:c r="X1002" t="str">
        <x:v>https://www.espn.com/nfl/game/_/gameId/401873013</x:v>
      </x:c>
    </x:row>
    <x:row r="1003">
      <x:c r="A1003" t="str">
        <x:v>NFL</x:v>
      </x:c>
      <x:c r="B1003" t="n">
        <x:v>7</x:v>
      </x:c>
      <x:c r="C1003" s="68" t="n">
        <x:v>46320.708333333336</x:v>
      </x:c>
      <x:c r="D1003" s="71" t="str">
        <x:v>pre</x:v>
      </x:c>
      <x:c r="E1003" s="72" t="b">
        <x:v>0</x:v>
      </x:c>
      <x:c r="F1003" t="str">
        <x:v>Indianapolis Colts</x:v>
      </x:c>
      <x:c r="G1003" t="str">
        <x:v>IND</x:v>
      </x:c>
      <x:c r="H1003" s="69" t="n">
        <x:v>0</x:v>
      </x:c>
      <x:c r="I1003" t="str">
        <x:v>0-2</x:v>
      </x:c>
      <x:c r="J1003" t="str">
        <x:f>IF(E1003&lt;&gt;TRUE,"",IF(H1003&gt;M1003,"W",IF(H1003&lt;M1003,"L","T")))</x:f>
      </x:c>
      <x:c r="K1003" t="str">
        <x:v>Minnesota Vikings</x:v>
      </x:c>
      <x:c r="L1003" t="str">
        <x:v>MIN</x:v>
      </x:c>
      <x:c r="M1003" s="69" t="n">
        <x:v>0</x:v>
      </x:c>
      <x:c r="N1003" t="str">
        <x:v>2-0</x:v>
      </x:c>
      <x:c r="O1003" t="str">
        <x:f>IF(E1003&lt;&gt;TRUE,"",IF(M1003&gt;H1003,"W",IF(M1003&lt;H1003,"L","T")))</x:f>
      </x:c>
      <x:c r="P1003" s="66" t="b">
        <x:v>0</x:v>
      </x:c>
      <x:c r="Q1003" s="66" t="b">
        <x:v>0</x:v>
      </x:c>
      <x:c r="R1003" t="str">
        <x:v>U.S. Bank Stadium</x:v>
      </x:c>
      <x:c r="S1003" t="str">
        <x:v>CBS</x:v>
      </x:c>
      <x:c r="T1003" t="str">
        <x:v>MIN -2.5</x:v>
      </x:c>
      <x:c r="U1003" s="70" t="n">
        <x:v>-2.5</x:v>
      </x:c>
      <x:c r="V1003" s="70" t="n">
        <x:v>46.5</x:v>
      </x:c>
      <x:c r="W1003" t="str">
        <x:v>DraftKings</x:v>
      </x:c>
      <x:c r="X1003" t="str">
        <x:v>https://www.espn.com/nfl/game/_/gameId/401873014</x:v>
      </x:c>
    </x:row>
    <x:row r="1004">
      <x:c r="A1004" t="str">
        <x:v>NFL</x:v>
      </x:c>
      <x:c r="B1004" t="n">
        <x:v>7</x:v>
      </x:c>
      <x:c r="C1004" s="68" t="n">
        <x:v>46320.708333333336</x:v>
      </x:c>
      <x:c r="D1004" s="71" t="str">
        <x:v>pre</x:v>
      </x:c>
      <x:c r="E1004" s="72" t="b">
        <x:v>0</x:v>
      </x:c>
      <x:c r="F1004" t="str">
        <x:v>Miami Dolphins</x:v>
      </x:c>
      <x:c r="G1004" t="str">
        <x:v>MIA</x:v>
      </x:c>
      <x:c r="H1004" s="69" t="n">
        <x:v>0</x:v>
      </x:c>
      <x:c r="I1004" t="str">
        <x:v>0-2</x:v>
      </x:c>
      <x:c r="J1004" t="str">
        <x:f>IF(E1004&lt;&gt;TRUE,"",IF(H1004&gt;M1004,"W",IF(H1004&lt;M1004,"L","T")))</x:f>
      </x:c>
      <x:c r="K1004" t="str">
        <x:v>New York Jets</x:v>
      </x:c>
      <x:c r="L1004" t="str">
        <x:v>NYJ</x:v>
      </x:c>
      <x:c r="M1004" s="69" t="n">
        <x:v>0</x:v>
      </x:c>
      <x:c r="N1004" t="str">
        <x:v>1-1</x:v>
      </x:c>
      <x:c r="O1004" t="str">
        <x:f>IF(E1004&lt;&gt;TRUE,"",IF(M1004&gt;H1004,"W",IF(M1004&lt;H1004,"L","T")))</x:f>
      </x:c>
      <x:c r="P1004" s="66" t="b">
        <x:v>0</x:v>
      </x:c>
      <x:c r="Q1004" s="66" t="b">
        <x:v>0</x:v>
      </x:c>
      <x:c r="R1004" t="str">
        <x:v>MetLife Stadium</x:v>
      </x:c>
      <x:c r="S1004" t="str">
        <x:v>CBS</x:v>
      </x:c>
      <x:c r="T1004" t="str">
        <x:v>NYJ -2.5</x:v>
      </x:c>
      <x:c r="U1004" s="70" t="n">
        <x:v>-2.5</x:v>
      </x:c>
      <x:c r="V1004" s="70" t="n">
        <x:v>41.5</x:v>
      </x:c>
      <x:c r="W1004" t="str">
        <x:v>DraftKings</x:v>
      </x:c>
      <x:c r="X1004" t="str">
        <x:v>https://www.espn.com/nfl/game/_/gameId/401873015</x:v>
      </x:c>
    </x:row>
    <x:row r="1005">
      <x:c r="A1005" t="str">
        <x:v>NFL</x:v>
      </x:c>
      <x:c r="B1005" t="n">
        <x:v>7</x:v>
      </x:c>
      <x:c r="C1005" s="68" t="n">
        <x:v>46320.708333333336</x:v>
      </x:c>
      <x:c r="D1005" s="71" t="str">
        <x:v>pre</x:v>
      </x:c>
      <x:c r="E1005" s="72" t="b">
        <x:v>0</x:v>
      </x:c>
      <x:c r="F1005" t="str">
        <x:v>New York Giants</x:v>
      </x:c>
      <x:c r="G1005" t="str">
        <x:v>NYG</x:v>
      </x:c>
      <x:c r="H1005" s="69" t="n">
        <x:v>0</x:v>
      </x:c>
      <x:c r="I1005" t="str">
        <x:v>1-0</x:v>
      </x:c>
      <x:c r="J1005" t="str">
        <x:f>IF(E1005&lt;&gt;TRUE,"",IF(H1005&gt;M1005,"W",IF(H1005&lt;M1005,"L","T")))</x:f>
      </x:c>
      <x:c r="K1005" t="str">
        <x:v>Houston Texans</x:v>
      </x:c>
      <x:c r="L1005" t="str">
        <x:v>HOU</x:v>
      </x:c>
      <x:c r="M1005" s="69" t="n">
        <x:v>0</x:v>
      </x:c>
      <x:c r="N1005" t="str">
        <x:v>0-2</x:v>
      </x:c>
      <x:c r="O1005" t="str">
        <x:f>IF(E1005&lt;&gt;TRUE,"",IF(M1005&gt;H1005,"W",IF(M1005&lt;H1005,"L","T")))</x:f>
      </x:c>
      <x:c r="P1005" s="66" t="b">
        <x:v>0</x:v>
      </x:c>
      <x:c r="Q1005" s="66" t="b">
        <x:v>0</x:v>
      </x:c>
      <x:c r="R1005" t="str">
        <x:v>Reliant Stadium</x:v>
      </x:c>
      <x:c r="S1005" t="str">
        <x:v>FOX</x:v>
      </x:c>
      <x:c r="T1005" t="str">
        <x:v>HOU -5.5</x:v>
      </x:c>
      <x:c r="U1005" s="70" t="n">
        <x:v>-5.5</x:v>
      </x:c>
      <x:c r="V1005" s="70" t="n">
        <x:v>43.5</x:v>
      </x:c>
      <x:c r="W1005" t="str">
        <x:v>DraftKings</x:v>
      </x:c>
      <x:c r="X1005" t="str">
        <x:v>https://www.espn.com/nfl/game/_/gameId/401873016</x:v>
      </x:c>
    </x:row>
    <x:row r="1006">
      <x:c r="A1006" t="str">
        <x:v>NFL</x:v>
      </x:c>
      <x:c r="B1006" t="n">
        <x:v>7</x:v>
      </x:c>
      <x:c r="C1006" s="68" t="n">
        <x:v>46320.708333333336</x:v>
      </x:c>
      <x:c r="D1006" s="71" t="str">
        <x:v>pre</x:v>
      </x:c>
      <x:c r="E1006" s="72" t="b">
        <x:v>0</x:v>
      </x:c>
      <x:c r="F1006" t="str">
        <x:v>San Francisco 49ers</x:v>
      </x:c>
      <x:c r="G1006" t="str">
        <x:v>SF</x:v>
      </x:c>
      <x:c r="H1006" s="69" t="n">
        <x:v>0</x:v>
      </x:c>
      <x:c r="I1006" t="str">
        <x:v>2-0</x:v>
      </x:c>
      <x:c r="J1006" t="str">
        <x:f>IF(E1006&lt;&gt;TRUE,"",IF(H1006&gt;M1006,"W",IF(H1006&lt;M1006,"L","T")))</x:f>
      </x:c>
      <x:c r="K1006" t="str">
        <x:v>Atlanta Falcons</x:v>
      </x:c>
      <x:c r="L1006" t="str">
        <x:v>ATL</x:v>
      </x:c>
      <x:c r="M1006" s="69" t="n">
        <x:v>0</x:v>
      </x:c>
      <x:c r="N1006" t="str">
        <x:v>0-2</x:v>
      </x:c>
      <x:c r="O1006" t="str">
        <x:f>IF(E1006&lt;&gt;TRUE,"",IF(M1006&gt;H1006,"W",IF(M1006&lt;H1006,"L","T")))</x:f>
      </x:c>
      <x:c r="P1006" s="66" t="b">
        <x:v>0</x:v>
      </x:c>
      <x:c r="Q1006" s="66" t="b">
        <x:v>0</x:v>
      </x:c>
      <x:c r="R1006" t="str">
        <x:v>Mercedes-Benz Stadium</x:v>
      </x:c>
      <x:c r="S1006" t="str">
        <x:v>FOX</x:v>
      </x:c>
      <x:c r="T1006" t="str">
        <x:v>SF -4.5</x:v>
      </x:c>
      <x:c r="U1006" s="70" t="n">
        <x:v>4.5</x:v>
      </x:c>
      <x:c r="V1006" s="70" t="n">
        <x:v>47.5</x:v>
      </x:c>
      <x:c r="W1006" t="str">
        <x:v>DraftKings</x:v>
      </x:c>
      <x:c r="X1006" t="str">
        <x:v>https://www.espn.com/nfl/game/_/gameId/401873017</x:v>
      </x:c>
    </x:row>
    <x:row r="1007">
      <x:c r="A1007" t="str">
        <x:v>NFL</x:v>
      </x:c>
      <x:c r="B1007" t="n">
        <x:v>7</x:v>
      </x:c>
      <x:c r="C1007" s="68" t="n">
        <x:v>46320.708333333336</x:v>
      </x:c>
      <x:c r="D1007" s="71" t="str">
        <x:v>pre</x:v>
      </x:c>
      <x:c r="E1007" s="72" t="b">
        <x:v>0</x:v>
      </x:c>
      <x:c r="F1007" t="str">
        <x:v>Tampa Bay Buccaneers</x:v>
      </x:c>
      <x:c r="G1007" t="str">
        <x:v>TB</x:v>
      </x:c>
      <x:c r="H1007" s="69" t="n">
        <x:v>0</x:v>
      </x:c>
      <x:c r="I1007" t="str">
        <x:v>0-2</x:v>
      </x:c>
      <x:c r="J1007" t="str">
        <x:f>IF(E1007&lt;&gt;TRUE,"",IF(H1007&gt;M1007,"W",IF(H1007&lt;M1007,"L","T")))</x:f>
      </x:c>
      <x:c r="K1007" t="str">
        <x:v>Carolina Panthers</x:v>
      </x:c>
      <x:c r="L1007" t="str">
        <x:v>CAR</x:v>
      </x:c>
      <x:c r="M1007" s="69" t="n">
        <x:v>0</x:v>
      </x:c>
      <x:c r="N1007" t="str">
        <x:v>1-1</x:v>
      </x:c>
      <x:c r="O1007" t="str">
        <x:f>IF(E1007&lt;&gt;TRUE,"",IF(M1007&gt;H1007,"W",IF(M1007&lt;H1007,"L","T")))</x:f>
      </x:c>
      <x:c r="P1007" s="66" t="b">
        <x:v>0</x:v>
      </x:c>
      <x:c r="Q1007" s="66" t="b">
        <x:v>0</x:v>
      </x:c>
      <x:c r="R1007" t="str">
        <x:v>Bank of America Stadium</x:v>
      </x:c>
      <x:c r="S1007" t="str">
        <x:v>FOX</x:v>
      </x:c>
      <x:c r="T1007" t="str">
        <x:v>TB -1.5</x:v>
      </x:c>
      <x:c r="U1007" s="70" t="n">
        <x:v>1.5</x:v>
      </x:c>
      <x:c r="V1007" s="70" t="n">
        <x:v>45.5</x:v>
      </x:c>
      <x:c r="W1007" t="str">
        <x:v>DraftKings</x:v>
      </x:c>
      <x:c r="X1007" t="str">
        <x:v>https://www.espn.com/nfl/game/_/gameId/401873018</x:v>
      </x:c>
    </x:row>
    <x:row r="1008">
      <x:c r="A1008" t="str">
        <x:v>NFL</x:v>
      </x:c>
      <x:c r="B1008" t="n">
        <x:v>7</x:v>
      </x:c>
      <x:c r="C1008" s="68" t="n">
        <x:v>46320.836805555555</x:v>
      </x:c>
      <x:c r="D1008" s="71" t="str">
        <x:v>pre</x:v>
      </x:c>
      <x:c r="E1008" s="72" t="b">
        <x:v>0</x:v>
      </x:c>
      <x:c r="F1008" t="str">
        <x:v>Denver Broncos</x:v>
      </x:c>
      <x:c r="G1008" t="str">
        <x:v>DEN</x:v>
      </x:c>
      <x:c r="H1008" s="69" t="n">
        <x:v>0</x:v>
      </x:c>
      <x:c r="I1008" t="str">
        <x:v>1-1</x:v>
      </x:c>
      <x:c r="J1008" t="str">
        <x:f>IF(E1008&lt;&gt;TRUE,"",IF(H1008&gt;M1008,"W",IF(H1008&lt;M1008,"L","T")))</x:f>
      </x:c>
      <x:c r="K1008" t="str">
        <x:v>Arizona Cardinals</x:v>
      </x:c>
      <x:c r="L1008" t="str">
        <x:v>ARI</x:v>
      </x:c>
      <x:c r="M1008" s="69" t="n">
        <x:v>0</x:v>
      </x:c>
      <x:c r="N1008" t="str">
        <x:v>1-1</x:v>
      </x:c>
      <x:c r="O1008" t="str">
        <x:f>IF(E1008&lt;&gt;TRUE,"",IF(M1008&gt;H1008,"W",IF(M1008&lt;H1008,"L","T")))</x:f>
      </x:c>
      <x:c r="P1008" s="66" t="b">
        <x:v>0</x:v>
      </x:c>
      <x:c r="Q1008" s="66" t="b">
        <x:v>0</x:v>
      </x:c>
      <x:c r="R1008" t="str">
        <x:v>State Farm Stadium</x:v>
      </x:c>
      <x:c r="S1008" t="str">
        <x:v>CBS</x:v>
      </x:c>
      <x:c r="T1008" t="str">
        <x:v>DEN -7.5</x:v>
      </x:c>
      <x:c r="U1008" s="70" t="n">
        <x:v>7.5</x:v>
      </x:c>
      <x:c r="V1008" s="70" t="n">
        <x:v>43.5</x:v>
      </x:c>
      <x:c r="W1008" t="str">
        <x:v>DraftKings</x:v>
      </x:c>
      <x:c r="X1008" t="str">
        <x:v>https://www.espn.com/nfl/game/_/gameId/401873019</x:v>
      </x:c>
    </x:row>
    <x:row r="1009">
      <x:c r="A1009" t="str">
        <x:v>NFL</x:v>
      </x:c>
      <x:c r="B1009" t="n">
        <x:v>7</x:v>
      </x:c>
      <x:c r="C1009" s="68" t="n">
        <x:v>46320.850694444445</x:v>
      </x:c>
      <x:c r="D1009" s="71" t="str">
        <x:v>pre</x:v>
      </x:c>
      <x:c r="E1009" s="72" t="b">
        <x:v>0</x:v>
      </x:c>
      <x:c r="F1009" t="str">
        <x:v>Green Bay Packers</x:v>
      </x:c>
      <x:c r="G1009" t="str">
        <x:v>GB</x:v>
      </x:c>
      <x:c r="H1009" s="69" t="n">
        <x:v>0</x:v>
      </x:c>
      <x:c r="I1009" t="str">
        <x:v>1-1</x:v>
      </x:c>
      <x:c r="J1009" t="str">
        <x:f>IF(E1009&lt;&gt;TRUE,"",IF(H1009&gt;M1009,"W",IF(H1009&lt;M1009,"L","T")))</x:f>
      </x:c>
      <x:c r="K1009" t="str">
        <x:v>Detroit Lions</x:v>
      </x:c>
      <x:c r="L1009" t="str">
        <x:v>DET</x:v>
      </x:c>
      <x:c r="M1009" s="69" t="n">
        <x:v>0</x:v>
      </x:c>
      <x:c r="N1009" t="str">
        <x:v>1-1</x:v>
      </x:c>
      <x:c r="O1009" t="str">
        <x:f>IF(E1009&lt;&gt;TRUE,"",IF(M1009&gt;H1009,"W",IF(M1009&lt;H1009,"L","T")))</x:f>
      </x:c>
      <x:c r="P1009" s="66" t="b">
        <x:v>0</x:v>
      </x:c>
      <x:c r="Q1009" s="66" t="b">
        <x:v>0</x:v>
      </x:c>
      <x:c r="R1009" t="str">
        <x:v>Ford Field</x:v>
      </x:c>
      <x:c r="S1009" t="str">
        <x:v>FOX</x:v>
      </x:c>
      <x:c r="T1009" t="str">
        <x:v>DET -2.5</x:v>
      </x:c>
      <x:c r="U1009" s="70" t="n">
        <x:v>-2.5</x:v>
      </x:c>
      <x:c r="V1009" s="70" t="n">
        <x:v>50.5</x:v>
      </x:c>
      <x:c r="W1009" t="str">
        <x:v>DraftKings</x:v>
      </x:c>
      <x:c r="X1009" t="str">
        <x:v>https://www.espn.com/nfl/game/_/gameId/401873020</x:v>
      </x:c>
    </x:row>
    <x:row r="1010">
      <x:c r="A1010" t="str">
        <x:v>NFL</x:v>
      </x:c>
      <x:c r="B1010" t="n">
        <x:v>7</x:v>
      </x:c>
      <x:c r="C1010" s="68" t="n">
        <x:v>46320.850694444445</x:v>
      </x:c>
      <x:c r="D1010" s="71" t="str">
        <x:v>pre</x:v>
      </x:c>
      <x:c r="E1010" s="72" t="b">
        <x:v>0</x:v>
      </x:c>
      <x:c r="F1010" t="str">
        <x:v>Los Angeles Rams</x:v>
      </x:c>
      <x:c r="G1010" t="str">
        <x:v>LAR</x:v>
      </x:c>
      <x:c r="H1010" s="69" t="n">
        <x:v>0</x:v>
      </x:c>
      <x:c r="I1010" t="str">
        <x:v>0-1</x:v>
      </x:c>
      <x:c r="J1010" t="str">
        <x:f>IF(E1010&lt;&gt;TRUE,"",IF(H1010&gt;M1010,"W",IF(H1010&lt;M1010,"L","T")))</x:f>
      </x:c>
      <x:c r="K1010" t="str">
        <x:v>Las Vegas Raiders</x:v>
      </x:c>
      <x:c r="L1010" t="str">
        <x:v>LV</x:v>
      </x:c>
      <x:c r="M1010" s="69" t="n">
        <x:v>0</x:v>
      </x:c>
      <x:c r="N1010" t="str">
        <x:v>2-0</x:v>
      </x:c>
      <x:c r="O1010" t="str">
        <x:f>IF(E1010&lt;&gt;TRUE,"",IF(M1010&gt;H1010,"W",IF(M1010&lt;H1010,"L","T")))</x:f>
      </x:c>
      <x:c r="P1010" s="66" t="b">
        <x:v>0</x:v>
      </x:c>
      <x:c r="Q1010" s="66" t="b">
        <x:v>0</x:v>
      </x:c>
      <x:c r="R1010" t="str">
        <x:v>Allegiant Stadium</x:v>
      </x:c>
      <x:c r="S1010" t="str">
        <x:v>FOX</x:v>
      </x:c>
      <x:c r="T1010" t="str">
        <x:v>LAR -7.5</x:v>
      </x:c>
      <x:c r="U1010" s="70" t="n">
        <x:v>7.5</x:v>
      </x:c>
      <x:c r="V1010" s="70" t="n">
        <x:v>46.5</x:v>
      </x:c>
      <x:c r="W1010" t="str">
        <x:v>DraftKings</x:v>
      </x:c>
      <x:c r="X1010" t="str">
        <x:v>https://www.espn.com/nfl/game/_/gameId/401873021</x:v>
      </x:c>
    </x:row>
    <x:row r="1011">
      <x:c r="A1011" t="str">
        <x:v>NFL</x:v>
      </x:c>
      <x:c r="B1011" t="n">
        <x:v>7</x:v>
      </x:c>
      <x:c r="C1011" s="68" t="n">
        <x:v>46321.01388888889</x:v>
      </x:c>
      <x:c r="D1011" s="71" t="str">
        <x:v>pre</x:v>
      </x:c>
      <x:c r="E1011" s="72" t="b">
        <x:v>0</x:v>
      </x:c>
      <x:c r="F1011" t="str">
        <x:v>Kansas City Chiefs</x:v>
      </x:c>
      <x:c r="G1011" t="str">
        <x:v>KC</x:v>
      </x:c>
      <x:c r="H1011" s="69" t="n">
        <x:v>0</x:v>
      </x:c>
      <x:c r="I1011" t="str">
        <x:v>2-0</x:v>
      </x:c>
      <x:c r="J1011" t="str">
        <x:f>IF(E1011&lt;&gt;TRUE,"",IF(H1011&gt;M1011,"W",IF(H1011&lt;M1011,"L","T")))</x:f>
      </x:c>
      <x:c r="K1011" t="str">
        <x:v>Seattle Seahawks</x:v>
      </x:c>
      <x:c r="L1011" t="str">
        <x:v>SEA</x:v>
      </x:c>
      <x:c r="M1011" s="69" t="n">
        <x:v>0</x:v>
      </x:c>
      <x:c r="N1011" t="str">
        <x:v>2-0</x:v>
      </x:c>
      <x:c r="O1011" t="str">
        <x:f>IF(E1011&lt;&gt;TRUE,"",IF(M1011&gt;H1011,"W",IF(M1011&lt;H1011,"L","T")))</x:f>
      </x:c>
      <x:c r="P1011" s="66" t="b">
        <x:v>0</x:v>
      </x:c>
      <x:c r="Q1011" s="66" t="b">
        <x:v>0</x:v>
      </x:c>
      <x:c r="R1011" t="str">
        <x:v>Lumen Field</x:v>
      </x:c>
      <x:c r="S1011" t="str">
        <x:v>NBC</x:v>
      </x:c>
      <x:c r="T1011" t="str">
        <x:v>SEA -3</x:v>
      </x:c>
      <x:c r="U1011" s="70" t="n">
        <x:v>-3</x:v>
      </x:c>
      <x:c r="V1011" s="70" t="n">
        <x:v>45.5</x:v>
      </x:c>
      <x:c r="W1011" t="str">
        <x:v>DraftKings</x:v>
      </x:c>
      <x:c r="X1011" t="str">
        <x:v>https://www.espn.com/nfl/game/_/gameId/401873022</x:v>
      </x:c>
    </x:row>
    <x:row r="1012">
      <x:c r="A1012" t="str">
        <x:v>NFL</x:v>
      </x:c>
      <x:c r="B1012" t="n">
        <x:v>7</x:v>
      </x:c>
      <x:c r="C1012" s="68" t="n">
        <x:v>46322.010416666664</x:v>
      </x:c>
      <x:c r="D1012" s="71" t="str">
        <x:v>pre</x:v>
      </x:c>
      <x:c r="E1012" s="72" t="b">
        <x:v>0</x:v>
      </x:c>
      <x:c r="F1012" t="str">
        <x:v>Dallas Cowboys</x:v>
      </x:c>
      <x:c r="G1012" t="str">
        <x:v>DAL</x:v>
      </x:c>
      <x:c r="H1012" s="69" t="n">
        <x:v>0</x:v>
      </x:c>
      <x:c r="I1012" t="str">
        <x:v>1-1</x:v>
      </x:c>
      <x:c r="J1012" t="str">
        <x:f>IF(E1012&lt;&gt;TRUE,"",IF(H1012&gt;M1012,"W",IF(H1012&lt;M1012,"L","T")))</x:f>
      </x:c>
      <x:c r="K1012" t="str">
        <x:v>Philadelphia Eagles</x:v>
      </x:c>
      <x:c r="L1012" t="str">
        <x:v>PHI</x:v>
      </x:c>
      <x:c r="M1012" s="69" t="n">
        <x:v>0</x:v>
      </x:c>
      <x:c r="N1012" t="str">
        <x:v>2-0</x:v>
      </x:c>
      <x:c r="O1012" t="str">
        <x:f>IF(E1012&lt;&gt;TRUE,"",IF(M1012&gt;H1012,"W",IF(M1012&lt;H1012,"L","T")))</x:f>
      </x:c>
      <x:c r="P1012" s="66" t="b">
        <x:v>0</x:v>
      </x:c>
      <x:c r="Q1012" s="66" t="b">
        <x:v>0</x:v>
      </x:c>
      <x:c r="R1012" t="str">
        <x:v>Lincoln Financial Field</x:v>
      </x:c>
      <x:c r="S1012" t="str">
        <x:v>ESPN / ABC</x:v>
      </x:c>
      <x:c r="T1012" t="str">
        <x:v>PHI -3</x:v>
      </x:c>
      <x:c r="U1012" s="70" t="n">
        <x:v>-3</x:v>
      </x:c>
      <x:c r="V1012" s="70" t="n">
        <x:v>48.5</x:v>
      </x:c>
      <x:c r="W1012" t="str">
        <x:v>DraftKings</x:v>
      </x:c>
      <x:c r="X1012" t="str">
        <x:v>https://www.espn.com/nfl/game/_/gameId/401873009</x:v>
      </x:c>
    </x:row>
    <x:row r="1013">
      <x:c r="A1013" t="str">
        <x:v>NFL</x:v>
      </x:c>
      <x:c r="B1013" t="n">
        <x:v>8</x:v>
      </x:c>
      <x:c r="C1013" s="68" t="n">
        <x:v>46325.010416666664</x:v>
      </x:c>
      <x:c r="D1013" s="71" t="str">
        <x:v>pre</x:v>
      </x:c>
      <x:c r="E1013" s="72" t="b">
        <x:v>0</x:v>
      </x:c>
      <x:c r="F1013" t="str">
        <x:v>Carolina Panthers</x:v>
      </x:c>
      <x:c r="G1013" t="str">
        <x:v>CAR</x:v>
      </x:c>
      <x:c r="H1013" s="69" t="n">
        <x:v>0</x:v>
      </x:c>
      <x:c r="I1013" t="str">
        <x:v>1-1</x:v>
      </x:c>
      <x:c r="J1013" t="str">
        <x:f>IF(E1013&lt;&gt;TRUE,"",IF(H1013&gt;M1013,"W",IF(H1013&lt;M1013,"L","T")))</x:f>
      </x:c>
      <x:c r="K1013" t="str">
        <x:v>Green Bay Packers</x:v>
      </x:c>
      <x:c r="L1013" t="str">
        <x:v>GB</x:v>
      </x:c>
      <x:c r="M1013" s="69" t="n">
        <x:v>0</x:v>
      </x:c>
      <x:c r="N1013" t="str">
        <x:v>1-1</x:v>
      </x:c>
      <x:c r="O1013" t="str">
        <x:f>IF(E1013&lt;&gt;TRUE,"",IF(M1013&gt;H1013,"W",IF(M1013&lt;H1013,"L","T")))</x:f>
      </x:c>
      <x:c r="P1013" s="66" t="b">
        <x:v>0</x:v>
      </x:c>
      <x:c r="Q1013" s="66" t="b">
        <x:v>0</x:v>
      </x:c>
      <x:c r="R1013" t="str">
        <x:v>Lambeau Field</x:v>
      </x:c>
      <x:c r="S1013" t="str">
        <x:v>Prime Video</x:v>
      </x:c>
      <x:c r="T1013" t="str">
        <x:v>GB -7</x:v>
      </x:c>
      <x:c r="U1013" s="70" t="n">
        <x:v>-7</x:v>
      </x:c>
      <x:c r="V1013" s="70" t="n">
        <x:v>45.5</x:v>
      </x:c>
      <x:c r="W1013" t="str">
        <x:v>DraftKings</x:v>
      </x:c>
      <x:c r="X1013" t="str">
        <x:v>https://www.espn.com/nfl/game/_/gameId/401873023</x:v>
      </x:c>
    </x:row>
    <x:row r="1014">
      <x:c r="A1014" t="str">
        <x:v>NFL</x:v>
      </x:c>
      <x:c r="B1014" t="n">
        <x:v>8</x:v>
      </x:c>
      <x:c r="C1014" s="68" t="n">
        <x:v>46327.75</x:v>
      </x:c>
      <x:c r="D1014" s="71" t="str">
        <x:v>pre</x:v>
      </x:c>
      <x:c r="E1014" s="72" t="b">
        <x:v>0</x:v>
      </x:c>
      <x:c r="F1014" t="str">
        <x:v>Arizona Cardinals</x:v>
      </x:c>
      <x:c r="G1014" t="str">
        <x:v>ARI</x:v>
      </x:c>
      <x:c r="H1014" s="69" t="n">
        <x:v>0</x:v>
      </x:c>
      <x:c r="I1014" t="str">
        <x:v>1-1</x:v>
      </x:c>
      <x:c r="J1014" t="str">
        <x:f>IF(E1014&lt;&gt;TRUE,"",IF(H1014&gt;M1014,"W",IF(H1014&lt;M1014,"L","T")))</x:f>
      </x:c>
      <x:c r="K1014" t="str">
        <x:v>Dallas Cowboys</x:v>
      </x:c>
      <x:c r="L1014" t="str">
        <x:v>DAL</x:v>
      </x:c>
      <x:c r="M1014" s="69" t="n">
        <x:v>0</x:v>
      </x:c>
      <x:c r="N1014" t="str">
        <x:v>1-1</x:v>
      </x:c>
      <x:c r="O1014" t="str">
        <x:f>IF(E1014&lt;&gt;TRUE,"",IF(M1014&gt;H1014,"W",IF(M1014&lt;H1014,"L","T")))</x:f>
      </x:c>
      <x:c r="P1014" s="66" t="b">
        <x:v>0</x:v>
      </x:c>
      <x:c r="Q1014" s="66" t="b">
        <x:v>0</x:v>
      </x:c>
      <x:c r="R1014" t="str">
        <x:v>AT&amp;T Stadium</x:v>
      </x:c>
      <x:c r="S1014" t="str">
        <x:v>FOX</x:v>
      </x:c>
      <x:c r="T1014" t="str">
        <x:v>DAL -10.5</x:v>
      </x:c>
      <x:c r="U1014" s="70" t="n">
        <x:v>-10.5</x:v>
      </x:c>
      <x:c r="V1014" s="70" t="n">
        <x:v>47.5</x:v>
      </x:c>
      <x:c r="W1014" t="str">
        <x:v>DraftKings</x:v>
      </x:c>
      <x:c r="X1014" t="str">
        <x:v>https://www.espn.com/nfl/game/_/gameId/401873024</x:v>
      </x:c>
    </x:row>
    <x:row r="1015">
      <x:c r="A1015" t="str">
        <x:v>NFL</x:v>
      </x:c>
      <x:c r="B1015" t="n">
        <x:v>8</x:v>
      </x:c>
      <x:c r="C1015" s="68" t="n">
        <x:v>46327.75</x:v>
      </x:c>
      <x:c r="D1015" s="71" t="str">
        <x:v>pre</x:v>
      </x:c>
      <x:c r="E1015" s="72" t="b">
        <x:v>0</x:v>
      </x:c>
      <x:c r="F1015" t="str">
        <x:v>Atlanta Falcons</x:v>
      </x:c>
      <x:c r="G1015" t="str">
        <x:v>ATL</x:v>
      </x:c>
      <x:c r="H1015" s="69" t="n">
        <x:v>0</x:v>
      </x:c>
      <x:c r="I1015" t="str">
        <x:v>0-2</x:v>
      </x:c>
      <x:c r="J1015" t="str">
        <x:f>IF(E1015&lt;&gt;TRUE,"",IF(H1015&gt;M1015,"W",IF(H1015&lt;M1015,"L","T")))</x:f>
      </x:c>
      <x:c r="K1015" t="str">
        <x:v>Tampa Bay Buccaneers</x:v>
      </x:c>
      <x:c r="L1015" t="str">
        <x:v>TB</x:v>
      </x:c>
      <x:c r="M1015" s="69" t="n">
        <x:v>0</x:v>
      </x:c>
      <x:c r="N1015" t="str">
        <x:v>0-2</x:v>
      </x:c>
      <x:c r="O1015" t="str">
        <x:f>IF(E1015&lt;&gt;TRUE,"",IF(M1015&gt;H1015,"W",IF(M1015&lt;H1015,"L","T")))</x:f>
      </x:c>
      <x:c r="P1015" s="66" t="b">
        <x:v>0</x:v>
      </x:c>
      <x:c r="Q1015" s="66" t="b">
        <x:v>0</x:v>
      </x:c>
      <x:c r="R1015" t="str">
        <x:v>Raymond James Stadium</x:v>
      </x:c>
      <x:c r="S1015" t="str">
        <x:v>FOX</x:v>
      </x:c>
      <x:c r="T1015" t="str">
        <x:v>TB -4.5</x:v>
      </x:c>
      <x:c r="U1015" s="70" t="n">
        <x:v>-4.5</x:v>
      </x:c>
      <x:c r="V1015" s="70" t="n">
        <x:v>46.5</x:v>
      </x:c>
      <x:c r="W1015" t="str">
        <x:v>DraftKings</x:v>
      </x:c>
      <x:c r="X1015" t="str">
        <x:v>https://www.espn.com/nfl/game/_/gameId/401873025</x:v>
      </x:c>
    </x:row>
    <x:row r="1016">
      <x:c r="A1016" t="str">
        <x:v>NFL</x:v>
      </x:c>
      <x:c r="B1016" t="n">
        <x:v>8</x:v>
      </x:c>
      <x:c r="C1016" s="68" t="n">
        <x:v>46327.75</x:v>
      </x:c>
      <x:c r="D1016" s="71" t="str">
        <x:v>pre</x:v>
      </x:c>
      <x:c r="E1016" s="72" t="b">
        <x:v>0</x:v>
      </x:c>
      <x:c r="F1016" t="str">
        <x:v>Baltimore Ravens</x:v>
      </x:c>
      <x:c r="G1016" t="str">
        <x:v>BAL</x:v>
      </x:c>
      <x:c r="H1016" s="69" t="n">
        <x:v>0</x:v>
      </x:c>
      <x:c r="I1016" t="str">
        <x:v>1-1</x:v>
      </x:c>
      <x:c r="J1016" t="str">
        <x:f>IF(E1016&lt;&gt;TRUE,"",IF(H1016&gt;M1016,"W",IF(H1016&lt;M1016,"L","T")))</x:f>
      </x:c>
      <x:c r="K1016" t="str">
        <x:v>Buffalo Bills</x:v>
      </x:c>
      <x:c r="L1016" t="str">
        <x:v>BUF</x:v>
      </x:c>
      <x:c r="M1016" s="69" t="n">
        <x:v>0</x:v>
      </x:c>
      <x:c r="N1016" t="str">
        <x:v>2-0</x:v>
      </x:c>
      <x:c r="O1016" t="str">
        <x:f>IF(E1016&lt;&gt;TRUE,"",IF(M1016&gt;H1016,"W",IF(M1016&lt;H1016,"L","T")))</x:f>
      </x:c>
      <x:c r="P1016" s="66" t="b">
        <x:v>0</x:v>
      </x:c>
      <x:c r="Q1016" s="66" t="b">
        <x:v>0</x:v>
      </x:c>
      <x:c r="R1016" t="str">
        <x:v>Highmark Stadium</x:v>
      </x:c>
      <x:c r="S1016" t="str">
        <x:v>CBS</x:v>
      </x:c>
      <x:c r="T1016" t="str">
        <x:v>BUF -2.5</x:v>
      </x:c>
      <x:c r="U1016" s="70" t="n">
        <x:v>-2.5</x:v>
      </x:c>
      <x:c r="V1016" s="70" t="n">
        <x:v>51.5</x:v>
      </x:c>
      <x:c r="W1016" t="str">
        <x:v>DraftKings</x:v>
      </x:c>
      <x:c r="X1016" t="str">
        <x:v>https://www.espn.com/nfl/game/_/gameId/401873026</x:v>
      </x:c>
    </x:row>
    <x:row r="1017">
      <x:c r="A1017" t="str">
        <x:v>NFL</x:v>
      </x:c>
      <x:c r="B1017" t="n">
        <x:v>8</x:v>
      </x:c>
      <x:c r="C1017" s="68" t="n">
        <x:v>46327.75</x:v>
      </x:c>
      <x:c r="D1017" s="71" t="str">
        <x:v>pre</x:v>
      </x:c>
      <x:c r="E1017" s="72" t="b">
        <x:v>0</x:v>
      </x:c>
      <x:c r="F1017" t="str">
        <x:v>Cleveland Browns</x:v>
      </x:c>
      <x:c r="G1017" t="str">
        <x:v>CLE</x:v>
      </x:c>
      <x:c r="H1017" s="69" t="n">
        <x:v>0</x:v>
      </x:c>
      <x:c r="I1017" t="str">
        <x:v>1-1</x:v>
      </x:c>
      <x:c r="J1017" t="str">
        <x:f>IF(E1017&lt;&gt;TRUE,"",IF(H1017&gt;M1017,"W",IF(H1017&lt;M1017,"L","T")))</x:f>
      </x:c>
      <x:c r="K1017" t="str">
        <x:v>Pittsburgh Steelers</x:v>
      </x:c>
      <x:c r="L1017" t="str">
        <x:v>PIT</x:v>
      </x:c>
      <x:c r="M1017" s="69" t="n">
        <x:v>0</x:v>
      </x:c>
      <x:c r="N1017" t="str">
        <x:v>1-1</x:v>
      </x:c>
      <x:c r="O1017" t="str">
        <x:f>IF(E1017&lt;&gt;TRUE,"",IF(M1017&gt;H1017,"W",IF(M1017&lt;H1017,"L","T")))</x:f>
      </x:c>
      <x:c r="P1017" s="66" t="b">
        <x:v>0</x:v>
      </x:c>
      <x:c r="Q1017" s="66" t="b">
        <x:v>0</x:v>
      </x:c>
      <x:c r="R1017" t="str">
        <x:v>Acrisure Stadium</x:v>
      </x:c>
      <x:c r="S1017" t="str">
        <x:v>CBS</x:v>
      </x:c>
      <x:c r="T1017" t="str">
        <x:v>PIT -6</x:v>
      </x:c>
      <x:c r="U1017" s="70" t="n">
        <x:v>-6</x:v>
      </x:c>
      <x:c r="V1017" s="70" t="n">
        <x:v>39.5</x:v>
      </x:c>
      <x:c r="W1017" t="str">
        <x:v>DraftKings</x:v>
      </x:c>
      <x:c r="X1017" t="str">
        <x:v>https://www.espn.com/nfl/game/_/gameId/401873027</x:v>
      </x:c>
    </x:row>
    <x:row r="1018">
      <x:c r="A1018" t="str">
        <x:v>NFL</x:v>
      </x:c>
      <x:c r="B1018" t="n">
        <x:v>8</x:v>
      </x:c>
      <x:c r="C1018" s="68" t="n">
        <x:v>46327.75</x:v>
      </x:c>
      <x:c r="D1018" s="71" t="str">
        <x:v>pre</x:v>
      </x:c>
      <x:c r="E1018" s="72" t="b">
        <x:v>0</x:v>
      </x:c>
      <x:c r="F1018" t="str">
        <x:v>Indianapolis Colts</x:v>
      </x:c>
      <x:c r="G1018" t="str">
        <x:v>IND</x:v>
      </x:c>
      <x:c r="H1018" s="69" t="n">
        <x:v>0</x:v>
      </x:c>
      <x:c r="I1018" t="str">
        <x:v>0-2</x:v>
      </x:c>
      <x:c r="J1018" t="str">
        <x:f>IF(E1018&lt;&gt;TRUE,"",IF(H1018&gt;M1018,"W",IF(H1018&lt;M1018,"L","T")))</x:f>
      </x:c>
      <x:c r="K1018" t="str">
        <x:v>Jacksonville Jaguars</x:v>
      </x:c>
      <x:c r="L1018" t="str">
        <x:v>JAX</x:v>
      </x:c>
      <x:c r="M1018" s="69" t="n">
        <x:v>0</x:v>
      </x:c>
      <x:c r="N1018" t="str">
        <x:v>1-1</x:v>
      </x:c>
      <x:c r="O1018" t="str">
        <x:f>IF(E1018&lt;&gt;TRUE,"",IF(M1018&gt;H1018,"W",IF(M1018&lt;H1018,"L","T")))</x:f>
      </x:c>
      <x:c r="P1018" s="66" t="b">
        <x:v>0</x:v>
      </x:c>
      <x:c r="Q1018" s="66" t="b">
        <x:v>0</x:v>
      </x:c>
      <x:c r="R1018" t="str">
        <x:v>EverBank Stadium</x:v>
      </x:c>
      <x:c r="S1018" t="str">
        <x:v>CBS</x:v>
      </x:c>
      <x:c r="T1018" t="str">
        <x:v>JAX -4.5</x:v>
      </x:c>
      <x:c r="U1018" s="70" t="n">
        <x:v>-4.5</x:v>
      </x:c>
      <x:c r="V1018" s="70" t="n">
        <x:v>49.5</x:v>
      </x:c>
      <x:c r="W1018" t="str">
        <x:v>DraftKings</x:v>
      </x:c>
      <x:c r="X1018" t="str">
        <x:v>https://www.espn.com/nfl/game/_/gameId/401873028</x:v>
      </x:c>
    </x:row>
    <x:row r="1019">
      <x:c r="A1019" t="str">
        <x:v>NFL</x:v>
      </x:c>
      <x:c r="B1019" t="n">
        <x:v>8</x:v>
      </x:c>
      <x:c r="C1019" s="68" t="n">
        <x:v>46327.75</x:v>
      </x:c>
      <x:c r="D1019" s="71" t="str">
        <x:v>pre</x:v>
      </x:c>
      <x:c r="E1019" s="72" t="b">
        <x:v>0</x:v>
      </x:c>
      <x:c r="F1019" t="str">
        <x:v>Las Vegas Raiders</x:v>
      </x:c>
      <x:c r="G1019" t="str">
        <x:v>LV</x:v>
      </x:c>
      <x:c r="H1019" s="69" t="n">
        <x:v>0</x:v>
      </x:c>
      <x:c r="I1019" t="str">
        <x:v>2-0</x:v>
      </x:c>
      <x:c r="J1019" t="str">
        <x:f>IF(E1019&lt;&gt;TRUE,"",IF(H1019&gt;M1019,"W",IF(H1019&lt;M1019,"L","T")))</x:f>
      </x:c>
      <x:c r="K1019" t="str">
        <x:v>New York Jets</x:v>
      </x:c>
      <x:c r="L1019" t="str">
        <x:v>NYJ</x:v>
      </x:c>
      <x:c r="M1019" s="69" t="n">
        <x:v>0</x:v>
      </x:c>
      <x:c r="N1019" t="str">
        <x:v>1-1</x:v>
      </x:c>
      <x:c r="O1019" t="str">
        <x:f>IF(E1019&lt;&gt;TRUE,"",IF(M1019&gt;H1019,"W",IF(M1019&lt;H1019,"L","T")))</x:f>
      </x:c>
      <x:c r="P1019" s="66" t="b">
        <x:v>0</x:v>
      </x:c>
      <x:c r="Q1019" s="66" t="b">
        <x:v>0</x:v>
      </x:c>
      <x:c r="R1019" t="str">
        <x:v>MetLife Stadium</x:v>
      </x:c>
      <x:c r="S1019" t="str">
        <x:v>FOX</x:v>
      </x:c>
      <x:c r="T1019" t="str">
        <x:v>NYJ -1.5</x:v>
      </x:c>
      <x:c r="U1019" s="70" t="n">
        <x:v>-1.5</x:v>
      </x:c>
      <x:c r="V1019" s="70" t="n">
        <x:v>40.5</x:v>
      </x:c>
      <x:c r="W1019" t="str">
        <x:v>DraftKings</x:v>
      </x:c>
      <x:c r="X1019" t="str">
        <x:v>https://www.espn.com/nfl/game/_/gameId/401873029</x:v>
      </x:c>
    </x:row>
    <x:row r="1020">
      <x:c r="A1020" t="str">
        <x:v>NFL</x:v>
      </x:c>
      <x:c r="B1020" t="n">
        <x:v>8</x:v>
      </x:c>
      <x:c r="C1020" s="68" t="n">
        <x:v>46327.75</x:v>
      </x:c>
      <x:c r="D1020" s="71" t="str">
        <x:v>pre</x:v>
      </x:c>
      <x:c r="E1020" s="72" t="b">
        <x:v>0</x:v>
      </x:c>
      <x:c r="F1020" t="str">
        <x:v>Minnesota Vikings</x:v>
      </x:c>
      <x:c r="G1020" t="str">
        <x:v>MIN</x:v>
      </x:c>
      <x:c r="H1020" s="69" t="n">
        <x:v>0</x:v>
      </x:c>
      <x:c r="I1020" t="str">
        <x:v>2-0</x:v>
      </x:c>
      <x:c r="J1020" t="str">
        <x:f>IF(E1020&lt;&gt;TRUE,"",IF(H1020&gt;M1020,"W",IF(H1020&lt;M1020,"L","T")))</x:f>
      </x:c>
      <x:c r="K1020" t="str">
        <x:v>Detroit Lions</x:v>
      </x:c>
      <x:c r="L1020" t="str">
        <x:v>DET</x:v>
      </x:c>
      <x:c r="M1020" s="69" t="n">
        <x:v>0</x:v>
      </x:c>
      <x:c r="N1020" t="str">
        <x:v>1-1</x:v>
      </x:c>
      <x:c r="O1020" t="str">
        <x:f>IF(E1020&lt;&gt;TRUE,"",IF(M1020&gt;H1020,"W",IF(M1020&lt;H1020,"L","T")))</x:f>
      </x:c>
      <x:c r="P1020" s="66" t="b">
        <x:v>0</x:v>
      </x:c>
      <x:c r="Q1020" s="66" t="b">
        <x:v>0</x:v>
      </x:c>
      <x:c r="R1020" t="str">
        <x:v>Ford Field</x:v>
      </x:c>
      <x:c r="S1020" t="str">
        <x:v>FOX</x:v>
      </x:c>
      <x:c r="T1020" t="str">
        <x:v>DET -4.5</x:v>
      </x:c>
      <x:c r="U1020" s="70" t="n">
        <x:v>-4.5</x:v>
      </x:c>
      <x:c r="V1020" s="70" t="n">
        <x:v>47.5</x:v>
      </x:c>
      <x:c r="W1020" t="str">
        <x:v>DraftKings</x:v>
      </x:c>
      <x:c r="X1020" t="str">
        <x:v>https://www.espn.com/nfl/game/_/gameId/401873030</x:v>
      </x:c>
    </x:row>
    <x:row r="1021">
      <x:c r="A1021" t="str">
        <x:v>NFL</x:v>
      </x:c>
      <x:c r="B1021" t="n">
        <x:v>8</x:v>
      </x:c>
      <x:c r="C1021" s="68" t="n">
        <x:v>46327.75</x:v>
      </x:c>
      <x:c r="D1021" s="71" t="str">
        <x:v>pre</x:v>
      </x:c>
      <x:c r="E1021" s="72" t="b">
        <x:v>0</x:v>
      </x:c>
      <x:c r="F1021" t="str">
        <x:v>Tennessee Titans</x:v>
      </x:c>
      <x:c r="G1021" t="str">
        <x:v>TEN</x:v>
      </x:c>
      <x:c r="H1021" s="69" t="n">
        <x:v>0</x:v>
      </x:c>
      <x:c r="I1021" t="str">
        <x:v>0-2</x:v>
      </x:c>
      <x:c r="J1021" t="str">
        <x:f>IF(E1021&lt;&gt;TRUE,"",IF(H1021&gt;M1021,"W",IF(H1021&lt;M1021,"L","T")))</x:f>
      </x:c>
      <x:c r="K1021" t="str">
        <x:v>Cincinnati Bengals</x:v>
      </x:c>
      <x:c r="L1021" t="str">
        <x:v>CIN</x:v>
      </x:c>
      <x:c r="M1021" s="69" t="n">
        <x:v>0</x:v>
      </x:c>
      <x:c r="N1021" t="str">
        <x:v>2-0</x:v>
      </x:c>
      <x:c r="O1021" t="str">
        <x:f>IF(E1021&lt;&gt;TRUE,"",IF(M1021&gt;H1021,"W",IF(M1021&lt;H1021,"L","T")))</x:f>
      </x:c>
      <x:c r="P1021" s="66" t="b">
        <x:v>0</x:v>
      </x:c>
      <x:c r="Q1021" s="66" t="b">
        <x:v>0</x:v>
      </x:c>
      <x:c r="R1021" t="str">
        <x:v>Paycor Stadium</x:v>
      </x:c>
      <x:c r="S1021" t="str">
        <x:v>CBS</x:v>
      </x:c>
      <x:c r="T1021" t="str">
        <x:v>CIN -6.5</x:v>
      </x:c>
      <x:c r="U1021" s="70" t="n">
        <x:v>-6.5</x:v>
      </x:c>
      <x:c r="V1021" s="70" t="n">
        <x:v>49.5</x:v>
      </x:c>
      <x:c r="W1021" t="str">
        <x:v>DraftKings</x:v>
      </x:c>
      <x:c r="X1021" t="str">
        <x:v>https://www.espn.com/nfl/game/_/gameId/401873031</x:v>
      </x:c>
    </x:row>
    <x:row r="1022">
      <x:c r="A1022" t="str">
        <x:v>NFL</x:v>
      </x:c>
      <x:c r="B1022" t="n">
        <x:v>8</x:v>
      </x:c>
      <x:c r="C1022" s="68" t="n">
        <x:v>46327.87847222222</x:v>
      </x:c>
      <x:c r="D1022" s="71" t="str">
        <x:v>pre</x:v>
      </x:c>
      <x:c r="E1022" s="72" t="b">
        <x:v>0</x:v>
      </x:c>
      <x:c r="F1022" t="str">
        <x:v>Los Angeles Chargers</x:v>
      </x:c>
      <x:c r="G1022" t="str">
        <x:v>LAC</x:v>
      </x:c>
      <x:c r="H1022" s="69" t="n">
        <x:v>0</x:v>
      </x:c>
      <x:c r="I1022" t="str">
        <x:v>0-2</x:v>
      </x:c>
      <x:c r="J1022" t="str">
        <x:f>IF(E1022&lt;&gt;TRUE,"",IF(H1022&gt;M1022,"W",IF(H1022&lt;M1022,"L","T")))</x:f>
      </x:c>
      <x:c r="K1022" t="str">
        <x:v>Los Angeles Rams</x:v>
      </x:c>
      <x:c r="L1022" t="str">
        <x:v>LAR</x:v>
      </x:c>
      <x:c r="M1022" s="69" t="n">
        <x:v>0</x:v>
      </x:c>
      <x:c r="N1022" t="str">
        <x:v>0-1</x:v>
      </x:c>
      <x:c r="O1022" t="str">
        <x:f>IF(E1022&lt;&gt;TRUE,"",IF(M1022&gt;H1022,"W",IF(M1022&lt;H1022,"L","T")))</x:f>
      </x:c>
      <x:c r="P1022" s="66" t="b">
        <x:v>0</x:v>
      </x:c>
      <x:c r="Q1022" s="66" t="b">
        <x:v>0</x:v>
      </x:c>
      <x:c r="R1022" t="str">
        <x:v>SoFi Stadium</x:v>
      </x:c>
      <x:c r="S1022" t="str">
        <x:v>FOX</x:v>
      </x:c>
      <x:c r="T1022" t="str">
        <x:v>LAR -4.5</x:v>
      </x:c>
      <x:c r="U1022" s="70" t="n">
        <x:v>-4.5</x:v>
      </x:c>
      <x:c r="V1022" s="70" t="n">
        <x:v>48.5</x:v>
      </x:c>
      <x:c r="W1022" t="str">
        <x:v>DraftKings</x:v>
      </x:c>
      <x:c r="X1022" t="str">
        <x:v>https://www.espn.com/nfl/game/_/gameId/401873032</x:v>
      </x:c>
    </x:row>
    <x:row r="1023">
      <x:c r="A1023" t="str">
        <x:v>NFL</x:v>
      </x:c>
      <x:c r="B1023" t="n">
        <x:v>8</x:v>
      </x:c>
      <x:c r="C1023" s="68" t="n">
        <x:v>46327.89236111111</x:v>
      </x:c>
      <x:c r="D1023" s="71" t="str">
        <x:v>pre</x:v>
      </x:c>
      <x:c r="E1023" s="72" t="b">
        <x:v>0</x:v>
      </x:c>
      <x:c r="F1023" t="str">
        <x:v>Kansas City Chiefs</x:v>
      </x:c>
      <x:c r="G1023" t="str">
        <x:v>KC</x:v>
      </x:c>
      <x:c r="H1023" s="69" t="n">
        <x:v>0</x:v>
      </x:c>
      <x:c r="I1023" t="str">
        <x:v>2-0</x:v>
      </x:c>
      <x:c r="J1023" t="str">
        <x:f>IF(E1023&lt;&gt;TRUE,"",IF(H1023&gt;M1023,"W",IF(H1023&lt;M1023,"L","T")))</x:f>
      </x:c>
      <x:c r="K1023" t="str">
        <x:v>Denver Broncos</x:v>
      </x:c>
      <x:c r="L1023" t="str">
        <x:v>DEN</x:v>
      </x:c>
      <x:c r="M1023" s="69" t="n">
        <x:v>0</x:v>
      </x:c>
      <x:c r="N1023" t="str">
        <x:v>1-1</x:v>
      </x:c>
      <x:c r="O1023" t="str">
        <x:f>IF(E1023&lt;&gt;TRUE,"",IF(M1023&gt;H1023,"W",IF(M1023&lt;H1023,"L","T")))</x:f>
      </x:c>
      <x:c r="P1023" s="66" t="b">
        <x:v>0</x:v>
      </x:c>
      <x:c r="Q1023" s="66" t="b">
        <x:v>0</x:v>
      </x:c>
      <x:c r="R1023" t="str">
        <x:v>Empower Field at Mile High</x:v>
      </x:c>
      <x:c r="S1023" t="str">
        <x:v>CBS</x:v>
      </x:c>
      <x:c r="T1023" t="str">
        <x:v>DEN -1.5</x:v>
      </x:c>
      <x:c r="U1023" s="70" t="n">
        <x:v>-1.5</x:v>
      </x:c>
      <x:c r="V1023" s="70" t="n">
        <x:v>43.5</x:v>
      </x:c>
      <x:c r="W1023" t="str">
        <x:v>DraftKings</x:v>
      </x:c>
      <x:c r="X1023" t="str">
        <x:v>https://www.espn.com/nfl/game/_/gameId/401873033</x:v>
      </x:c>
    </x:row>
    <x:row r="1024">
      <x:c r="A1024" t="str">
        <x:v>NFL</x:v>
      </x:c>
      <x:c r="B1024" t="n">
        <x:v>8</x:v>
      </x:c>
      <x:c r="C1024" s="68" t="n">
        <x:v>46327.89236111111</x:v>
      </x:c>
      <x:c r="D1024" s="71" t="str">
        <x:v>pre</x:v>
      </x:c>
      <x:c r="E1024" s="72" t="b">
        <x:v>0</x:v>
      </x:c>
      <x:c r="F1024" t="str">
        <x:v>New England Patriots</x:v>
      </x:c>
      <x:c r="G1024" t="str">
        <x:v>NE</x:v>
      </x:c>
      <x:c r="H1024" s="69" t="n">
        <x:v>0</x:v>
      </x:c>
      <x:c r="I1024" t="str">
        <x:v>1-1</x:v>
      </x:c>
      <x:c r="J1024" t="str">
        <x:f>IF(E1024&lt;&gt;TRUE,"",IF(H1024&gt;M1024,"W",IF(H1024&lt;M1024,"L","T")))</x:f>
      </x:c>
      <x:c r="K1024" t="str">
        <x:v>Miami Dolphins</x:v>
      </x:c>
      <x:c r="L1024" t="str">
        <x:v>MIA</x:v>
      </x:c>
      <x:c r="M1024" s="69" t="n">
        <x:v>0</x:v>
      </x:c>
      <x:c r="N1024" t="str">
        <x:v>0-2</x:v>
      </x:c>
      <x:c r="O1024" t="str">
        <x:f>IF(E1024&lt;&gt;TRUE,"",IF(M1024&gt;H1024,"W",IF(M1024&lt;H1024,"L","T")))</x:f>
      </x:c>
      <x:c r="P1024" s="66" t="b">
        <x:v>0</x:v>
      </x:c>
      <x:c r="Q1024" s="66" t="b">
        <x:v>0</x:v>
      </x:c>
      <x:c r="R1024" t="str">
        <x:v>Hard Rock Stadium</x:v>
      </x:c>
      <x:c r="S1024" t="str">
        <x:v>CBS</x:v>
      </x:c>
      <x:c r="T1024" t="str">
        <x:v>NE -7</x:v>
      </x:c>
      <x:c r="U1024" s="70" t="n">
        <x:v>7</x:v>
      </x:c>
      <x:c r="V1024" s="70" t="n">
        <x:v>45.5</x:v>
      </x:c>
      <x:c r="W1024" t="str">
        <x:v>DraftKings</x:v>
      </x:c>
      <x:c r="X1024" t="str">
        <x:v>https://www.espn.com/nfl/game/_/gameId/401873034</x:v>
      </x:c>
    </x:row>
    <x:row r="1025">
      <x:c r="A1025" t="str">
        <x:v>NFL</x:v>
      </x:c>
      <x:c r="B1025" t="n">
        <x:v>8</x:v>
      </x:c>
      <x:c r="C1025" s="68" t="n">
        <x:v>46328.055555555555</x:v>
      </x:c>
      <x:c r="D1025" s="71" t="str">
        <x:v>pre</x:v>
      </x:c>
      <x:c r="E1025" s="72" t="b">
        <x:v>0</x:v>
      </x:c>
      <x:c r="F1025" t="str">
        <x:v>Philadelphia Eagles</x:v>
      </x:c>
      <x:c r="G1025" t="str">
        <x:v>PHI</x:v>
      </x:c>
      <x:c r="H1025" s="69" t="n">
        <x:v>0</x:v>
      </x:c>
      <x:c r="I1025" t="str">
        <x:v>2-0</x:v>
      </x:c>
      <x:c r="J1025" t="str">
        <x:f>IF(E1025&lt;&gt;TRUE,"",IF(H1025&gt;M1025,"W",IF(H1025&lt;M1025,"L","T")))</x:f>
      </x:c>
      <x:c r="K1025" t="str">
        <x:v>Washington Commanders</x:v>
      </x:c>
      <x:c r="L1025" t="str">
        <x:v>WSH</x:v>
      </x:c>
      <x:c r="M1025" s="69" t="n">
        <x:v>0</x:v>
      </x:c>
      <x:c r="N1025" t="str">
        <x:v>0-2</x:v>
      </x:c>
      <x:c r="O1025" t="str">
        <x:f>IF(E1025&lt;&gt;TRUE,"",IF(M1025&gt;H1025,"W",IF(M1025&lt;H1025,"L","T")))</x:f>
      </x:c>
      <x:c r="P1025" s="66" t="b">
        <x:v>0</x:v>
      </x:c>
      <x:c r="Q1025" s="66" t="b">
        <x:v>0</x:v>
      </x:c>
      <x:c r="R1025" t="str">
        <x:v>Northwest Stadium</x:v>
      </x:c>
      <x:c r="S1025" t="str">
        <x:v>NBC</x:v>
      </x:c>
      <x:c r="T1025" t="str">
        <x:v>PHI -1.5</x:v>
      </x:c>
      <x:c r="U1025" s="70" t="n">
        <x:v>1.5</x:v>
      </x:c>
      <x:c r="V1025" s="70" t="n">
        <x:v>46.5</x:v>
      </x:c>
      <x:c r="W1025" t="str">
        <x:v>DraftKings</x:v>
      </x:c>
      <x:c r="X1025" t="str">
        <x:v>https://www.espn.com/nfl/game/_/gameId/401873035</x:v>
      </x:c>
    </x:row>
    <x:row r="1026">
      <x:c r="A1026" t="str">
        <x:v>NFL</x:v>
      </x:c>
      <x:c r="B1026" t="n">
        <x:v>8</x:v>
      </x:c>
      <x:c r="C1026" s="68" t="n">
        <x:v>46329.052083333336</x:v>
      </x:c>
      <x:c r="D1026" s="71" t="str">
        <x:v>pre</x:v>
      </x:c>
      <x:c r="E1026" s="72" t="b">
        <x:v>0</x:v>
      </x:c>
      <x:c r="F1026" t="str">
        <x:v>Chicago Bears</x:v>
      </x:c>
      <x:c r="G1026" t="str">
        <x:v>CHI</x:v>
      </x:c>
      <x:c r="H1026" s="69" t="n">
        <x:v>0</x:v>
      </x:c>
      <x:c r="I1026" t="str">
        <x:v>1-1</x:v>
      </x:c>
      <x:c r="J1026" t="str">
        <x:f>IF(E1026&lt;&gt;TRUE,"",IF(H1026&gt;M1026,"W",IF(H1026&lt;M1026,"L","T")))</x:f>
      </x:c>
      <x:c r="K1026" t="str">
        <x:v>Seattle Seahawks</x:v>
      </x:c>
      <x:c r="L1026" t="str">
        <x:v>SEA</x:v>
      </x:c>
      <x:c r="M1026" s="69" t="n">
        <x:v>0</x:v>
      </x:c>
      <x:c r="N1026" t="str">
        <x:v>2-0</x:v>
      </x:c>
      <x:c r="O1026" t="str">
        <x:f>IF(E1026&lt;&gt;TRUE,"",IF(M1026&gt;H1026,"W",IF(M1026&lt;H1026,"L","T")))</x:f>
      </x:c>
      <x:c r="P1026" s="66" t="b">
        <x:v>0</x:v>
      </x:c>
      <x:c r="Q1026" s="66" t="b">
        <x:v>0</x:v>
      </x:c>
      <x:c r="R1026" t="str">
        <x:v>Lumen Field</x:v>
      </x:c>
      <x:c r="S1026" t="str">
        <x:v>ESPN</x:v>
      </x:c>
      <x:c r="T1026" t="str">
        <x:v>SEA -4.5</x:v>
      </x:c>
      <x:c r="U1026" s="70" t="n">
        <x:v>-4.5</x:v>
      </x:c>
      <x:c r="V1026" s="70" t="n">
        <x:v>47.5</x:v>
      </x:c>
      <x:c r="W1026" t="str">
        <x:v>DraftKings</x:v>
      </x:c>
      <x:c r="X1026" t="str">
        <x:v>https://www.espn.com/nfl/game/_/gameId/401873036</x:v>
      </x:c>
    </x:row>
    <x:row r="1027">
      <x:c r="A1027" t="str">
        <x:v>NFL</x:v>
      </x:c>
      <x:c r="B1027" t="n">
        <x:v>9</x:v>
      </x:c>
      <x:c r="C1027" s="68" t="n">
        <x:v>46332.052083333336</x:v>
      </x:c>
      <x:c r="D1027" s="71" t="str">
        <x:v>pre</x:v>
      </x:c>
      <x:c r="E1027" s="72" t="b">
        <x:v>0</x:v>
      </x:c>
      <x:c r="F1027" t="str">
        <x:v>Jacksonville Jaguars</x:v>
      </x:c>
      <x:c r="G1027" t="str">
        <x:v>JAX</x:v>
      </x:c>
      <x:c r="H1027" s="69" t="n">
        <x:v>0</x:v>
      </x:c>
      <x:c r="I1027" t="str">
        <x:v>1-1</x:v>
      </x:c>
      <x:c r="J1027" t="str">
        <x:f>IF(E1027&lt;&gt;TRUE,"",IF(H1027&gt;M1027,"W",IF(H1027&lt;M1027,"L","T")))</x:f>
      </x:c>
      <x:c r="K1027" t="str">
        <x:v>Baltimore Ravens</x:v>
      </x:c>
      <x:c r="L1027" t="str">
        <x:v>BAL</x:v>
      </x:c>
      <x:c r="M1027" s="69" t="n">
        <x:v>0</x:v>
      </x:c>
      <x:c r="N1027" t="str">
        <x:v>1-1</x:v>
      </x:c>
      <x:c r="O1027" t="str">
        <x:f>IF(E1027&lt;&gt;TRUE,"",IF(M1027&gt;H1027,"W",IF(M1027&lt;H1027,"L","T")))</x:f>
      </x:c>
      <x:c r="P1027" s="66" t="b">
        <x:v>0</x:v>
      </x:c>
      <x:c r="Q1027" s="66" t="b">
        <x:v>0</x:v>
      </x:c>
      <x:c r="R1027" t="str">
        <x:v>M&amp;T Bank Stadium</x:v>
      </x:c>
      <x:c r="S1027" t="str">
        <x:v>Prime Video</x:v>
      </x:c>
      <x:c r="T1027" t="str">
        <x:v>BAL -4.5</x:v>
      </x:c>
      <x:c r="U1027" s="70" t="n">
        <x:v>-4.5</x:v>
      </x:c>
      <x:c r="V1027" s="70" t="n">
        <x:v>49.5</x:v>
      </x:c>
      <x:c r="W1027" t="str">
        <x:v>DraftKings</x:v>
      </x:c>
      <x:c r="X1027" t="str">
        <x:v>https://www.espn.com/nfl/game/_/gameId/401873037</x:v>
      </x:c>
    </x:row>
    <x:row r="1028">
      <x:c r="A1028" t="str">
        <x:v>NFL</x:v>
      </x:c>
      <x:c r="B1028" t="n">
        <x:v>9</x:v>
      </x:c>
      <x:c r="C1028" s="68" t="n">
        <x:v>46334.604166666664</x:v>
      </x:c>
      <x:c r="D1028" s="71" t="str">
        <x:v>pre</x:v>
      </x:c>
      <x:c r="E1028" s="72" t="b">
        <x:v>0</x:v>
      </x:c>
      <x:c r="F1028" t="str">
        <x:v>Cincinnati Bengals</x:v>
      </x:c>
      <x:c r="G1028" t="str">
        <x:v>CIN</x:v>
      </x:c>
      <x:c r="H1028" s="69" t="n">
        <x:v>0</x:v>
      </x:c>
      <x:c r="I1028" t="str">
        <x:v>2-0</x:v>
      </x:c>
      <x:c r="J1028" t="str">
        <x:f>IF(E1028&lt;&gt;TRUE,"",IF(H1028&gt;M1028,"W",IF(H1028&lt;M1028,"L","T")))</x:f>
      </x:c>
      <x:c r="K1028" t="str">
        <x:v>Atlanta Falcons</x:v>
      </x:c>
      <x:c r="L1028" t="str">
        <x:v>ATL</x:v>
      </x:c>
      <x:c r="M1028" s="69" t="n">
        <x:v>0</x:v>
      </x:c>
      <x:c r="N1028" t="str">
        <x:v>0-2</x:v>
      </x:c>
      <x:c r="O1028" t="str">
        <x:f>IF(E1028&lt;&gt;TRUE,"",IF(M1028&gt;H1028,"W",IF(M1028&lt;H1028,"L","T")))</x:f>
      </x:c>
      <x:c r="P1028" s="66" t="b">
        <x:v>1</x:v>
      </x:c>
      <x:c r="Q1028" s="66" t="b">
        <x:v>0</x:v>
      </x:c>
      <x:c r="R1028" t="str">
        <x:v>Santiago Bernabéu</x:v>
      </x:c>
      <x:c r="S1028" t="str">
        <x:v>NFL Net</x:v>
      </x:c>
      <x:c r="T1028" t="str">
        <x:v>CIN -5.5</x:v>
      </x:c>
      <x:c r="U1028" s="70" t="n">
        <x:v>5.5</x:v>
      </x:c>
      <x:c r="V1028" s="70" t="n">
        <x:v>49.5</x:v>
      </x:c>
      <x:c r="W1028" t="str">
        <x:v>DraftKings</x:v>
      </x:c>
      <x:c r="X1028" t="str">
        <x:v>https://www.espn.com/nfl/game/_/gameId/401873038</x:v>
      </x:c>
    </x:row>
    <x:row r="1029">
      <x:c r="A1029" t="str">
        <x:v>NFL</x:v>
      </x:c>
      <x:c r="B1029" t="n">
        <x:v>9</x:v>
      </x:c>
      <x:c r="C1029" s="68" t="n">
        <x:v>46334.75</x:v>
      </x:c>
      <x:c r="D1029" s="71" t="str">
        <x:v>pre</x:v>
      </x:c>
      <x:c r="E1029" s="72" t="b">
        <x:v>0</x:v>
      </x:c>
      <x:c r="F1029" t="str">
        <x:v>Cleveland Browns</x:v>
      </x:c>
      <x:c r="G1029" t="str">
        <x:v>CLE</x:v>
      </x:c>
      <x:c r="H1029" s="69" t="n">
        <x:v>0</x:v>
      </x:c>
      <x:c r="I1029" t="str">
        <x:v>1-1</x:v>
      </x:c>
      <x:c r="J1029" t="str">
        <x:f>IF(E1029&lt;&gt;TRUE,"",IF(H1029&gt;M1029,"W",IF(H1029&lt;M1029,"L","T")))</x:f>
      </x:c>
      <x:c r="K1029" t="str">
        <x:v>New Orleans Saints</x:v>
      </x:c>
      <x:c r="L1029" t="str">
        <x:v>NO</x:v>
      </x:c>
      <x:c r="M1029" s="69" t="n">
        <x:v>0</x:v>
      </x:c>
      <x:c r="N1029" t="str">
        <x:v>1-1</x:v>
      </x:c>
      <x:c r="O1029" t="str">
        <x:f>IF(E1029&lt;&gt;TRUE,"",IF(M1029&gt;H1029,"W",IF(M1029&lt;H1029,"L","T")))</x:f>
      </x:c>
      <x:c r="P1029" s="66" t="b">
        <x:v>0</x:v>
      </x:c>
      <x:c r="Q1029" s="66" t="b">
        <x:v>0</x:v>
      </x:c>
      <x:c r="R1029" t="str">
        <x:v>Caesars Superdome</x:v>
      </x:c>
      <x:c r="S1029" t="str">
        <x:v>CBS</x:v>
      </x:c>
      <x:c r="T1029" t="str">
        <x:v>NO -3.5</x:v>
      </x:c>
      <x:c r="U1029" s="70" t="n">
        <x:v>-3.5</x:v>
      </x:c>
      <x:c r="V1029" s="70" t="n">
        <x:v>41.5</x:v>
      </x:c>
      <x:c r="W1029" t="str">
        <x:v>DraftKings</x:v>
      </x:c>
      <x:c r="X1029" t="str">
        <x:v>https://www.espn.com/nfl/game/_/gameId/401873039</x:v>
      </x:c>
    </x:row>
    <x:row r="1030">
      <x:c r="A1030" t="str">
        <x:v>NFL</x:v>
      </x:c>
      <x:c r="B1030" t="n">
        <x:v>9</x:v>
      </x:c>
      <x:c r="C1030" s="68" t="n">
        <x:v>46334.75</x:v>
      </x:c>
      <x:c r="D1030" s="71" t="str">
        <x:v>pre</x:v>
      </x:c>
      <x:c r="E1030" s="72" t="b">
        <x:v>0</x:v>
      </x:c>
      <x:c r="F1030" t="str">
        <x:v>Dallas Cowboys</x:v>
      </x:c>
      <x:c r="G1030" t="str">
        <x:v>DAL</x:v>
      </x:c>
      <x:c r="H1030" s="69" t="n">
        <x:v>0</x:v>
      </x:c>
      <x:c r="I1030" t="str">
        <x:v>1-1</x:v>
      </x:c>
      <x:c r="J1030" t="str">
        <x:f>IF(E1030&lt;&gt;TRUE,"",IF(H1030&gt;M1030,"W",IF(H1030&lt;M1030,"L","T")))</x:f>
      </x:c>
      <x:c r="K1030" t="str">
        <x:v>Indianapolis Colts</x:v>
      </x:c>
      <x:c r="L1030" t="str">
        <x:v>IND</x:v>
      </x:c>
      <x:c r="M1030" s="69" t="n">
        <x:v>0</x:v>
      </x:c>
      <x:c r="N1030" t="str">
        <x:v>0-2</x:v>
      </x:c>
      <x:c r="O1030" t="str">
        <x:f>IF(E1030&lt;&gt;TRUE,"",IF(M1030&gt;H1030,"W",IF(M1030&lt;H1030,"L","T")))</x:f>
      </x:c>
      <x:c r="P1030" s="66" t="b">
        <x:v>0</x:v>
      </x:c>
      <x:c r="Q1030" s="66" t="b">
        <x:v>0</x:v>
      </x:c>
      <x:c r="R1030" t="str">
        <x:v>Lucas Oil Stadium</x:v>
      </x:c>
      <x:c r="S1030" t="str">
        <x:v>FOX</x:v>
      </x:c>
      <x:c r="T1030" t="str">
        <x:v>DAL -1.5</x:v>
      </x:c>
      <x:c r="U1030" s="70" t="n">
        <x:v>1.5</x:v>
      </x:c>
      <x:c r="V1030" s="70" t="n">
        <x:v>52.5</x:v>
      </x:c>
      <x:c r="W1030" t="str">
        <x:v>DraftKings</x:v>
      </x:c>
      <x:c r="X1030" t="str">
        <x:v>https://www.espn.com/nfl/game/_/gameId/401873040</x:v>
      </x:c>
    </x:row>
    <x:row r="1031">
      <x:c r="A1031" t="str">
        <x:v>NFL</x:v>
      </x:c>
      <x:c r="B1031" t="n">
        <x:v>9</x:v>
      </x:c>
      <x:c r="C1031" s="68" t="n">
        <x:v>46334.75</x:v>
      </x:c>
      <x:c r="D1031" s="71" t="str">
        <x:v>pre</x:v>
      </x:c>
      <x:c r="E1031" s="72" t="b">
        <x:v>0</x:v>
      </x:c>
      <x:c r="F1031" t="str">
        <x:v>Denver Broncos</x:v>
      </x:c>
      <x:c r="G1031" t="str">
        <x:v>DEN</x:v>
      </x:c>
      <x:c r="H1031" s="69" t="n">
        <x:v>0</x:v>
      </x:c>
      <x:c r="I1031" t="str">
        <x:v>1-1</x:v>
      </x:c>
      <x:c r="J1031" t="str">
        <x:f>IF(E1031&lt;&gt;TRUE,"",IF(H1031&gt;M1031,"W",IF(H1031&lt;M1031,"L","T")))</x:f>
      </x:c>
      <x:c r="K1031" t="str">
        <x:v>Carolina Panthers</x:v>
      </x:c>
      <x:c r="L1031" t="str">
        <x:v>CAR</x:v>
      </x:c>
      <x:c r="M1031" s="69" t="n">
        <x:v>0</x:v>
      </x:c>
      <x:c r="N1031" t="str">
        <x:v>1-1</x:v>
      </x:c>
      <x:c r="O1031" t="str">
        <x:f>IF(E1031&lt;&gt;TRUE,"",IF(M1031&gt;H1031,"W",IF(M1031&lt;H1031,"L","T")))</x:f>
      </x:c>
      <x:c r="P1031" s="66" t="b">
        <x:v>0</x:v>
      </x:c>
      <x:c r="Q1031" s="66" t="b">
        <x:v>0</x:v>
      </x:c>
      <x:c r="R1031" t="str">
        <x:v>Bank of America Stadium</x:v>
      </x:c>
      <x:c r="S1031" t="str">
        <x:v>CBS</x:v>
      </x:c>
      <x:c r="T1031" t="str">
        <x:v>DEN -3</x:v>
      </x:c>
      <x:c r="U1031" s="70" t="n">
        <x:v>3</x:v>
      </x:c>
      <x:c r="V1031" s="70" t="n">
        <x:v>42.5</x:v>
      </x:c>
      <x:c r="W1031" t="str">
        <x:v>DraftKings</x:v>
      </x:c>
      <x:c r="X1031" t="str">
        <x:v>https://www.espn.com/nfl/game/_/gameId/401873041</x:v>
      </x:c>
    </x:row>
    <x:row r="1032">
      <x:c r="A1032" t="str">
        <x:v>NFL</x:v>
      </x:c>
      <x:c r="B1032" t="n">
        <x:v>9</x:v>
      </x:c>
      <x:c r="C1032" s="68" t="n">
        <x:v>46334.75</x:v>
      </x:c>
      <x:c r="D1032" s="71" t="str">
        <x:v>pre</x:v>
      </x:c>
      <x:c r="E1032" s="72" t="b">
        <x:v>0</x:v>
      </x:c>
      <x:c r="F1032" t="str">
        <x:v>Detroit Lions</x:v>
      </x:c>
      <x:c r="G1032" t="str">
        <x:v>DET</x:v>
      </x:c>
      <x:c r="H1032" s="69" t="n">
        <x:v>0</x:v>
      </x:c>
      <x:c r="I1032" t="str">
        <x:v>1-1</x:v>
      </x:c>
      <x:c r="J1032" t="str">
        <x:f>IF(E1032&lt;&gt;TRUE,"",IF(H1032&gt;M1032,"W",IF(H1032&lt;M1032,"L","T")))</x:f>
      </x:c>
      <x:c r="K1032" t="str">
        <x:v>Miami Dolphins</x:v>
      </x:c>
      <x:c r="L1032" t="str">
        <x:v>MIA</x:v>
      </x:c>
      <x:c r="M1032" s="69" t="n">
        <x:v>0</x:v>
      </x:c>
      <x:c r="N1032" t="str">
        <x:v>0-2</x:v>
      </x:c>
      <x:c r="O1032" t="str">
        <x:f>IF(E1032&lt;&gt;TRUE,"",IF(M1032&gt;H1032,"W",IF(M1032&lt;H1032,"L","T")))</x:f>
      </x:c>
      <x:c r="P1032" s="66" t="b">
        <x:v>0</x:v>
      </x:c>
      <x:c r="Q1032" s="66" t="b">
        <x:v>0</x:v>
      </x:c>
      <x:c r="R1032" t="str">
        <x:v>Hard Rock Stadium</x:v>
      </x:c>
      <x:c r="S1032" t="str">
        <x:v>FOX</x:v>
      </x:c>
      <x:c r="T1032" t="str">
        <x:v>DET -6.5</x:v>
      </x:c>
      <x:c r="U1032" s="70" t="n">
        <x:v>6.5</x:v>
      </x:c>
      <x:c r="V1032" s="70" t="n">
        <x:v>47.5</x:v>
      </x:c>
      <x:c r="W1032" t="str">
        <x:v>DraftKings</x:v>
      </x:c>
      <x:c r="X1032" t="str">
        <x:v>https://www.espn.com/nfl/game/_/gameId/401873042</x:v>
      </x:c>
    </x:row>
    <x:row r="1033">
      <x:c r="A1033" t="str">
        <x:v>NFL</x:v>
      </x:c>
      <x:c r="B1033" t="n">
        <x:v>9</x:v>
      </x:c>
      <x:c r="C1033" s="68" t="n">
        <x:v>46334.75</x:v>
      </x:c>
      <x:c r="D1033" s="71" t="str">
        <x:v>pre</x:v>
      </x:c>
      <x:c r="E1033" s="72" t="b">
        <x:v>0</x:v>
      </x:c>
      <x:c r="F1033" t="str">
        <x:v>Los Angeles Rams</x:v>
      </x:c>
      <x:c r="G1033" t="str">
        <x:v>LAR</x:v>
      </x:c>
      <x:c r="H1033" s="69" t="n">
        <x:v>0</x:v>
      </x:c>
      <x:c r="I1033" t="str">
        <x:v>0-1</x:v>
      </x:c>
      <x:c r="J1033" t="str">
        <x:f>IF(E1033&lt;&gt;TRUE,"",IF(H1033&gt;M1033,"W",IF(H1033&lt;M1033,"L","T")))</x:f>
      </x:c>
      <x:c r="K1033" t="str">
        <x:v>Washington Commanders</x:v>
      </x:c>
      <x:c r="L1033" t="str">
        <x:v>WSH</x:v>
      </x:c>
      <x:c r="M1033" s="69" t="n">
        <x:v>0</x:v>
      </x:c>
      <x:c r="N1033" t="str">
        <x:v>0-2</x:v>
      </x:c>
      <x:c r="O1033" t="str">
        <x:f>IF(E1033&lt;&gt;TRUE,"",IF(M1033&gt;H1033,"W",IF(M1033&lt;H1033,"L","T")))</x:f>
      </x:c>
      <x:c r="P1033" s="66" t="b">
        <x:v>0</x:v>
      </x:c>
      <x:c r="Q1033" s="66" t="b">
        <x:v>0</x:v>
      </x:c>
      <x:c r="R1033" t="str">
        <x:v>Northwest Stadium</x:v>
      </x:c>
      <x:c r="S1033" t="str">
        <x:v>FOX</x:v>
      </x:c>
      <x:c r="T1033" t="str">
        <x:v>LAR -5.5</x:v>
      </x:c>
      <x:c r="U1033" s="70" t="n">
        <x:v>5.5</x:v>
      </x:c>
      <x:c r="V1033" s="70" t="n">
        <x:v>50.5</x:v>
      </x:c>
      <x:c r="W1033" t="str">
        <x:v>DraftKings</x:v>
      </x:c>
      <x:c r="X1033" t="str">
        <x:v>https://www.espn.com/nfl/game/_/gameId/401873043</x:v>
      </x:c>
    </x:row>
    <x:row r="1034">
      <x:c r="A1034" t="str">
        <x:v>NFL</x:v>
      </x:c>
      <x:c r="B1034" t="n">
        <x:v>9</x:v>
      </x:c>
      <x:c r="C1034" s="68" t="n">
        <x:v>46334.75</x:v>
      </x:c>
      <x:c r="D1034" s="71" t="str">
        <x:v>pre</x:v>
      </x:c>
      <x:c r="E1034" s="72" t="b">
        <x:v>0</x:v>
      </x:c>
      <x:c r="F1034" t="str">
        <x:v>New York Giants</x:v>
      </x:c>
      <x:c r="G1034" t="str">
        <x:v>NYG</x:v>
      </x:c>
      <x:c r="H1034" s="69" t="n">
        <x:v>0</x:v>
      </x:c>
      <x:c r="I1034" t="str">
        <x:v>1-0</x:v>
      </x:c>
      <x:c r="J1034" t="str">
        <x:f>IF(E1034&lt;&gt;TRUE,"",IF(H1034&gt;M1034,"W",IF(H1034&lt;M1034,"L","T")))</x:f>
      </x:c>
      <x:c r="K1034" t="str">
        <x:v>Philadelphia Eagles</x:v>
      </x:c>
      <x:c r="L1034" t="str">
        <x:v>PHI</x:v>
      </x:c>
      <x:c r="M1034" s="69" t="n">
        <x:v>0</x:v>
      </x:c>
      <x:c r="N1034" t="str">
        <x:v>2-0</x:v>
      </x:c>
      <x:c r="O1034" t="str">
        <x:f>IF(E1034&lt;&gt;TRUE,"",IF(M1034&gt;H1034,"W",IF(M1034&lt;H1034,"L","T")))</x:f>
      </x:c>
      <x:c r="P1034" s="66" t="b">
        <x:v>0</x:v>
      </x:c>
      <x:c r="Q1034" s="66" t="b">
        <x:v>0</x:v>
      </x:c>
      <x:c r="R1034" t="str">
        <x:v>Lincoln Financial Field</x:v>
      </x:c>
      <x:c r="S1034" t="str">
        <x:v>FOX</x:v>
      </x:c>
      <x:c r="T1034" t="str">
        <x:v>PHI -5.5</x:v>
      </x:c>
      <x:c r="U1034" s="70" t="n">
        <x:v>-5.5</x:v>
      </x:c>
      <x:c r="V1034" s="70" t="n">
        <x:v>44.5</x:v>
      </x:c>
      <x:c r="W1034" t="str">
        <x:v>DraftKings</x:v>
      </x:c>
      <x:c r="X1034" t="str">
        <x:v>https://www.espn.com/nfl/game/_/gameId/401873044</x:v>
      </x:c>
    </x:row>
    <x:row r="1035">
      <x:c r="A1035" t="str">
        <x:v>NFL</x:v>
      </x:c>
      <x:c r="B1035" t="n">
        <x:v>9</x:v>
      </x:c>
      <x:c r="C1035" s="68" t="n">
        <x:v>46334.75</x:v>
      </x:c>
      <x:c r="D1035" s="71" t="str">
        <x:v>pre</x:v>
      </x:c>
      <x:c r="E1035" s="72" t="b">
        <x:v>0</x:v>
      </x:c>
      <x:c r="F1035" t="str">
        <x:v>New York Jets</x:v>
      </x:c>
      <x:c r="G1035" t="str">
        <x:v>NYJ</x:v>
      </x:c>
      <x:c r="H1035" s="69" t="n">
        <x:v>0</x:v>
      </x:c>
      <x:c r="I1035" t="str">
        <x:v>1-1</x:v>
      </x:c>
      <x:c r="J1035" t="str">
        <x:f>IF(E1035&lt;&gt;TRUE,"",IF(H1035&gt;M1035,"W",IF(H1035&lt;M1035,"L","T")))</x:f>
      </x:c>
      <x:c r="K1035" t="str">
        <x:v>Kansas City Chiefs</x:v>
      </x:c>
      <x:c r="L1035" t="str">
        <x:v>KC</x:v>
      </x:c>
      <x:c r="M1035" s="69" t="n">
        <x:v>0</x:v>
      </x:c>
      <x:c r="N1035" t="str">
        <x:v>2-0</x:v>
      </x:c>
      <x:c r="O1035" t="str">
        <x:f>IF(E1035&lt;&gt;TRUE,"",IF(M1035&gt;H1035,"W",IF(M1035&lt;H1035,"L","T")))</x:f>
      </x:c>
      <x:c r="P1035" s="66" t="b">
        <x:v>0</x:v>
      </x:c>
      <x:c r="Q1035" s="66" t="b">
        <x:v>0</x:v>
      </x:c>
      <x:c r="R1035" t="str">
        <x:v>Arrowhead Stadium</x:v>
      </x:c>
      <x:c r="S1035" t="str">
        <x:v>CBS</x:v>
      </x:c>
      <x:c r="T1035" t="str">
        <x:v>KC -9.5</x:v>
      </x:c>
      <x:c r="U1035" s="70" t="n">
        <x:v>-9.5</x:v>
      </x:c>
      <x:c r="V1035" s="70" t="n">
        <x:v>41.5</x:v>
      </x:c>
      <x:c r="W1035" t="str">
        <x:v>DraftKings</x:v>
      </x:c>
      <x:c r="X1035" t="str">
        <x:v>https://www.espn.com/nfl/game/_/gameId/401873045</x:v>
      </x:c>
    </x:row>
    <x:row r="1036">
      <x:c r="A1036" t="str">
        <x:v>NFL</x:v>
      </x:c>
      <x:c r="B1036" t="n">
        <x:v>9</x:v>
      </x:c>
      <x:c r="C1036" s="68" t="n">
        <x:v>46334.87847222222</x:v>
      </x:c>
      <x:c r="D1036" s="71" t="str">
        <x:v>pre</x:v>
      </x:c>
      <x:c r="E1036" s="72" t="b">
        <x:v>0</x:v>
      </x:c>
      <x:c r="F1036" t="str">
        <x:v>Houston Texans</x:v>
      </x:c>
      <x:c r="G1036" t="str">
        <x:v>HOU</x:v>
      </x:c>
      <x:c r="H1036" s="69" t="n">
        <x:v>0</x:v>
      </x:c>
      <x:c r="I1036" t="str">
        <x:v>0-2</x:v>
      </x:c>
      <x:c r="J1036" t="str">
        <x:f>IF(E1036&lt;&gt;TRUE,"",IF(H1036&gt;M1036,"W",IF(H1036&lt;M1036,"L","T")))</x:f>
      </x:c>
      <x:c r="K1036" t="str">
        <x:v>Los Angeles Chargers</x:v>
      </x:c>
      <x:c r="L1036" t="str">
        <x:v>LAC</x:v>
      </x:c>
      <x:c r="M1036" s="69" t="n">
        <x:v>0</x:v>
      </x:c>
      <x:c r="N1036" t="str">
        <x:v>0-2</x:v>
      </x:c>
      <x:c r="O1036" t="str">
        <x:f>IF(E1036&lt;&gt;TRUE,"",IF(M1036&gt;H1036,"W",IF(M1036&lt;H1036,"L","T")))</x:f>
      </x:c>
      <x:c r="P1036" s="66" t="b">
        <x:v>0</x:v>
      </x:c>
      <x:c r="Q1036" s="66" t="b">
        <x:v>0</x:v>
      </x:c>
      <x:c r="R1036" t="str">
        <x:v>SoFi Stadium</x:v>
      </x:c>
      <x:c r="S1036" t="str">
        <x:v>CBS</x:v>
      </x:c>
      <x:c r="T1036" t="str">
        <x:v>LAC -2.5</x:v>
      </x:c>
      <x:c r="U1036" s="70" t="n">
        <x:v>-2.5</x:v>
      </x:c>
      <x:c r="V1036" s="70" t="n">
        <x:v>43.5</x:v>
      </x:c>
      <x:c r="W1036" t="str">
        <x:v>DraftKings</x:v>
      </x:c>
      <x:c r="X1036" t="str">
        <x:v>https://www.espn.com/nfl/game/_/gameId/401873046</x:v>
      </x:c>
    </x:row>
    <x:row r="1037">
      <x:c r="A1037" t="str">
        <x:v>NFL</x:v>
      </x:c>
      <x:c r="B1037" t="n">
        <x:v>9</x:v>
      </x:c>
      <x:c r="C1037" s="68" t="n">
        <x:v>46334.87847222222</x:v>
      </x:c>
      <x:c r="D1037" s="71" t="str">
        <x:v>pre</x:v>
      </x:c>
      <x:c r="E1037" s="72" t="b">
        <x:v>0</x:v>
      </x:c>
      <x:c r="F1037" t="str">
        <x:v>Las Vegas Raiders</x:v>
      </x:c>
      <x:c r="G1037" t="str">
        <x:v>LV</x:v>
      </x:c>
      <x:c r="H1037" s="69" t="n">
        <x:v>0</x:v>
      </x:c>
      <x:c r="I1037" t="str">
        <x:v>2-0</x:v>
      </x:c>
      <x:c r="J1037" t="str">
        <x:f>IF(E1037&lt;&gt;TRUE,"",IF(H1037&gt;M1037,"W",IF(H1037&lt;M1037,"L","T")))</x:f>
      </x:c>
      <x:c r="K1037" t="str">
        <x:v>San Francisco 49ers</x:v>
      </x:c>
      <x:c r="L1037" t="str">
        <x:v>SF</x:v>
      </x:c>
      <x:c r="M1037" s="69" t="n">
        <x:v>0</x:v>
      </x:c>
      <x:c r="N1037" t="str">
        <x:v>2-0</x:v>
      </x:c>
      <x:c r="O1037" t="str">
        <x:f>IF(E1037&lt;&gt;TRUE,"",IF(M1037&gt;H1037,"W",IF(M1037&lt;H1037,"L","T")))</x:f>
      </x:c>
      <x:c r="P1037" s="66" t="b">
        <x:v>0</x:v>
      </x:c>
      <x:c r="Q1037" s="66" t="b">
        <x:v>0</x:v>
      </x:c>
      <x:c r="R1037" t="str">
        <x:v>Levi's Stadium</x:v>
      </x:c>
      <x:c r="S1037" t="str">
        <x:v>CBS</x:v>
      </x:c>
      <x:c r="T1037" t="str">
        <x:v>SF -8.5</x:v>
      </x:c>
      <x:c r="U1037" s="70" t="n">
        <x:v>-8.5</x:v>
      </x:c>
      <x:c r="V1037" s="70" t="n">
        <x:v>46.5</x:v>
      </x:c>
      <x:c r="W1037" t="str">
        <x:v>DraftKings</x:v>
      </x:c>
      <x:c r="X1037" t="str">
        <x:v>https://www.espn.com/nfl/game/_/gameId/401873047</x:v>
      </x:c>
    </x:row>
    <x:row r="1038">
      <x:c r="A1038" t="str">
        <x:v>NFL</x:v>
      </x:c>
      <x:c r="B1038" t="n">
        <x:v>9</x:v>
      </x:c>
      <x:c r="C1038" s="68" t="n">
        <x:v>46334.89236111111</x:v>
      </x:c>
      <x:c r="D1038" s="71" t="str">
        <x:v>pre</x:v>
      </x:c>
      <x:c r="E1038" s="72" t="b">
        <x:v>0</x:v>
      </x:c>
      <x:c r="F1038" t="str">
        <x:v>Arizona Cardinals</x:v>
      </x:c>
      <x:c r="G1038" t="str">
        <x:v>ARI</x:v>
      </x:c>
      <x:c r="H1038" s="69" t="n">
        <x:v>0</x:v>
      </x:c>
      <x:c r="I1038" t="str">
        <x:v>1-1</x:v>
      </x:c>
      <x:c r="J1038" t="str">
        <x:f>IF(E1038&lt;&gt;TRUE,"",IF(H1038&gt;M1038,"W",IF(H1038&lt;M1038,"L","T")))</x:f>
      </x:c>
      <x:c r="K1038" t="str">
        <x:v>Seattle Seahawks</x:v>
      </x:c>
      <x:c r="L1038" t="str">
        <x:v>SEA</x:v>
      </x:c>
      <x:c r="M1038" s="69" t="n">
        <x:v>0</x:v>
      </x:c>
      <x:c r="N1038" t="str">
        <x:v>2-0</x:v>
      </x:c>
      <x:c r="O1038" t="str">
        <x:f>IF(E1038&lt;&gt;TRUE,"",IF(M1038&gt;H1038,"W",IF(M1038&lt;H1038,"L","T")))</x:f>
      </x:c>
      <x:c r="P1038" s="66" t="b">
        <x:v>0</x:v>
      </x:c>
      <x:c r="Q1038" s="66" t="b">
        <x:v>0</x:v>
      </x:c>
      <x:c r="R1038" t="str">
        <x:v>Lumen Field</x:v>
      </x:c>
      <x:c r="S1038" t="str">
        <x:v>FOX</x:v>
      </x:c>
      <x:c r="T1038" t="str">
        <x:v>SEA -13.5</x:v>
      </x:c>
      <x:c r="U1038" s="70" t="n">
        <x:v>-13.5</x:v>
      </x:c>
      <x:c r="V1038" s="70" t="n">
        <x:v>45.5</x:v>
      </x:c>
      <x:c r="W1038" t="str">
        <x:v>DraftKings</x:v>
      </x:c>
      <x:c r="X1038" t="str">
        <x:v>https://www.espn.com/nfl/game/_/gameId/401873048</x:v>
      </x:c>
    </x:row>
    <x:row r="1039">
      <x:c r="A1039" t="str">
        <x:v>NFL</x:v>
      </x:c>
      <x:c r="B1039" t="n">
        <x:v>9</x:v>
      </x:c>
      <x:c r="C1039" s="68" t="n">
        <x:v>46334.89236111111</x:v>
      </x:c>
      <x:c r="D1039" s="71" t="str">
        <x:v>pre</x:v>
      </x:c>
      <x:c r="E1039" s="72" t="b">
        <x:v>0</x:v>
      </x:c>
      <x:c r="F1039" t="str">
        <x:v>Green Bay Packers</x:v>
      </x:c>
      <x:c r="G1039" t="str">
        <x:v>GB</x:v>
      </x:c>
      <x:c r="H1039" s="69" t="n">
        <x:v>0</x:v>
      </x:c>
      <x:c r="I1039" t="str">
        <x:v>1-1</x:v>
      </x:c>
      <x:c r="J1039" t="str">
        <x:f>IF(E1039&lt;&gt;TRUE,"",IF(H1039&gt;M1039,"W",IF(H1039&lt;M1039,"L","T")))</x:f>
      </x:c>
      <x:c r="K1039" t="str">
        <x:v>New England Patriots</x:v>
      </x:c>
      <x:c r="L1039" t="str">
        <x:v>NE</x:v>
      </x:c>
      <x:c r="M1039" s="69" t="n">
        <x:v>0</x:v>
      </x:c>
      <x:c r="N1039" t="str">
        <x:v>1-1</x:v>
      </x:c>
      <x:c r="O1039" t="str">
        <x:f>IF(E1039&lt;&gt;TRUE,"",IF(M1039&gt;H1039,"W",IF(M1039&lt;H1039,"L","T")))</x:f>
      </x:c>
      <x:c r="P1039" s="66" t="b">
        <x:v>0</x:v>
      </x:c>
      <x:c r="Q1039" s="66" t="b">
        <x:v>0</x:v>
      </x:c>
      <x:c r="R1039" t="str">
        <x:v>Gillette Stadium</x:v>
      </x:c>
      <x:c r="S1039" t="str">
        <x:v>FOX</x:v>
      </x:c>
      <x:c r="T1039" t="str">
        <x:v>NE -1.5</x:v>
      </x:c>
      <x:c r="U1039" s="70" t="n">
        <x:v>-1.5</x:v>
      </x:c>
      <x:c r="V1039" s="70" t="n">
        <x:v>46.5</x:v>
      </x:c>
      <x:c r="W1039" t="str">
        <x:v>DraftKings</x:v>
      </x:c>
      <x:c r="X1039" t="str">
        <x:v>https://www.espn.com/nfl/game/_/gameId/401873049</x:v>
      </x:c>
    </x:row>
    <x:row r="1040">
      <x:c r="A1040" t="str">
        <x:v>NFL</x:v>
      </x:c>
      <x:c r="B1040" t="n">
        <x:v>9</x:v>
      </x:c>
      <x:c r="C1040" s="68" t="n">
        <x:v>46335.055555555555</x:v>
      </x:c>
      <x:c r="D1040" s="71" t="str">
        <x:v>pre</x:v>
      </x:c>
      <x:c r="E1040" s="72" t="b">
        <x:v>0</x:v>
      </x:c>
      <x:c r="F1040" t="str">
        <x:v>Tampa Bay Buccaneers</x:v>
      </x:c>
      <x:c r="G1040" t="str">
        <x:v>TB</x:v>
      </x:c>
      <x:c r="H1040" s="69" t="n">
        <x:v>0</x:v>
      </x:c>
      <x:c r="I1040" t="str">
        <x:v>0-2</x:v>
      </x:c>
      <x:c r="J1040" t="str">
        <x:f>IF(E1040&lt;&gt;TRUE,"",IF(H1040&gt;M1040,"W",IF(H1040&lt;M1040,"L","T")))</x:f>
      </x:c>
      <x:c r="K1040" t="str">
        <x:v>Chicago Bears</x:v>
      </x:c>
      <x:c r="L1040" t="str">
        <x:v>CHI</x:v>
      </x:c>
      <x:c r="M1040" s="69" t="n">
        <x:v>0</x:v>
      </x:c>
      <x:c r="N1040" t="str">
        <x:v>1-1</x:v>
      </x:c>
      <x:c r="O1040" t="str">
        <x:f>IF(E1040&lt;&gt;TRUE,"",IF(M1040&gt;H1040,"W",IF(M1040&lt;H1040,"L","T")))</x:f>
      </x:c>
      <x:c r="P1040" s="66" t="b">
        <x:v>0</x:v>
      </x:c>
      <x:c r="Q1040" s="66" t="b">
        <x:v>0</x:v>
      </x:c>
      <x:c r="R1040" t="str">
        <x:v>Soldier Field</x:v>
      </x:c>
      <x:c r="S1040" t="str">
        <x:v>NBC</x:v>
      </x:c>
      <x:c r="T1040" t="str">
        <x:v>CHI -3.5</x:v>
      </x:c>
      <x:c r="U1040" s="70" t="n">
        <x:v>-3.5</x:v>
      </x:c>
      <x:c r="V1040" s="70" t="n">
        <x:v>48.5</x:v>
      </x:c>
      <x:c r="W1040" t="str">
        <x:v>DraftKings</x:v>
      </x:c>
      <x:c r="X1040" t="str">
        <x:v>https://www.espn.com/nfl/game/_/gameId/401873050</x:v>
      </x:c>
    </x:row>
    <x:row r="1041">
      <x:c r="A1041" t="str">
        <x:v>NFL</x:v>
      </x:c>
      <x:c r="B1041" t="n">
        <x:v>9</x:v>
      </x:c>
      <x:c r="C1041" s="68" t="n">
        <x:v>46336.052083333336</x:v>
      </x:c>
      <x:c r="D1041" s="71" t="str">
        <x:v>pre</x:v>
      </x:c>
      <x:c r="E1041" s="72" t="b">
        <x:v>0</x:v>
      </x:c>
      <x:c r="F1041" t="str">
        <x:v>Buffalo Bills</x:v>
      </x:c>
      <x:c r="G1041" t="str">
        <x:v>BUF</x:v>
      </x:c>
      <x:c r="H1041" s="69" t="n">
        <x:v>0</x:v>
      </x:c>
      <x:c r="I1041" t="str">
        <x:v>2-0</x:v>
      </x:c>
      <x:c r="J1041" t="str">
        <x:f>IF(E1041&lt;&gt;TRUE,"",IF(H1041&gt;M1041,"W",IF(H1041&lt;M1041,"L","T")))</x:f>
      </x:c>
      <x:c r="K1041" t="str">
        <x:v>Minnesota Vikings</x:v>
      </x:c>
      <x:c r="L1041" t="str">
        <x:v>MIN</x:v>
      </x:c>
      <x:c r="M1041" s="69" t="n">
        <x:v>0</x:v>
      </x:c>
      <x:c r="N1041" t="str">
        <x:v>2-0</x:v>
      </x:c>
      <x:c r="O1041" t="str">
        <x:f>IF(E1041&lt;&gt;TRUE,"",IF(M1041&gt;H1041,"W",IF(M1041&lt;H1041,"L","T")))</x:f>
      </x:c>
      <x:c r="P1041" s="66" t="b">
        <x:v>0</x:v>
      </x:c>
      <x:c r="Q1041" s="66" t="b">
        <x:v>0</x:v>
      </x:c>
      <x:c r="R1041" t="str">
        <x:v>U.S. Bank Stadium</x:v>
      </x:c>
      <x:c r="S1041" t="str">
        <x:v>ESPN / ABC</x:v>
      </x:c>
      <x:c r="T1041" t="str">
        <x:v>BUF -3</x:v>
      </x:c>
      <x:c r="U1041" s="70" t="n">
        <x:v>3</x:v>
      </x:c>
      <x:c r="V1041" s="70" t="n">
        <x:v>48.5</x:v>
      </x:c>
      <x:c r="W1041" t="str">
        <x:v>DraftKings</x:v>
      </x:c>
      <x:c r="X1041" t="str">
        <x:v>https://www.espn.com/nfl/game/_/gameId/401873051</x:v>
      </x:c>
    </x:row>
    <x:row r="1042">
      <x:c r="A1042" t="str">
        <x:v>NFL</x:v>
      </x:c>
      <x:c r="B1042" t="n">
        <x:v>10</x:v>
      </x:c>
      <x:c r="C1042" s="68" t="n">
        <x:v>46339.052083333336</x:v>
      </x:c>
      <x:c r="D1042" s="71" t="str">
        <x:v>pre</x:v>
      </x:c>
      <x:c r="E1042" s="72" t="b">
        <x:v>0</x:v>
      </x:c>
      <x:c r="F1042" t="str">
        <x:v>Washington Commanders</x:v>
      </x:c>
      <x:c r="G1042" t="str">
        <x:v>WSH</x:v>
      </x:c>
      <x:c r="H1042" s="69" t="n">
        <x:v>0</x:v>
      </x:c>
      <x:c r="I1042" t="str">
        <x:v>0-2</x:v>
      </x:c>
      <x:c r="J1042" t="str">
        <x:f>IF(E1042&lt;&gt;TRUE,"",IF(H1042&gt;M1042,"W",IF(H1042&lt;M1042,"L","T")))</x:f>
      </x:c>
      <x:c r="K1042" t="str">
        <x:v>New York Giants</x:v>
      </x:c>
      <x:c r="L1042" t="str">
        <x:v>NYG</x:v>
      </x:c>
      <x:c r="M1042" s="69" t="n">
        <x:v>0</x:v>
      </x:c>
      <x:c r="N1042" t="str">
        <x:v>1-0</x:v>
      </x:c>
      <x:c r="O1042" t="str">
        <x:f>IF(E1042&lt;&gt;TRUE,"",IF(M1042&gt;H1042,"W",IF(M1042&lt;H1042,"L","T")))</x:f>
      </x:c>
      <x:c r="P1042" s="66" t="b">
        <x:v>0</x:v>
      </x:c>
      <x:c r="Q1042" s="66" t="b">
        <x:v>0</x:v>
      </x:c>
      <x:c r="R1042" t="str">
        <x:v>MetLife Stadium</x:v>
      </x:c>
      <x:c r="S1042" t="str">
        <x:v>Prime Video</x:v>
      </x:c>
      <x:c r="T1042" t="str">
        <x:v>NYG -1.5</x:v>
      </x:c>
      <x:c r="U1042" s="70" t="n">
        <x:v>-1.5</x:v>
      </x:c>
      <x:c r="V1042" s="70" t="n">
        <x:v>47.5</x:v>
      </x:c>
      <x:c r="W1042" t="str">
        <x:v>DraftKings</x:v>
      </x:c>
      <x:c r="X1042" t="str">
        <x:v>https://www.espn.com/nfl/game/_/gameId/401873052</x:v>
      </x:c>
    </x:row>
    <x:row r="1043">
      <x:c r="A1043" t="str">
        <x:v>NFL</x:v>
      </x:c>
      <x:c r="B1043" t="n">
        <x:v>10</x:v>
      </x:c>
      <x:c r="C1043" s="68" t="n">
        <x:v>46341.604166666664</x:v>
      </x:c>
      <x:c r="D1043" s="71" t="str">
        <x:v>pre</x:v>
      </x:c>
      <x:c r="E1043" s="72" t="b">
        <x:v>0</x:v>
      </x:c>
      <x:c r="F1043" t="str">
        <x:v>New England Patriots</x:v>
      </x:c>
      <x:c r="G1043" t="str">
        <x:v>NE</x:v>
      </x:c>
      <x:c r="H1043" s="69" t="n">
        <x:v>0</x:v>
      </x:c>
      <x:c r="I1043" t="str">
        <x:v>1-1</x:v>
      </x:c>
      <x:c r="J1043" t="str">
        <x:f>IF(E1043&lt;&gt;TRUE,"",IF(H1043&gt;M1043,"W",IF(H1043&lt;M1043,"L","T")))</x:f>
      </x:c>
      <x:c r="K1043" t="str">
        <x:v>Detroit Lions</x:v>
      </x:c>
      <x:c r="L1043" t="str">
        <x:v>DET</x:v>
      </x:c>
      <x:c r="M1043" s="69" t="n">
        <x:v>0</x:v>
      </x:c>
      <x:c r="N1043" t="str">
        <x:v>1-1</x:v>
      </x:c>
      <x:c r="O1043" t="str">
        <x:f>IF(E1043&lt;&gt;TRUE,"",IF(M1043&gt;H1043,"W",IF(M1043&lt;H1043,"L","T")))</x:f>
      </x:c>
      <x:c r="P1043" s="66" t="b">
        <x:v>1</x:v>
      </x:c>
      <x:c r="Q1043" s="66" t="b">
        <x:v>0</x:v>
      </x:c>
      <x:c r="R1043" t="str">
        <x:v>FC Bayern Munich Stadium</x:v>
      </x:c>
      <x:c r="S1043" t="str">
        <x:v>FOX</x:v>
      </x:c>
      <x:c r="T1043" t="str">
        <x:v>DET -1.5</x:v>
      </x:c>
      <x:c r="U1043" s="70" t="n">
        <x:v>-1.5</x:v>
      </x:c>
      <x:c r="V1043" s="70" t="n">
        <x:v>48.5</x:v>
      </x:c>
      <x:c r="W1043" t="str">
        <x:v>DraftKings</x:v>
      </x:c>
      <x:c r="X1043" t="str">
        <x:v>https://www.espn.com/nfl/game/_/gameId/401873053</x:v>
      </x:c>
    </x:row>
    <x:row r="1044">
      <x:c r="A1044" t="str">
        <x:v>NFL</x:v>
      </x:c>
      <x:c r="B1044" t="n">
        <x:v>10</x:v>
      </x:c>
      <x:c r="C1044" s="68" t="n">
        <x:v>46341.75</x:v>
      </x:c>
      <x:c r="D1044" s="71" t="str">
        <x:v>pre</x:v>
      </x:c>
      <x:c r="E1044" s="72" t="b">
        <x:v>0</x:v>
      </x:c>
      <x:c r="F1044" t="str">
        <x:v>Buffalo Bills</x:v>
      </x:c>
      <x:c r="G1044" t="str">
        <x:v>BUF</x:v>
      </x:c>
      <x:c r="H1044" s="69" t="n">
        <x:v>0</x:v>
      </x:c>
      <x:c r="I1044" t="str">
        <x:v>2-0</x:v>
      </x:c>
      <x:c r="J1044" t="str">
        <x:f>IF(E1044&lt;&gt;TRUE,"",IF(H1044&gt;M1044,"W",IF(H1044&lt;M1044,"L","T")))</x:f>
      </x:c>
      <x:c r="K1044" t="str">
        <x:v>New York Jets</x:v>
      </x:c>
      <x:c r="L1044" t="str">
        <x:v>NYJ</x:v>
      </x:c>
      <x:c r="M1044" s="69" t="n">
        <x:v>0</x:v>
      </x:c>
      <x:c r="N1044" t="str">
        <x:v>1-1</x:v>
      </x:c>
      <x:c r="O1044" t="str">
        <x:f>IF(E1044&lt;&gt;TRUE,"",IF(M1044&gt;H1044,"W",IF(M1044&lt;H1044,"L","T")))</x:f>
      </x:c>
      <x:c r="P1044" s="66" t="b">
        <x:v>0</x:v>
      </x:c>
      <x:c r="Q1044" s="66" t="b">
        <x:v>0</x:v>
      </x:c>
      <x:c r="R1044" t="str">
        <x:v>MetLife Stadium</x:v>
      </x:c>
      <x:c r="S1044" t="str">
        <x:v>CBS</x:v>
      </x:c>
      <x:c r="T1044" t="str">
        <x:v>BUF -7</x:v>
      </x:c>
      <x:c r="U1044" s="70" t="n">
        <x:v>7</x:v>
      </x:c>
      <x:c r="V1044" s="70" t="n">
        <x:v>46.5</x:v>
      </x:c>
      <x:c r="W1044" t="str">
        <x:v>DraftKings</x:v>
      </x:c>
      <x:c r="X1044" t="str">
        <x:v>https://www.espn.com/nfl/game/_/gameId/401873054</x:v>
      </x:c>
    </x:row>
    <x:row r="1045">
      <x:c r="A1045" t="str">
        <x:v>NFL</x:v>
      </x:c>
      <x:c r="B1045" t="n">
        <x:v>10</x:v>
      </x:c>
      <x:c r="C1045" s="68" t="n">
        <x:v>46341.75</x:v>
      </x:c>
      <x:c r="D1045" s="71" t="str">
        <x:v>pre</x:v>
      </x:c>
      <x:c r="E1045" s="72" t="b">
        <x:v>0</x:v>
      </x:c>
      <x:c r="F1045" t="str">
        <x:v>Carolina Panthers</x:v>
      </x:c>
      <x:c r="G1045" t="str">
        <x:v>CAR</x:v>
      </x:c>
      <x:c r="H1045" s="69" t="n">
        <x:v>0</x:v>
      </x:c>
      <x:c r="I1045" t="str">
        <x:v>1-1</x:v>
      </x:c>
      <x:c r="J1045" t="str">
        <x:f>IF(E1045&lt;&gt;TRUE,"",IF(H1045&gt;M1045,"W",IF(H1045&lt;M1045,"L","T")))</x:f>
      </x:c>
      <x:c r="K1045" t="str">
        <x:v>New Orleans Saints</x:v>
      </x:c>
      <x:c r="L1045" t="str">
        <x:v>NO</x:v>
      </x:c>
      <x:c r="M1045" s="69" t="n">
        <x:v>0</x:v>
      </x:c>
      <x:c r="N1045" t="str">
        <x:v>1-1</x:v>
      </x:c>
      <x:c r="O1045" t="str">
        <x:f>IF(E1045&lt;&gt;TRUE,"",IF(M1045&gt;H1045,"W",IF(M1045&lt;H1045,"L","T")))</x:f>
      </x:c>
      <x:c r="P1045" s="66" t="b">
        <x:v>0</x:v>
      </x:c>
      <x:c r="Q1045" s="66" t="b">
        <x:v>0</x:v>
      </x:c>
      <x:c r="R1045" t="str">
        <x:v>Caesars Superdome</x:v>
      </x:c>
      <x:c r="S1045" t="str">
        <x:v>FOX</x:v>
      </x:c>
      <x:c r="T1045" t="str">
        <x:v>NO -1.5</x:v>
      </x:c>
      <x:c r="U1045" s="70" t="n">
        <x:v>-1.5</x:v>
      </x:c>
      <x:c r="V1045" s="70" t="n">
        <x:v>43.5</x:v>
      </x:c>
      <x:c r="W1045" t="str">
        <x:v>DraftKings</x:v>
      </x:c>
      <x:c r="X1045" t="str">
        <x:v>https://www.espn.com/nfl/game/_/gameId/401873055</x:v>
      </x:c>
    </x:row>
    <x:row r="1046">
      <x:c r="A1046" t="str">
        <x:v>NFL</x:v>
      </x:c>
      <x:c r="B1046" t="n">
        <x:v>10</x:v>
      </x:c>
      <x:c r="C1046" s="68" t="n">
        <x:v>46341.75</x:v>
      </x:c>
      <x:c r="D1046" s="71" t="str">
        <x:v>pre</x:v>
      </x:c>
      <x:c r="E1046" s="72" t="b">
        <x:v>0</x:v>
      </x:c>
      <x:c r="F1046" t="str">
        <x:v>Houston Texans</x:v>
      </x:c>
      <x:c r="G1046" t="str">
        <x:v>HOU</x:v>
      </x:c>
      <x:c r="H1046" s="69" t="n">
        <x:v>0</x:v>
      </x:c>
      <x:c r="I1046" t="str">
        <x:v>0-2</x:v>
      </x:c>
      <x:c r="J1046" t="str">
        <x:f>IF(E1046&lt;&gt;TRUE,"",IF(H1046&gt;M1046,"W",IF(H1046&lt;M1046,"L","T")))</x:f>
      </x:c>
      <x:c r="K1046" t="str">
        <x:v>Cleveland Browns</x:v>
      </x:c>
      <x:c r="L1046" t="str">
        <x:v>CLE</x:v>
      </x:c>
      <x:c r="M1046" s="69" t="n">
        <x:v>0</x:v>
      </x:c>
      <x:c r="N1046" t="str">
        <x:v>1-1</x:v>
      </x:c>
      <x:c r="O1046" t="str">
        <x:f>IF(E1046&lt;&gt;TRUE,"",IF(M1046&gt;H1046,"W",IF(M1046&lt;H1046,"L","T")))</x:f>
      </x:c>
      <x:c r="P1046" s="66" t="b">
        <x:v>0</x:v>
      </x:c>
      <x:c r="Q1046" s="66" t="b">
        <x:v>0</x:v>
      </x:c>
      <x:c r="R1046" t="str">
        <x:v>Huntington Bank Field</x:v>
      </x:c>
      <x:c r="S1046" t="str">
        <x:v>FOX</x:v>
      </x:c>
      <x:c r="T1046" t="str">
        <x:v>HOU -4.5</x:v>
      </x:c>
      <x:c r="U1046" s="70" t="n">
        <x:v>4.5</x:v>
      </x:c>
      <x:c r="V1046" s="70" t="n">
        <x:v>38.5</x:v>
      </x:c>
      <x:c r="W1046" t="str">
        <x:v>DraftKings</x:v>
      </x:c>
      <x:c r="X1046" t="str">
        <x:v>https://www.espn.com/nfl/game/_/gameId/401873056</x:v>
      </x:c>
    </x:row>
    <x:row r="1047">
      <x:c r="A1047" t="str">
        <x:v>NFL</x:v>
      </x:c>
      <x:c r="B1047" t="n">
        <x:v>10</x:v>
      </x:c>
      <x:c r="C1047" s="68" t="n">
        <x:v>46341.75</x:v>
      </x:c>
      <x:c r="D1047" s="71" t="str">
        <x:v>pre</x:v>
      </x:c>
      <x:c r="E1047" s="72" t="b">
        <x:v>0</x:v>
      </x:c>
      <x:c r="F1047" t="str">
        <x:v>Jacksonville Jaguars</x:v>
      </x:c>
      <x:c r="G1047" t="str">
        <x:v>JAX</x:v>
      </x:c>
      <x:c r="H1047" s="69" t="n">
        <x:v>0</x:v>
      </x:c>
      <x:c r="I1047" t="str">
        <x:v>1-1</x:v>
      </x:c>
      <x:c r="J1047" t="str">
        <x:f>IF(E1047&lt;&gt;TRUE,"",IF(H1047&gt;M1047,"W",IF(H1047&lt;M1047,"L","T")))</x:f>
      </x:c>
      <x:c r="K1047" t="str">
        <x:v>Tennessee Titans</x:v>
      </x:c>
      <x:c r="L1047" t="str">
        <x:v>TEN</x:v>
      </x:c>
      <x:c r="M1047" s="69" t="n">
        <x:v>0</x:v>
      </x:c>
      <x:c r="N1047" t="str">
        <x:v>0-2</x:v>
      </x:c>
      <x:c r="O1047" t="str">
        <x:f>IF(E1047&lt;&gt;TRUE,"",IF(M1047&gt;H1047,"W",IF(M1047&lt;H1047,"L","T")))</x:f>
      </x:c>
      <x:c r="P1047" s="66" t="b">
        <x:v>0</x:v>
      </x:c>
      <x:c r="Q1047" s="66" t="b">
        <x:v>0</x:v>
      </x:c>
      <x:c r="R1047" t="str">
        <x:v>Nissan Stadium</x:v>
      </x:c>
      <x:c r="S1047" t="str">
        <x:v>FOX</x:v>
      </x:c>
      <x:c r="T1047" t="str">
        <x:v>JAX -2.5</x:v>
      </x:c>
      <x:c r="U1047" s="70" t="n">
        <x:v>2.5</x:v>
      </x:c>
      <x:c r="V1047" s="70" t="n">
        <x:v>45.5</x:v>
      </x:c>
      <x:c r="W1047" t="str">
        <x:v>DraftKings</x:v>
      </x:c>
      <x:c r="X1047" t="str">
        <x:v>https://www.espn.com/nfl/game/_/gameId/401873057</x:v>
      </x:c>
    </x:row>
    <x:row r="1048">
      <x:c r="A1048" t="str">
        <x:v>NFL</x:v>
      </x:c>
      <x:c r="B1048" t="n">
        <x:v>10</x:v>
      </x:c>
      <x:c r="C1048" s="68" t="n">
        <x:v>46341.75</x:v>
      </x:c>
      <x:c r="D1048" s="71" t="str">
        <x:v>pre</x:v>
      </x:c>
      <x:c r="E1048" s="72" t="b">
        <x:v>0</x:v>
      </x:c>
      <x:c r="F1048" t="str">
        <x:v>Kansas City Chiefs</x:v>
      </x:c>
      <x:c r="G1048" t="str">
        <x:v>KC</x:v>
      </x:c>
      <x:c r="H1048" s="69" t="n">
        <x:v>0</x:v>
      </x:c>
      <x:c r="I1048" t="str">
        <x:v>2-0</x:v>
      </x:c>
      <x:c r="J1048" t="str">
        <x:f>IF(E1048&lt;&gt;TRUE,"",IF(H1048&gt;M1048,"W",IF(H1048&lt;M1048,"L","T")))</x:f>
      </x:c>
      <x:c r="K1048" t="str">
        <x:v>Atlanta Falcons</x:v>
      </x:c>
      <x:c r="L1048" t="str">
        <x:v>ATL</x:v>
      </x:c>
      <x:c r="M1048" s="69" t="n">
        <x:v>0</x:v>
      </x:c>
      <x:c r="N1048" t="str">
        <x:v>0-2</x:v>
      </x:c>
      <x:c r="O1048" t="str">
        <x:f>IF(E1048&lt;&gt;TRUE,"",IF(M1048&gt;H1048,"W",IF(M1048&lt;H1048,"L","T")))</x:f>
      </x:c>
      <x:c r="P1048" s="66" t="b">
        <x:v>0</x:v>
      </x:c>
      <x:c r="Q1048" s="66" t="b">
        <x:v>0</x:v>
      </x:c>
      <x:c r="R1048" t="str">
        <x:v>Mercedes-Benz Stadium</x:v>
      </x:c>
      <x:c r="S1048" t="str">
        <x:v>CBS</x:v>
      </x:c>
      <x:c r="T1048" t="str">
        <x:v>KC -4.5</x:v>
      </x:c>
      <x:c r="U1048" s="70" t="n">
        <x:v>4.5</x:v>
      </x:c>
      <x:c r="V1048" s="70" t="n">
        <x:v>45.5</x:v>
      </x:c>
      <x:c r="W1048" t="str">
        <x:v>DraftKings</x:v>
      </x:c>
      <x:c r="X1048" t="str">
        <x:v>https://www.espn.com/nfl/game/_/gameId/401873058</x:v>
      </x:c>
    </x:row>
    <x:row r="1049">
      <x:c r="A1049" t="str">
        <x:v>NFL</x:v>
      </x:c>
      <x:c r="B1049" t="n">
        <x:v>10</x:v>
      </x:c>
      <x:c r="C1049" s="68" t="n">
        <x:v>46341.75</x:v>
      </x:c>
      <x:c r="D1049" s="71" t="str">
        <x:v>pre</x:v>
      </x:c>
      <x:c r="E1049" s="72" t="b">
        <x:v>0</x:v>
      </x:c>
      <x:c r="F1049" t="str">
        <x:v>Miami Dolphins</x:v>
      </x:c>
      <x:c r="G1049" t="str">
        <x:v>MIA</x:v>
      </x:c>
      <x:c r="H1049" s="69" t="n">
        <x:v>0</x:v>
      </x:c>
      <x:c r="I1049" t="str">
        <x:v>0-2</x:v>
      </x:c>
      <x:c r="J1049" t="str">
        <x:f>IF(E1049&lt;&gt;TRUE,"",IF(H1049&gt;M1049,"W",IF(H1049&lt;M1049,"L","T")))</x:f>
      </x:c>
      <x:c r="K1049" t="str">
        <x:v>Indianapolis Colts</x:v>
      </x:c>
      <x:c r="L1049" t="str">
        <x:v>IND</x:v>
      </x:c>
      <x:c r="M1049" s="69" t="n">
        <x:v>0</x:v>
      </x:c>
      <x:c r="N1049" t="str">
        <x:v>0-2</x:v>
      </x:c>
      <x:c r="O1049" t="str">
        <x:f>IF(E1049&lt;&gt;TRUE,"",IF(M1049&gt;H1049,"W",IF(M1049&lt;H1049,"L","T")))</x:f>
      </x:c>
      <x:c r="P1049" s="66" t="b">
        <x:v>0</x:v>
      </x:c>
      <x:c r="Q1049" s="66" t="b">
        <x:v>0</x:v>
      </x:c>
      <x:c r="R1049" t="str">
        <x:v>Lucas Oil Stadium</x:v>
      </x:c>
      <x:c r="S1049" t="str">
        <x:v>CBS</x:v>
      </x:c>
      <x:c r="T1049" t="str">
        <x:v>IND -6.5</x:v>
      </x:c>
      <x:c r="U1049" s="70" t="n">
        <x:v>-6.5</x:v>
      </x:c>
      <x:c r="V1049" s="70" t="n">
        <x:v>47.5</x:v>
      </x:c>
      <x:c r="W1049" t="str">
        <x:v>DraftKings</x:v>
      </x:c>
      <x:c r="X1049" t="str">
        <x:v>https://www.espn.com/nfl/game/_/gameId/401873059</x:v>
      </x:c>
    </x:row>
    <x:row r="1050">
      <x:c r="A1050" t="str">
        <x:v>NFL</x:v>
      </x:c>
      <x:c r="B1050" t="n">
        <x:v>10</x:v>
      </x:c>
      <x:c r="C1050" s="68" t="n">
        <x:v>46341.75</x:v>
      </x:c>
      <x:c r="D1050" s="71" t="str">
        <x:v>pre</x:v>
      </x:c>
      <x:c r="E1050" s="72" t="b">
        <x:v>0</x:v>
      </x:c>
      <x:c r="F1050" t="str">
        <x:v>Minnesota Vikings</x:v>
      </x:c>
      <x:c r="G1050" t="str">
        <x:v>MIN</x:v>
      </x:c>
      <x:c r="H1050" s="69" t="n">
        <x:v>0</x:v>
      </x:c>
      <x:c r="I1050" t="str">
        <x:v>2-0</x:v>
      </x:c>
      <x:c r="J1050" t="str">
        <x:f>IF(E1050&lt;&gt;TRUE,"",IF(H1050&gt;M1050,"W",IF(H1050&lt;M1050,"L","T")))</x:f>
      </x:c>
      <x:c r="K1050" t="str">
        <x:v>Green Bay Packers</x:v>
      </x:c>
      <x:c r="L1050" t="str">
        <x:v>GB</x:v>
      </x:c>
      <x:c r="M1050" s="69" t="n">
        <x:v>0</x:v>
      </x:c>
      <x:c r="N1050" t="str">
        <x:v>1-1</x:v>
      </x:c>
      <x:c r="O1050" t="str">
        <x:f>IF(E1050&lt;&gt;TRUE,"",IF(M1050&gt;H1050,"W",IF(M1050&lt;H1050,"L","T")))</x:f>
      </x:c>
      <x:c r="P1050" s="66" t="b">
        <x:v>0</x:v>
      </x:c>
      <x:c r="Q1050" s="66" t="b">
        <x:v>0</x:v>
      </x:c>
      <x:c r="R1050" t="str">
        <x:v>Lambeau Field</x:v>
      </x:c>
      <x:c r="S1050" t="str">
        <x:v>FOX</x:v>
      </x:c>
      <x:c r="T1050" t="str">
        <x:v>GB -4.5</x:v>
      </x:c>
      <x:c r="U1050" s="70" t="n">
        <x:v>-4.5</x:v>
      </x:c>
      <x:c r="V1050" s="70" t="n">
        <x:v>45.5</x:v>
      </x:c>
      <x:c r="W1050" t="str">
        <x:v>DraftKings</x:v>
      </x:c>
      <x:c r="X1050" t="str">
        <x:v>https://www.espn.com/nfl/game/_/gameId/401873060</x:v>
      </x:c>
    </x:row>
    <x:row r="1051">
      <x:c r="A1051" t="str">
        <x:v>NFL</x:v>
      </x:c>
      <x:c r="B1051" t="n">
        <x:v>10</x:v>
      </x:c>
      <x:c r="C1051" s="68" t="n">
        <x:v>46341.87847222222</x:v>
      </x:c>
      <x:c r="D1051" s="71" t="str">
        <x:v>pre</x:v>
      </x:c>
      <x:c r="E1051" s="72" t="b">
        <x:v>0</x:v>
      </x:c>
      <x:c r="F1051" t="str">
        <x:v>Los Angeles Rams</x:v>
      </x:c>
      <x:c r="G1051" t="str">
        <x:v>LAR</x:v>
      </x:c>
      <x:c r="H1051" s="69" t="n">
        <x:v>0</x:v>
      </x:c>
      <x:c r="I1051" t="str">
        <x:v>0-1</x:v>
      </x:c>
      <x:c r="J1051" t="str">
        <x:f>IF(E1051&lt;&gt;TRUE,"",IF(H1051&gt;M1051,"W",IF(H1051&lt;M1051,"L","T")))</x:f>
      </x:c>
      <x:c r="K1051" t="str">
        <x:v>Arizona Cardinals</x:v>
      </x:c>
      <x:c r="L1051" t="str">
        <x:v>ARI</x:v>
      </x:c>
      <x:c r="M1051" s="69" t="n">
        <x:v>0</x:v>
      </x:c>
      <x:c r="N1051" t="str">
        <x:v>1-1</x:v>
      </x:c>
      <x:c r="O1051" t="str">
        <x:f>IF(E1051&lt;&gt;TRUE,"",IF(M1051&gt;H1051,"W",IF(M1051&lt;H1051,"L","T")))</x:f>
      </x:c>
      <x:c r="P1051" s="66" t="b">
        <x:v>0</x:v>
      </x:c>
      <x:c r="Q1051" s="66" t="b">
        <x:v>0</x:v>
      </x:c>
      <x:c r="R1051" t="str">
        <x:v>State Farm Stadium</x:v>
      </x:c>
      <x:c r="S1051" t="str">
        <x:v>CBS</x:v>
      </x:c>
      <x:c r="T1051" t="str">
        <x:v>LAR -10.5</x:v>
      </x:c>
      <x:c r="U1051" s="70" t="n">
        <x:v>10.5</x:v>
      </x:c>
      <x:c r="V1051" s="70" t="n">
        <x:v>47.5</x:v>
      </x:c>
      <x:c r="W1051" t="str">
        <x:v>DraftKings</x:v>
      </x:c>
      <x:c r="X1051" t="str">
        <x:v>https://www.espn.com/nfl/game/_/gameId/401873061</x:v>
      </x:c>
    </x:row>
    <x:row r="1052">
      <x:c r="A1052" t="str">
        <x:v>NFL</x:v>
      </x:c>
      <x:c r="B1052" t="n">
        <x:v>10</x:v>
      </x:c>
      <x:c r="C1052" s="68" t="n">
        <x:v>46341.87847222222</x:v>
      </x:c>
      <x:c r="D1052" s="71" t="str">
        <x:v>pre</x:v>
      </x:c>
      <x:c r="E1052" s="72" t="b">
        <x:v>0</x:v>
      </x:c>
      <x:c r="F1052" t="str">
        <x:v>Seattle Seahawks</x:v>
      </x:c>
      <x:c r="G1052" t="str">
        <x:v>SEA</x:v>
      </x:c>
      <x:c r="H1052" s="69" t="n">
        <x:v>0</x:v>
      </x:c>
      <x:c r="I1052" t="str">
        <x:v>2-0</x:v>
      </x:c>
      <x:c r="J1052" t="str">
        <x:f>IF(E1052&lt;&gt;TRUE,"",IF(H1052&gt;M1052,"W",IF(H1052&lt;M1052,"L","T")))</x:f>
      </x:c>
      <x:c r="K1052" t="str">
        <x:v>Las Vegas Raiders</x:v>
      </x:c>
      <x:c r="L1052" t="str">
        <x:v>LV</x:v>
      </x:c>
      <x:c r="M1052" s="69" t="n">
        <x:v>0</x:v>
      </x:c>
      <x:c r="N1052" t="str">
        <x:v>2-0</x:v>
      </x:c>
      <x:c r="O1052" t="str">
        <x:f>IF(E1052&lt;&gt;TRUE,"",IF(M1052&gt;H1052,"W",IF(M1052&lt;H1052,"L","T")))</x:f>
      </x:c>
      <x:c r="P1052" s="66" t="b">
        <x:v>0</x:v>
      </x:c>
      <x:c r="Q1052" s="66" t="b">
        <x:v>0</x:v>
      </x:c>
      <x:c r="R1052" t="str">
        <x:v>Allegiant Stadium</x:v>
      </x:c>
      <x:c r="S1052" t="str">
        <x:v>CBS</x:v>
      </x:c>
      <x:c r="T1052" t="str">
        <x:v>SEA -7</x:v>
      </x:c>
      <x:c r="U1052" s="70" t="n">
        <x:v>7</x:v>
      </x:c>
      <x:c r="V1052" s="70" t="n">
        <x:v>43.5</x:v>
      </x:c>
      <x:c r="W1052" t="str">
        <x:v>DraftKings</x:v>
      </x:c>
      <x:c r="X1052" t="str">
        <x:v>https://www.espn.com/nfl/game/_/gameId/401873062</x:v>
      </x:c>
    </x:row>
    <x:row r="1053">
      <x:c r="A1053" t="str">
        <x:v>NFL</x:v>
      </x:c>
      <x:c r="B1053" t="n">
        <x:v>10</x:v>
      </x:c>
      <x:c r="C1053" s="68" t="n">
        <x:v>46341.89236111111</x:v>
      </x:c>
      <x:c r="D1053" s="71" t="str">
        <x:v>pre</x:v>
      </x:c>
      <x:c r="E1053" s="72" t="b">
        <x:v>0</x:v>
      </x:c>
      <x:c r="F1053" t="str">
        <x:v>San Francisco 49ers</x:v>
      </x:c>
      <x:c r="G1053" t="str">
        <x:v>SF</x:v>
      </x:c>
      <x:c r="H1053" s="69" t="n">
        <x:v>0</x:v>
      </x:c>
      <x:c r="I1053" t="str">
        <x:v>2-0</x:v>
      </x:c>
      <x:c r="J1053" t="str">
        <x:f>IF(E1053&lt;&gt;TRUE,"",IF(H1053&gt;M1053,"W",IF(H1053&lt;M1053,"L","T")))</x:f>
      </x:c>
      <x:c r="K1053" t="str">
        <x:v>Dallas Cowboys</x:v>
      </x:c>
      <x:c r="L1053" t="str">
        <x:v>DAL</x:v>
      </x:c>
      <x:c r="M1053" s="69" t="n">
        <x:v>0</x:v>
      </x:c>
      <x:c r="N1053" t="str">
        <x:v>1-1</x:v>
      </x:c>
      <x:c r="O1053" t="str">
        <x:f>IF(E1053&lt;&gt;TRUE,"",IF(M1053&gt;H1053,"W",IF(M1053&lt;H1053,"L","T")))</x:f>
      </x:c>
      <x:c r="P1053" s="66" t="b">
        <x:v>0</x:v>
      </x:c>
      <x:c r="Q1053" s="66" t="b">
        <x:v>0</x:v>
      </x:c>
      <x:c r="R1053" t="str">
        <x:v>AT&amp;T Stadium</x:v>
      </x:c>
      <x:c r="S1053" t="str">
        <x:v>FOX</x:v>
      </x:c>
      <x:c r="T1053" t="str">
        <x:v>DAL -1.5</x:v>
      </x:c>
      <x:c r="U1053" s="70" t="n">
        <x:v>-1.5</x:v>
      </x:c>
      <x:c r="V1053" s="70" t="n">
        <x:v>52.5</x:v>
      </x:c>
      <x:c r="W1053" t="str">
        <x:v>DraftKings</x:v>
      </x:c>
      <x:c r="X1053" t="str">
        <x:v>https://www.espn.com/nfl/game/_/gameId/401873063</x:v>
      </x:c>
    </x:row>
    <x:row r="1054">
      <x:c r="A1054" t="str">
        <x:v>NFL</x:v>
      </x:c>
      <x:c r="B1054" t="n">
        <x:v>10</x:v>
      </x:c>
      <x:c r="C1054" s="68" t="n">
        <x:v>46342.055555555555</x:v>
      </x:c>
      <x:c r="D1054" s="71" t="str">
        <x:v>pre</x:v>
      </x:c>
      <x:c r="E1054" s="72" t="b">
        <x:v>0</x:v>
      </x:c>
      <x:c r="F1054" t="str">
        <x:v>Pittsburgh Steelers</x:v>
      </x:c>
      <x:c r="G1054" t="str">
        <x:v>PIT</x:v>
      </x:c>
      <x:c r="H1054" s="69" t="n">
        <x:v>0</x:v>
      </x:c>
      <x:c r="I1054" t="str">
        <x:v>1-1</x:v>
      </x:c>
      <x:c r="J1054" t="str">
        <x:f>IF(E1054&lt;&gt;TRUE,"",IF(H1054&gt;M1054,"W",IF(H1054&lt;M1054,"L","T")))</x:f>
      </x:c>
      <x:c r="K1054" t="str">
        <x:v>Cincinnati Bengals</x:v>
      </x:c>
      <x:c r="L1054" t="str">
        <x:v>CIN</x:v>
      </x:c>
      <x:c r="M1054" s="69" t="n">
        <x:v>0</x:v>
      </x:c>
      <x:c r="N1054" t="str">
        <x:v>2-0</x:v>
      </x:c>
      <x:c r="O1054" t="str">
        <x:f>IF(E1054&lt;&gt;TRUE,"",IF(M1054&gt;H1054,"W",IF(M1054&lt;H1054,"L","T")))</x:f>
      </x:c>
      <x:c r="P1054" s="66" t="b">
        <x:v>0</x:v>
      </x:c>
      <x:c r="Q1054" s="66" t="b">
        <x:v>0</x:v>
      </x:c>
      <x:c r="R1054" t="str">
        <x:v>Paycor Stadium</x:v>
      </x:c>
      <x:c r="S1054" t="str">
        <x:v>NBC</x:v>
      </x:c>
      <x:c r="T1054" t="str">
        <x:v>CIN -3.5</x:v>
      </x:c>
      <x:c r="U1054" s="70" t="n">
        <x:v>-3.5</x:v>
      </x:c>
      <x:c r="V1054" s="70" t="n">
        <x:v>47.5</x:v>
      </x:c>
      <x:c r="W1054" t="str">
        <x:v>DraftKings</x:v>
      </x:c>
      <x:c r="X1054" t="str">
        <x:v>https://www.espn.com/nfl/game/_/gameId/401873064</x:v>
      </x:c>
    </x:row>
    <x:row r="1055">
      <x:c r="A1055" t="str">
        <x:v>NFL</x:v>
      </x:c>
      <x:c r="B1055" t="n">
        <x:v>10</x:v>
      </x:c>
      <x:c r="C1055" s="68" t="n">
        <x:v>46343.052083333336</x:v>
      </x:c>
      <x:c r="D1055" s="71" t="str">
        <x:v>pre</x:v>
      </x:c>
      <x:c r="E1055" s="72" t="b">
        <x:v>0</x:v>
      </x:c>
      <x:c r="F1055" t="str">
        <x:v>Los Angeles Chargers</x:v>
      </x:c>
      <x:c r="G1055" t="str">
        <x:v>LAC</x:v>
      </x:c>
      <x:c r="H1055" s="69" t="n">
        <x:v>0</x:v>
      </x:c>
      <x:c r="I1055" t="str">
        <x:v>0-2</x:v>
      </x:c>
      <x:c r="J1055" t="str">
        <x:f>IF(E1055&lt;&gt;TRUE,"",IF(H1055&gt;M1055,"W",IF(H1055&lt;M1055,"L","T")))</x:f>
      </x:c>
      <x:c r="K1055" t="str">
        <x:v>Baltimore Ravens</x:v>
      </x:c>
      <x:c r="L1055" t="str">
        <x:v>BAL</x:v>
      </x:c>
      <x:c r="M1055" s="69" t="n">
        <x:v>0</x:v>
      </x:c>
      <x:c r="N1055" t="str">
        <x:v>1-1</x:v>
      </x:c>
      <x:c r="O1055" t="str">
        <x:f>IF(E1055&lt;&gt;TRUE,"",IF(M1055&gt;H1055,"W",IF(M1055&lt;H1055,"L","T")))</x:f>
      </x:c>
      <x:c r="P1055" s="66" t="b">
        <x:v>0</x:v>
      </x:c>
      <x:c r="Q1055" s="66" t="b">
        <x:v>0</x:v>
      </x:c>
      <x:c r="R1055" t="str">
        <x:v>M&amp;T Bank Stadium</x:v>
      </x:c>
      <x:c r="S1055" t="str">
        <x:v>ESPN</x:v>
      </x:c>
      <x:c r="T1055" t="str">
        <x:v>BAL -3.5</x:v>
      </x:c>
      <x:c r="U1055" s="70" t="n">
        <x:v>-3.5</x:v>
      </x:c>
      <x:c r="V1055" s="70" t="n">
        <x:v>47.5</x:v>
      </x:c>
      <x:c r="W1055" t="str">
        <x:v>DraftKings</x:v>
      </x:c>
      <x:c r="X1055" t="str">
        <x:v>https://www.espn.com/nfl/game/_/gameId/401873065</x:v>
      </x:c>
    </x:row>
    <x:row r="1056">
      <x:c r="A1056" t="str">
        <x:v>NFL</x:v>
      </x:c>
      <x:c r="B1056" t="n">
        <x:v>11</x:v>
      </x:c>
      <x:c r="C1056" s="68" t="n">
        <x:v>46346.052083333336</x:v>
      </x:c>
      <x:c r="D1056" s="71" t="str">
        <x:v>pre</x:v>
      </x:c>
      <x:c r="E1056" s="72" t="b">
        <x:v>0</x:v>
      </x:c>
      <x:c r="F1056" t="str">
        <x:v>Indianapolis Colts</x:v>
      </x:c>
      <x:c r="G1056" t="str">
        <x:v>IND</x:v>
      </x:c>
      <x:c r="H1056" s="69" t="n">
        <x:v>0</x:v>
      </x:c>
      <x:c r="I1056" t="str">
        <x:v>0-2</x:v>
      </x:c>
      <x:c r="J1056" t="str">
        <x:f>IF(E1056&lt;&gt;TRUE,"",IF(H1056&gt;M1056,"W",IF(H1056&lt;M1056,"L","T")))</x:f>
      </x:c>
      <x:c r="K1056" t="str">
        <x:v>Houston Texans</x:v>
      </x:c>
      <x:c r="L1056" t="str">
        <x:v>HOU</x:v>
      </x:c>
      <x:c r="M1056" s="69" t="n">
        <x:v>0</x:v>
      </x:c>
      <x:c r="N1056" t="str">
        <x:v>0-2</x:v>
      </x:c>
      <x:c r="O1056" t="str">
        <x:f>IF(E1056&lt;&gt;TRUE,"",IF(M1056&gt;H1056,"W",IF(M1056&lt;H1056,"L","T")))</x:f>
      </x:c>
      <x:c r="P1056" s="66" t="b">
        <x:v>0</x:v>
      </x:c>
      <x:c r="Q1056" s="66" t="b">
        <x:v>0</x:v>
      </x:c>
      <x:c r="R1056" t="str">
        <x:v>Reliant Stadium</x:v>
      </x:c>
      <x:c r="S1056" t="str">
        <x:v>Prime Video</x:v>
      </x:c>
      <x:c r="T1056" t="str">
        <x:v>HOU -5.5</x:v>
      </x:c>
      <x:c r="U1056" s="70" t="n">
        <x:v>-5.5</x:v>
      </x:c>
      <x:c r="V1056" s="70" t="n">
        <x:v>45.5</x:v>
      </x:c>
      <x:c r="W1056" t="str">
        <x:v>DraftKings</x:v>
      </x:c>
      <x:c r="X1056" t="str">
        <x:v>https://www.espn.com/nfl/game/_/gameId/401873066</x:v>
      </x:c>
    </x:row>
    <x:row r="1057">
      <x:c r="A1057" t="str">
        <x:v>NFL</x:v>
      </x:c>
      <x:c r="B1057" t="n">
        <x:v>11</x:v>
      </x:c>
      <x:c r="C1057" s="68" t="n">
        <x:v>46348.75</x:v>
      </x:c>
      <x:c r="D1057" s="71" t="str">
        <x:v>pre</x:v>
      </x:c>
      <x:c r="E1057" s="72" t="b">
        <x:v>0</x:v>
      </x:c>
      <x:c r="F1057" t="str">
        <x:v>Arizona Cardinals</x:v>
      </x:c>
      <x:c r="G1057" t="str">
        <x:v>ARI</x:v>
      </x:c>
      <x:c r="H1057" s="69" t="n">
        <x:v>0</x:v>
      </x:c>
      <x:c r="I1057" t="str">
        <x:v>1-1</x:v>
      </x:c>
      <x:c r="J1057" t="str">
        <x:f>IF(E1057&lt;&gt;TRUE,"",IF(H1057&gt;M1057,"W",IF(H1057&lt;M1057,"L","T")))</x:f>
      </x:c>
      <x:c r="K1057" t="str">
        <x:v>Kansas City Chiefs</x:v>
      </x:c>
      <x:c r="L1057" t="str">
        <x:v>KC</x:v>
      </x:c>
      <x:c r="M1057" s="69" t="n">
        <x:v>0</x:v>
      </x:c>
      <x:c r="N1057" t="str">
        <x:v>2-0</x:v>
      </x:c>
      <x:c r="O1057" t="str">
        <x:f>IF(E1057&lt;&gt;TRUE,"",IF(M1057&gt;H1057,"W",IF(M1057&lt;H1057,"L","T")))</x:f>
      </x:c>
      <x:c r="P1057" s="66" t="b">
        <x:v>0</x:v>
      </x:c>
      <x:c r="Q1057" s="66" t="b">
        <x:v>0</x:v>
      </x:c>
      <x:c r="R1057" t="str">
        <x:v>Arrowhead Stadium</x:v>
      </x:c>
      <x:c r="S1057" t="str">
        <x:v>CBS</x:v>
      </x:c>
      <x:c r="T1057" t="str">
        <x:v>KC -11.5</x:v>
      </x:c>
      <x:c r="U1057" s="70" t="n">
        <x:v>-11.5</x:v>
      </x:c>
      <x:c r="V1057" s="70" t="n">
        <x:v>44.5</x:v>
      </x:c>
      <x:c r="W1057" t="str">
        <x:v>DraftKings</x:v>
      </x:c>
      <x:c r="X1057" t="str">
        <x:v>https://www.espn.com/nfl/game/_/gameId/401873067</x:v>
      </x:c>
    </x:row>
    <x:row r="1058">
      <x:c r="A1058" t="str">
        <x:v>NFL</x:v>
      </x:c>
      <x:c r="B1058" t="n">
        <x:v>11</x:v>
      </x:c>
      <x:c r="C1058" s="68" t="n">
        <x:v>46348.75</x:v>
      </x:c>
      <x:c r="D1058" s="71" t="str">
        <x:v>pre</x:v>
      </x:c>
      <x:c r="E1058" s="72" t="b">
        <x:v>0</x:v>
      </x:c>
      <x:c r="F1058" t="str">
        <x:v>Baltimore Ravens</x:v>
      </x:c>
      <x:c r="G1058" t="str">
        <x:v>BAL</x:v>
      </x:c>
      <x:c r="H1058" s="69" t="n">
        <x:v>0</x:v>
      </x:c>
      <x:c r="I1058" t="str">
        <x:v>1-1</x:v>
      </x:c>
      <x:c r="J1058" t="str">
        <x:f>IF(E1058&lt;&gt;TRUE,"",IF(H1058&gt;M1058,"W",IF(H1058&lt;M1058,"L","T")))</x:f>
      </x:c>
      <x:c r="K1058" t="str">
        <x:v>Carolina Panthers</x:v>
      </x:c>
      <x:c r="L1058" t="str">
        <x:v>CAR</x:v>
      </x:c>
      <x:c r="M1058" s="69" t="n">
        <x:v>0</x:v>
      </x:c>
      <x:c r="N1058" t="str">
        <x:v>1-1</x:v>
      </x:c>
      <x:c r="O1058" t="str">
        <x:f>IF(E1058&lt;&gt;TRUE,"",IF(M1058&gt;H1058,"W",IF(M1058&lt;H1058,"L","T")))</x:f>
      </x:c>
      <x:c r="P1058" s="66" t="b">
        <x:v>0</x:v>
      </x:c>
      <x:c r="Q1058" s="66" t="b">
        <x:v>0</x:v>
      </x:c>
      <x:c r="R1058" t="str">
        <x:v>Bank of America Stadium</x:v>
      </x:c>
      <x:c r="S1058" t="str">
        <x:v>FOX</x:v>
      </x:c>
      <x:c r="T1058" t="str">
        <x:v>BAL -4.5</x:v>
      </x:c>
      <x:c r="U1058" s="70" t="n">
        <x:v>4.5</x:v>
      </x:c>
      <x:c r="V1058" s="70" t="n">
        <x:v>46.5</x:v>
      </x:c>
      <x:c r="W1058" t="str">
        <x:v>DraftKings</x:v>
      </x:c>
      <x:c r="X1058" t="str">
        <x:v>https://www.espn.com/nfl/game/_/gameId/401873068</x:v>
      </x:c>
    </x:row>
    <x:row r="1059">
      <x:c r="A1059" t="str">
        <x:v>NFL</x:v>
      </x:c>
      <x:c r="B1059" t="n">
        <x:v>11</x:v>
      </x:c>
      <x:c r="C1059" s="68" t="n">
        <x:v>46348.75</x:v>
      </x:c>
      <x:c r="D1059" s="71" t="str">
        <x:v>pre</x:v>
      </x:c>
      <x:c r="E1059" s="72" t="b">
        <x:v>0</x:v>
      </x:c>
      <x:c r="F1059" t="str">
        <x:v>Jacksonville Jaguars</x:v>
      </x:c>
      <x:c r="G1059" t="str">
        <x:v>JAX</x:v>
      </x:c>
      <x:c r="H1059" s="69" t="n">
        <x:v>0</x:v>
      </x:c>
      <x:c r="I1059" t="str">
        <x:v>1-1</x:v>
      </x:c>
      <x:c r="J1059" t="str">
        <x:f>IF(E1059&lt;&gt;TRUE,"",IF(H1059&gt;M1059,"W",IF(H1059&lt;M1059,"L","T")))</x:f>
      </x:c>
      <x:c r="K1059" t="str">
        <x:v>New York Giants</x:v>
      </x:c>
      <x:c r="L1059" t="str">
        <x:v>NYG</x:v>
      </x:c>
      <x:c r="M1059" s="69" t="n">
        <x:v>0</x:v>
      </x:c>
      <x:c r="N1059" t="str">
        <x:v>1-0</x:v>
      </x:c>
      <x:c r="O1059" t="str">
        <x:f>IF(E1059&lt;&gt;TRUE,"",IF(M1059&gt;H1059,"W",IF(M1059&lt;H1059,"L","T")))</x:f>
      </x:c>
      <x:c r="P1059" s="66" t="b">
        <x:v>0</x:v>
      </x:c>
      <x:c r="Q1059" s="66" t="b">
        <x:v>0</x:v>
      </x:c>
      <x:c r="R1059" t="str">
        <x:v>MetLife Stadium</x:v>
      </x:c>
      <x:c r="S1059" t="str">
        <x:v>CBS</x:v>
      </x:c>
      <x:c r="T1059" t="str">
        <x:v>JAX -1.5</x:v>
      </x:c>
      <x:c r="U1059" s="70" t="n">
        <x:v>1.5</x:v>
      </x:c>
      <x:c r="V1059" s="70" t="n">
        <x:v>46.5</x:v>
      </x:c>
      <x:c r="W1059" t="str">
        <x:v>DraftKings</x:v>
      </x:c>
      <x:c r="X1059" t="str">
        <x:v>https://www.espn.com/nfl/game/_/gameId/401873069</x:v>
      </x:c>
    </x:row>
    <x:row r="1060">
      <x:c r="A1060" t="str">
        <x:v>NFL</x:v>
      </x:c>
      <x:c r="B1060" t="n">
        <x:v>11</x:v>
      </x:c>
      <x:c r="C1060" s="68" t="n">
        <x:v>46348.75</x:v>
      </x:c>
      <x:c r="D1060" s="71" t="str">
        <x:v>pre</x:v>
      </x:c>
      <x:c r="E1060" s="72" t="b">
        <x:v>0</x:v>
      </x:c>
      <x:c r="F1060" t="str">
        <x:v>Miami Dolphins</x:v>
      </x:c>
      <x:c r="G1060" t="str">
        <x:v>MIA</x:v>
      </x:c>
      <x:c r="H1060" s="69" t="n">
        <x:v>0</x:v>
      </x:c>
      <x:c r="I1060" t="str">
        <x:v>0-2</x:v>
      </x:c>
      <x:c r="J1060" t="str">
        <x:f>IF(E1060&lt;&gt;TRUE,"",IF(H1060&gt;M1060,"W",IF(H1060&lt;M1060,"L","T")))</x:f>
      </x:c>
      <x:c r="K1060" t="str">
        <x:v>Buffalo Bills</x:v>
      </x:c>
      <x:c r="L1060" t="str">
        <x:v>BUF</x:v>
      </x:c>
      <x:c r="M1060" s="69" t="n">
        <x:v>0</x:v>
      </x:c>
      <x:c r="N1060" t="str">
        <x:v>2-0</x:v>
      </x:c>
      <x:c r="O1060" t="str">
        <x:f>IF(E1060&lt;&gt;TRUE,"",IF(M1060&gt;H1060,"W",IF(M1060&lt;H1060,"L","T")))</x:f>
      </x:c>
      <x:c r="P1060" s="66" t="b">
        <x:v>0</x:v>
      </x:c>
      <x:c r="Q1060" s="66" t="b">
        <x:v>0</x:v>
      </x:c>
      <x:c r="R1060" t="str">
        <x:v>Highmark Stadium</x:v>
      </x:c>
      <x:c r="S1060" t="str">
        <x:v>FOX</x:v>
      </x:c>
      <x:c r="T1060" t="str">
        <x:v>BUF -11.5</x:v>
      </x:c>
      <x:c r="U1060" s="70" t="n">
        <x:v>-11.5</x:v>
      </x:c>
      <x:c r="V1060" s="70" t="n">
        <x:v>47.5</x:v>
      </x:c>
      <x:c r="W1060" t="str">
        <x:v>DraftKings</x:v>
      </x:c>
      <x:c r="X1060" t="str">
        <x:v>https://www.espn.com/nfl/game/_/gameId/401873070</x:v>
      </x:c>
    </x:row>
    <x:row r="1061">
      <x:c r="A1061" t="str">
        <x:v>NFL</x:v>
      </x:c>
      <x:c r="B1061" t="n">
        <x:v>11</x:v>
      </x:c>
      <x:c r="C1061" s="68" t="n">
        <x:v>46348.75</x:v>
      </x:c>
      <x:c r="D1061" s="71" t="str">
        <x:v>pre</x:v>
      </x:c>
      <x:c r="E1061" s="72" t="b">
        <x:v>0</x:v>
      </x:c>
      <x:c r="F1061" t="str">
        <x:v>New Orleans Saints</x:v>
      </x:c>
      <x:c r="G1061" t="str">
        <x:v>NO</x:v>
      </x:c>
      <x:c r="H1061" s="69" t="n">
        <x:v>0</x:v>
      </x:c>
      <x:c r="I1061" t="str">
        <x:v>1-1</x:v>
      </x:c>
      <x:c r="J1061" t="str">
        <x:f>IF(E1061&lt;&gt;TRUE,"",IF(H1061&gt;M1061,"W",IF(H1061&lt;M1061,"L","T")))</x:f>
      </x:c>
      <x:c r="K1061" t="str">
        <x:v>Chicago Bears</x:v>
      </x:c>
      <x:c r="L1061" t="str">
        <x:v>CHI</x:v>
      </x:c>
      <x:c r="M1061" s="69" t="n">
        <x:v>0</x:v>
      </x:c>
      <x:c r="N1061" t="str">
        <x:v>1-1</x:v>
      </x:c>
      <x:c r="O1061" t="str">
        <x:f>IF(E1061&lt;&gt;TRUE,"",IF(M1061&gt;H1061,"W",IF(M1061&lt;H1061,"L","T")))</x:f>
      </x:c>
      <x:c r="P1061" s="66" t="b">
        <x:v>0</x:v>
      </x:c>
      <x:c r="Q1061" s="66" t="b">
        <x:v>0</x:v>
      </x:c>
      <x:c r="R1061" t="str">
        <x:v>Soldier Field</x:v>
      </x:c>
      <x:c r="S1061" t="str">
        <x:v>FOX</x:v>
      </x:c>
      <x:c r="T1061" t="str">
        <x:v>CHI -6.5</x:v>
      </x:c>
      <x:c r="U1061" s="70" t="n">
        <x:v>-6.5</x:v>
      </x:c>
      <x:c r="V1061" s="70" t="n">
        <x:v>46.5</x:v>
      </x:c>
      <x:c r="W1061" t="str">
        <x:v>DraftKings</x:v>
      </x:c>
      <x:c r="X1061" t="str">
        <x:v>https://www.espn.com/nfl/game/_/gameId/401873071</x:v>
      </x:c>
    </x:row>
    <x:row r="1062">
      <x:c r="A1062" t="str">
        <x:v>NFL</x:v>
      </x:c>
      <x:c r="B1062" t="n">
        <x:v>11</x:v>
      </x:c>
      <x:c r="C1062" s="68" t="n">
        <x:v>46348.75</x:v>
      </x:c>
      <x:c r="D1062" s="71" t="str">
        <x:v>pre</x:v>
      </x:c>
      <x:c r="E1062" s="72" t="b">
        <x:v>0</x:v>
      </x:c>
      <x:c r="F1062" t="str">
        <x:v>Tampa Bay Buccaneers</x:v>
      </x:c>
      <x:c r="G1062" t="str">
        <x:v>TB</x:v>
      </x:c>
      <x:c r="H1062" s="69" t="n">
        <x:v>0</x:v>
      </x:c>
      <x:c r="I1062" t="str">
        <x:v>0-2</x:v>
      </x:c>
      <x:c r="J1062" t="str">
        <x:f>IF(E1062&lt;&gt;TRUE,"",IF(H1062&gt;M1062,"W",IF(H1062&lt;M1062,"L","T")))</x:f>
      </x:c>
      <x:c r="K1062" t="str">
        <x:v>Detroit Lions</x:v>
      </x:c>
      <x:c r="L1062" t="str">
        <x:v>DET</x:v>
      </x:c>
      <x:c r="M1062" s="69" t="n">
        <x:v>0</x:v>
      </x:c>
      <x:c r="N1062" t="str">
        <x:v>1-1</x:v>
      </x:c>
      <x:c r="O1062" t="str">
        <x:f>IF(E1062&lt;&gt;TRUE,"",IF(M1062&gt;H1062,"W",IF(M1062&lt;H1062,"L","T")))</x:f>
      </x:c>
      <x:c r="P1062" s="66" t="b">
        <x:v>0</x:v>
      </x:c>
      <x:c r="Q1062" s="66" t="b">
        <x:v>0</x:v>
      </x:c>
      <x:c r="R1062" t="str">
        <x:v>Ford Field</x:v>
      </x:c>
      <x:c r="S1062" t="str">
        <x:v>CBS</x:v>
      </x:c>
      <x:c r="T1062" t="str">
        <x:v>DET -4.5</x:v>
      </x:c>
      <x:c r="U1062" s="70" t="n">
        <x:v>-4.5</x:v>
      </x:c>
      <x:c r="V1062" s="70" t="n">
        <x:v>49.5</x:v>
      </x:c>
      <x:c r="W1062" t="str">
        <x:v>DraftKings</x:v>
      </x:c>
      <x:c r="X1062" t="str">
        <x:v>https://www.espn.com/nfl/game/_/gameId/401873072</x:v>
      </x:c>
    </x:row>
    <x:row r="1063">
      <x:c r="A1063" t="str">
        <x:v>NFL</x:v>
      </x:c>
      <x:c r="B1063" t="n">
        <x:v>11</x:v>
      </x:c>
      <x:c r="C1063" s="68" t="n">
        <x:v>46348.75</x:v>
      </x:c>
      <x:c r="D1063" s="71" t="str">
        <x:v>pre</x:v>
      </x:c>
      <x:c r="E1063" s="72" t="b">
        <x:v>0</x:v>
      </x:c>
      <x:c r="F1063" t="str">
        <x:v>Tennessee Titans</x:v>
      </x:c>
      <x:c r="G1063" t="str">
        <x:v>TEN</x:v>
      </x:c>
      <x:c r="H1063" s="69" t="n">
        <x:v>0</x:v>
      </x:c>
      <x:c r="I1063" t="str">
        <x:v>0-2</x:v>
      </x:c>
      <x:c r="J1063" t="str">
        <x:f>IF(E1063&lt;&gt;TRUE,"",IF(H1063&gt;M1063,"W",IF(H1063&lt;M1063,"L","T")))</x:f>
      </x:c>
      <x:c r="K1063" t="str">
        <x:v>Dallas Cowboys</x:v>
      </x:c>
      <x:c r="L1063" t="str">
        <x:v>DAL</x:v>
      </x:c>
      <x:c r="M1063" s="69" t="n">
        <x:v>0</x:v>
      </x:c>
      <x:c r="N1063" t="str">
        <x:v>1-1</x:v>
      </x:c>
      <x:c r="O1063" t="str">
        <x:f>IF(E1063&lt;&gt;TRUE,"",IF(M1063&gt;H1063,"W",IF(M1063&lt;H1063,"L","T")))</x:f>
      </x:c>
      <x:c r="P1063" s="66" t="b">
        <x:v>0</x:v>
      </x:c>
      <x:c r="Q1063" s="66" t="b">
        <x:v>0</x:v>
      </x:c>
      <x:c r="R1063" t="str">
        <x:v>AT&amp;T Stadium</x:v>
      </x:c>
      <x:c r="S1063" t="str">
        <x:v>FOX</x:v>
      </x:c>
      <x:c r="T1063" t="str">
        <x:v>DAL -6.5</x:v>
      </x:c>
      <x:c r="U1063" s="70" t="n">
        <x:v>-6.5</x:v>
      </x:c>
      <x:c r="V1063" s="70" t="n">
        <x:v>48.5</x:v>
      </x:c>
      <x:c r="W1063" t="str">
        <x:v>DraftKings</x:v>
      </x:c>
      <x:c r="X1063" t="str">
        <x:v>https://www.espn.com/nfl/game/_/gameId/401873073</x:v>
      </x:c>
    </x:row>
    <x:row r="1064">
      <x:c r="A1064" t="str">
        <x:v>NFL</x:v>
      </x:c>
      <x:c r="B1064" t="n">
        <x:v>11</x:v>
      </x:c>
      <x:c r="C1064" s="68" t="n">
        <x:v>46348.87847222222</x:v>
      </x:c>
      <x:c r="D1064" s="71" t="str">
        <x:v>pre</x:v>
      </x:c>
      <x:c r="E1064" s="72" t="b">
        <x:v>0</x:v>
      </x:c>
      <x:c r="F1064" t="str">
        <x:v>New York Jets</x:v>
      </x:c>
      <x:c r="G1064" t="str">
        <x:v>NYJ</x:v>
      </x:c>
      <x:c r="H1064" s="69" t="n">
        <x:v>0</x:v>
      </x:c>
      <x:c r="I1064" t="str">
        <x:v>1-1</x:v>
      </x:c>
      <x:c r="J1064" t="str">
        <x:f>IF(E1064&lt;&gt;TRUE,"",IF(H1064&gt;M1064,"W",IF(H1064&lt;M1064,"L","T")))</x:f>
      </x:c>
      <x:c r="K1064" t="str">
        <x:v>Los Angeles Chargers</x:v>
      </x:c>
      <x:c r="L1064" t="str">
        <x:v>LAC</x:v>
      </x:c>
      <x:c r="M1064" s="69" t="n">
        <x:v>0</x:v>
      </x:c>
      <x:c r="N1064" t="str">
        <x:v>0-2</x:v>
      </x:c>
      <x:c r="O1064" t="str">
        <x:f>IF(E1064&lt;&gt;TRUE,"",IF(M1064&gt;H1064,"W",IF(M1064&lt;H1064,"L","T")))</x:f>
      </x:c>
      <x:c r="P1064" s="66" t="b">
        <x:v>0</x:v>
      </x:c>
      <x:c r="Q1064" s="66" t="b">
        <x:v>0</x:v>
      </x:c>
      <x:c r="R1064" t="str">
        <x:v>SoFi Stadium</x:v>
      </x:c>
      <x:c r="S1064" t="str">
        <x:v>FOX</x:v>
      </x:c>
      <x:c r="T1064" t="str">
        <x:v>LAC -9.5</x:v>
      </x:c>
      <x:c r="U1064" s="70" t="n">
        <x:v>-9.5</x:v>
      </x:c>
      <x:c r="V1064" s="70" t="n">
        <x:v>41.5</x:v>
      </x:c>
      <x:c r="W1064" t="str">
        <x:v>DraftKings</x:v>
      </x:c>
      <x:c r="X1064" t="str">
        <x:v>https://www.espn.com/nfl/game/_/gameId/401873074</x:v>
      </x:c>
    </x:row>
    <x:row r="1065">
      <x:c r="A1065" t="str">
        <x:v>NFL</x:v>
      </x:c>
      <x:c r="B1065" t="n">
        <x:v>11</x:v>
      </x:c>
      <x:c r="C1065" s="68" t="n">
        <x:v>46348.89236111111</x:v>
      </x:c>
      <x:c r="D1065" s="71" t="str">
        <x:v>pre</x:v>
      </x:c>
      <x:c r="E1065" s="72" t="b">
        <x:v>0</x:v>
      </x:c>
      <x:c r="F1065" t="str">
        <x:v>Las Vegas Raiders</x:v>
      </x:c>
      <x:c r="G1065" t="str">
        <x:v>LV</x:v>
      </x:c>
      <x:c r="H1065" s="69" t="n">
        <x:v>0</x:v>
      </x:c>
      <x:c r="I1065" t="str">
        <x:v>2-0</x:v>
      </x:c>
      <x:c r="J1065" t="str">
        <x:f>IF(E1065&lt;&gt;TRUE,"",IF(H1065&gt;M1065,"W",IF(H1065&lt;M1065,"L","T")))</x:f>
      </x:c>
      <x:c r="K1065" t="str">
        <x:v>Denver Broncos</x:v>
      </x:c>
      <x:c r="L1065" t="str">
        <x:v>DEN</x:v>
      </x:c>
      <x:c r="M1065" s="69" t="n">
        <x:v>0</x:v>
      </x:c>
      <x:c r="N1065" t="str">
        <x:v>1-1</x:v>
      </x:c>
      <x:c r="O1065" t="str">
        <x:f>IF(E1065&lt;&gt;TRUE,"",IF(M1065&gt;H1065,"W",IF(M1065&lt;H1065,"L","T")))</x:f>
      </x:c>
      <x:c r="P1065" s="66" t="b">
        <x:v>0</x:v>
      </x:c>
      <x:c r="Q1065" s="66" t="b">
        <x:v>0</x:v>
      </x:c>
      <x:c r="R1065" t="str">
        <x:v>Empower Field at Mile High</x:v>
      </x:c>
      <x:c r="S1065" t="str">
        <x:v>CBS</x:v>
      </x:c>
      <x:c r="T1065" t="str">
        <x:v>DEN -7.5</x:v>
      </x:c>
      <x:c r="U1065" s="70" t="n">
        <x:v>-7.5</x:v>
      </x:c>
      <x:c r="V1065" s="70" t="n">
        <x:v>41.5</x:v>
      </x:c>
      <x:c r="W1065" t="str">
        <x:v>DraftKings</x:v>
      </x:c>
      <x:c r="X1065" t="str">
        <x:v>https://www.espn.com/nfl/game/_/gameId/401873075</x:v>
      </x:c>
    </x:row>
    <x:row r="1066">
      <x:c r="A1066" t="str">
        <x:v>NFL</x:v>
      </x:c>
      <x:c r="B1066" t="n">
        <x:v>11</x:v>
      </x:c>
      <x:c r="C1066" s="68" t="n">
        <x:v>46348.89236111111</x:v>
      </x:c>
      <x:c r="D1066" s="71" t="str">
        <x:v>pre</x:v>
      </x:c>
      <x:c r="E1066" s="72" t="b">
        <x:v>0</x:v>
      </x:c>
      <x:c r="F1066" t="str">
        <x:v>Pittsburgh Steelers</x:v>
      </x:c>
      <x:c r="G1066" t="str">
        <x:v>PIT</x:v>
      </x:c>
      <x:c r="H1066" s="69" t="n">
        <x:v>0</x:v>
      </x:c>
      <x:c r="I1066" t="str">
        <x:v>1-1</x:v>
      </x:c>
      <x:c r="J1066" t="str">
        <x:f>IF(E1066&lt;&gt;TRUE,"",IF(H1066&gt;M1066,"W",IF(H1066&lt;M1066,"L","T")))</x:f>
      </x:c>
      <x:c r="K1066" t="str">
        <x:v>Philadelphia Eagles</x:v>
      </x:c>
      <x:c r="L1066" t="str">
        <x:v>PHI</x:v>
      </x:c>
      <x:c r="M1066" s="69" t="n">
        <x:v>0</x:v>
      </x:c>
      <x:c r="N1066" t="str">
        <x:v>2-0</x:v>
      </x:c>
      <x:c r="O1066" t="str">
        <x:f>IF(E1066&lt;&gt;TRUE,"",IF(M1066&gt;H1066,"W",IF(M1066&lt;H1066,"L","T")))</x:f>
      </x:c>
      <x:c r="P1066" s="66" t="b">
        <x:v>0</x:v>
      </x:c>
      <x:c r="Q1066" s="66" t="b">
        <x:v>0</x:v>
      </x:c>
      <x:c r="R1066" t="str">
        <x:v>Lincoln Financial Field</x:v>
      </x:c>
      <x:c r="S1066" t="str">
        <x:v>CBS</x:v>
      </x:c>
      <x:c r="T1066" t="str">
        <x:v>PHI -5.5</x:v>
      </x:c>
      <x:c r="U1066" s="70" t="n">
        <x:v>-5.5</x:v>
      </x:c>
      <x:c r="V1066" s="70" t="n">
        <x:v>42.5</x:v>
      </x:c>
      <x:c r="W1066" t="str">
        <x:v>DraftKings</x:v>
      </x:c>
      <x:c r="X1066" t="str">
        <x:v>https://www.espn.com/nfl/game/_/gameId/401873076</x:v>
      </x:c>
    </x:row>
    <x:row r="1067">
      <x:c r="A1067" t="str">
        <x:v>NFL</x:v>
      </x:c>
      <x:c r="B1067" t="n">
        <x:v>11</x:v>
      </x:c>
      <x:c r="C1067" s="68" t="n">
        <x:v>46349.055555555555</x:v>
      </x:c>
      <x:c r="D1067" s="71" t="str">
        <x:v>pre</x:v>
      </x:c>
      <x:c r="E1067" s="72" t="b">
        <x:v>0</x:v>
      </x:c>
      <x:c r="F1067" t="str">
        <x:v>Minnesota Vikings</x:v>
      </x:c>
      <x:c r="G1067" t="str">
        <x:v>MIN</x:v>
      </x:c>
      <x:c r="H1067" s="69" t="n">
        <x:v>0</x:v>
      </x:c>
      <x:c r="I1067" t="str">
        <x:v>2-0</x:v>
      </x:c>
      <x:c r="J1067" t="str">
        <x:f>IF(E1067&lt;&gt;TRUE,"",IF(H1067&gt;M1067,"W",IF(H1067&lt;M1067,"L","T")))</x:f>
      </x:c>
      <x:c r="K1067" t="str">
        <x:v>San Francisco 49ers</x:v>
      </x:c>
      <x:c r="L1067" t="str">
        <x:v>SF</x:v>
      </x:c>
      <x:c r="M1067" s="69" t="n">
        <x:v>0</x:v>
      </x:c>
      <x:c r="N1067" t="str">
        <x:v>2-0</x:v>
      </x:c>
      <x:c r="O1067" t="str">
        <x:f>IF(E1067&lt;&gt;TRUE,"",IF(M1067&gt;H1067,"W",IF(M1067&lt;H1067,"L","T")))</x:f>
      </x:c>
      <x:c r="P1067" s="66" t="b">
        <x:v>1</x:v>
      </x:c>
      <x:c r="Q1067" s="66" t="b">
        <x:v>0</x:v>
      </x:c>
      <x:c r="R1067" t="str">
        <x:v>Estadio Banorte</x:v>
      </x:c>
      <x:c r="S1067" t="str">
        <x:v>NBC</x:v>
      </x:c>
      <x:c r="T1067" t="str">
        <x:v>SF -3.5</x:v>
      </x:c>
      <x:c r="U1067" s="70" t="n">
        <x:v>-3.5</x:v>
      </x:c>
      <x:c r="V1067" s="70" t="n">
        <x:v>46.5</x:v>
      </x:c>
      <x:c r="W1067" t="str">
        <x:v>DraftKings</x:v>
      </x:c>
      <x:c r="X1067" t="str">
        <x:v>https://www.espn.com/nfl/game/_/gameId/401873077</x:v>
      </x:c>
    </x:row>
    <x:row r="1068">
      <x:c r="A1068" t="str">
        <x:v>NFL</x:v>
      </x:c>
      <x:c r="B1068" t="n">
        <x:v>11</x:v>
      </x:c>
      <x:c r="C1068" s="68" t="n">
        <x:v>46350.052083333336</x:v>
      </x:c>
      <x:c r="D1068" s="71" t="str">
        <x:v>pre</x:v>
      </x:c>
      <x:c r="E1068" s="72" t="b">
        <x:v>0</x:v>
      </x:c>
      <x:c r="F1068" t="str">
        <x:v>Cincinnati Bengals</x:v>
      </x:c>
      <x:c r="G1068" t="str">
        <x:v>CIN</x:v>
      </x:c>
      <x:c r="H1068" s="69" t="n">
        <x:v>0</x:v>
      </x:c>
      <x:c r="I1068" t="str">
        <x:v>2-0</x:v>
      </x:c>
      <x:c r="J1068" t="str">
        <x:f>IF(E1068&lt;&gt;TRUE,"",IF(H1068&gt;M1068,"W",IF(H1068&lt;M1068,"L","T")))</x:f>
      </x:c>
      <x:c r="K1068" t="str">
        <x:v>Washington Commanders</x:v>
      </x:c>
      <x:c r="L1068" t="str">
        <x:v>WSH</x:v>
      </x:c>
      <x:c r="M1068" s="69" t="n">
        <x:v>0</x:v>
      </x:c>
      <x:c r="N1068" t="str">
        <x:v>0-2</x:v>
      </x:c>
      <x:c r="O1068" t="str">
        <x:f>IF(E1068&lt;&gt;TRUE,"",IF(M1068&gt;H1068,"W",IF(M1068&lt;H1068,"L","T")))</x:f>
      </x:c>
      <x:c r="P1068" s="66" t="b">
        <x:v>0</x:v>
      </x:c>
      <x:c r="Q1068" s="66" t="b">
        <x:v>0</x:v>
      </x:c>
      <x:c r="R1068" t="str">
        <x:v>Northwest Stadium</x:v>
      </x:c>
      <x:c r="S1068" t="str">
        <x:v>ESPN</x:v>
      </x:c>
      <x:c r="T1068" t="str">
        <x:v>CIN -1.5</x:v>
      </x:c>
      <x:c r="U1068" s="70" t="n">
        <x:v>1.5</x:v>
      </x:c>
      <x:c r="V1068" s="70" t="n">
        <x:v>52.5</x:v>
      </x:c>
      <x:c r="W1068" t="str">
        <x:v>DraftKings</x:v>
      </x:c>
      <x:c r="X1068" t="str">
        <x:v>https://www.espn.com/nfl/game/_/gameId/401873078</x:v>
      </x:c>
    </x:row>
    <x:row r="1069">
      <x:c r="A1069" t="str">
        <x:v>NFL</x:v>
      </x:c>
      <x:c r="B1069" t="n">
        <x:v>12</x:v>
      </x:c>
      <x:c r="C1069" s="68" t="n">
        <x:v>46352.041666666664</x:v>
      </x:c>
      <x:c r="D1069" s="71" t="str">
        <x:v>pre</x:v>
      </x:c>
      <x:c r="E1069" s="72" t="b">
        <x:v>0</x:v>
      </x:c>
      <x:c r="F1069" t="str">
        <x:v>Green Bay Packers</x:v>
      </x:c>
      <x:c r="G1069" t="str">
        <x:v>GB</x:v>
      </x:c>
      <x:c r="H1069" s="69" t="n">
        <x:v>0</x:v>
      </x:c>
      <x:c r="I1069" t="str">
        <x:v>1-1</x:v>
      </x:c>
      <x:c r="J1069" t="str">
        <x:f>IF(E1069&lt;&gt;TRUE,"",IF(H1069&gt;M1069,"W",IF(H1069&lt;M1069,"L","T")))</x:f>
      </x:c>
      <x:c r="K1069" t="str">
        <x:v>Los Angeles Rams</x:v>
      </x:c>
      <x:c r="L1069" t="str">
        <x:v>LAR</x:v>
      </x:c>
      <x:c r="M1069" s="69" t="n">
        <x:v>0</x:v>
      </x:c>
      <x:c r="N1069" t="str">
        <x:v>0-1</x:v>
      </x:c>
      <x:c r="O1069" t="str">
        <x:f>IF(E1069&lt;&gt;TRUE,"",IF(M1069&gt;H1069,"W",IF(M1069&lt;H1069,"L","T")))</x:f>
      </x:c>
      <x:c r="P1069" s="66" t="b">
        <x:v>0</x:v>
      </x:c>
      <x:c r="Q1069" s="66" t="b">
        <x:v>0</x:v>
      </x:c>
      <x:c r="R1069" t="str">
        <x:v>SoFi Stadium</x:v>
      </x:c>
      <x:c r="S1069" t="str">
        <x:v>Netflix</x:v>
      </x:c>
      <x:c r="T1069" t="str">
        <x:v>LAR -4.5</x:v>
      </x:c>
      <x:c r="U1069" s="70" t="n">
        <x:v>-4.5</x:v>
      </x:c>
      <x:c r="V1069" s="70" t="n">
        <x:v>48.5</x:v>
      </x:c>
      <x:c r="W1069" t="str">
        <x:v>DraftKings</x:v>
      </x:c>
      <x:c r="X1069" t="str">
        <x:v>https://www.espn.com/nfl/game/_/gameId/401873079</x:v>
      </x:c>
    </x:row>
    <x:row r="1070">
      <x:c r="A1070" t="str">
        <x:v>NFL</x:v>
      </x:c>
      <x:c r="B1070" t="n">
        <x:v>12</x:v>
      </x:c>
      <x:c r="C1070" s="68" t="n">
        <x:v>46352.75</x:v>
      </x:c>
      <x:c r="D1070" s="71" t="str">
        <x:v>pre</x:v>
      </x:c>
      <x:c r="E1070" s="72" t="b">
        <x:v>0</x:v>
      </x:c>
      <x:c r="F1070" t="str">
        <x:v>Chicago Bears</x:v>
      </x:c>
      <x:c r="G1070" t="str">
        <x:v>CHI</x:v>
      </x:c>
      <x:c r="H1070" s="69" t="n">
        <x:v>0</x:v>
      </x:c>
      <x:c r="I1070" t="str">
        <x:v>1-1</x:v>
      </x:c>
      <x:c r="J1070" t="str">
        <x:f>IF(E1070&lt;&gt;TRUE,"",IF(H1070&gt;M1070,"W",IF(H1070&lt;M1070,"L","T")))</x:f>
      </x:c>
      <x:c r="K1070" t="str">
        <x:v>Detroit Lions</x:v>
      </x:c>
      <x:c r="L1070" t="str">
        <x:v>DET</x:v>
      </x:c>
      <x:c r="M1070" s="69" t="n">
        <x:v>0</x:v>
      </x:c>
      <x:c r="N1070" t="str">
        <x:v>1-1</x:v>
      </x:c>
      <x:c r="O1070" t="str">
        <x:f>IF(E1070&lt;&gt;TRUE,"",IF(M1070&gt;H1070,"W",IF(M1070&lt;H1070,"L","T")))</x:f>
      </x:c>
      <x:c r="P1070" s="66" t="b">
        <x:v>0</x:v>
      </x:c>
      <x:c r="Q1070" s="66" t="b">
        <x:v>0</x:v>
      </x:c>
      <x:c r="R1070" t="str">
        <x:v>Ford Field</x:v>
      </x:c>
      <x:c r="S1070" t="str">
        <x:v>CBS</x:v>
      </x:c>
      <x:c r="T1070" t="str">
        <x:v>DET -2.5</x:v>
      </x:c>
      <x:c r="U1070" s="70" t="n">
        <x:v>-2.5</x:v>
      </x:c>
      <x:c r="V1070" s="70" t="n">
        <x:v>52.5</x:v>
      </x:c>
      <x:c r="W1070" t="str">
        <x:v>DraftKings</x:v>
      </x:c>
      <x:c r="X1070" t="str">
        <x:v>https://www.espn.com/nfl/game/_/gameId/401873081</x:v>
      </x:c>
    </x:row>
    <x:row r="1071">
      <x:c r="A1071" t="str">
        <x:v>NFL</x:v>
      </x:c>
      <x:c r="B1071" t="n">
        <x:v>12</x:v>
      </x:c>
      <x:c r="C1071" s="68" t="n">
        <x:v>46352.895833333336</x:v>
      </x:c>
      <x:c r="D1071" s="71" t="str">
        <x:v>pre</x:v>
      </x:c>
      <x:c r="E1071" s="72" t="b">
        <x:v>0</x:v>
      </x:c>
      <x:c r="F1071" t="str">
        <x:v>Philadelphia Eagles</x:v>
      </x:c>
      <x:c r="G1071" t="str">
        <x:v>PHI</x:v>
      </x:c>
      <x:c r="H1071" s="69" t="n">
        <x:v>0</x:v>
      </x:c>
      <x:c r="I1071" t="str">
        <x:v>2-0</x:v>
      </x:c>
      <x:c r="J1071" t="str">
        <x:f>IF(E1071&lt;&gt;TRUE,"",IF(H1071&gt;M1071,"W",IF(H1071&lt;M1071,"L","T")))</x:f>
      </x:c>
      <x:c r="K1071" t="str">
        <x:v>Dallas Cowboys</x:v>
      </x:c>
      <x:c r="L1071" t="str">
        <x:v>DAL</x:v>
      </x:c>
      <x:c r="M1071" s="69" t="n">
        <x:v>0</x:v>
      </x:c>
      <x:c r="N1071" t="str">
        <x:v>1-1</x:v>
      </x:c>
      <x:c r="O1071" t="str">
        <x:f>IF(E1071&lt;&gt;TRUE,"",IF(M1071&gt;H1071,"W",IF(M1071&lt;H1071,"L","T")))</x:f>
      </x:c>
      <x:c r="P1071" s="66" t="b">
        <x:v>0</x:v>
      </x:c>
      <x:c r="Q1071" s="66" t="b">
        <x:v>0</x:v>
      </x:c>
      <x:c r="R1071" t="str">
        <x:v>AT&amp;T Stadium</x:v>
      </x:c>
      <x:c r="S1071" t="str">
        <x:v>FOX</x:v>
      </x:c>
      <x:c r="T1071" t="str">
        <x:v>DAL -1.5</x:v>
      </x:c>
      <x:c r="U1071" s="70" t="n">
        <x:v>-1.5</x:v>
      </x:c>
      <x:c r="V1071" s="70" t="n">
        <x:v>49.5</x:v>
      </x:c>
      <x:c r="W1071" t="str">
        <x:v>DraftKings</x:v>
      </x:c>
      <x:c r="X1071" t="str">
        <x:v>https://www.espn.com/nfl/game/_/gameId/401873080</x:v>
      </x:c>
    </x:row>
    <x:row r="1072">
      <x:c r="A1072" t="str">
        <x:v>NFL</x:v>
      </x:c>
      <x:c r="B1072" t="n">
        <x:v>12</x:v>
      </x:c>
      <x:c r="C1072" s="68" t="n">
        <x:v>46353.055555555555</x:v>
      </x:c>
      <x:c r="D1072" s="71" t="str">
        <x:v>pre</x:v>
      </x:c>
      <x:c r="E1072" s="72" t="b">
        <x:v>0</x:v>
      </x:c>
      <x:c r="F1072" t="str">
        <x:v>Kansas City Chiefs</x:v>
      </x:c>
      <x:c r="G1072" t="str">
        <x:v>KC</x:v>
      </x:c>
      <x:c r="H1072" s="69" t="n">
        <x:v>0</x:v>
      </x:c>
      <x:c r="I1072" t="str">
        <x:v>2-0</x:v>
      </x:c>
      <x:c r="J1072" t="str">
        <x:f>IF(E1072&lt;&gt;TRUE,"",IF(H1072&gt;M1072,"W",IF(H1072&lt;M1072,"L","T")))</x:f>
      </x:c>
      <x:c r="K1072" t="str">
        <x:v>Buffalo Bills</x:v>
      </x:c>
      <x:c r="L1072" t="str">
        <x:v>BUF</x:v>
      </x:c>
      <x:c r="M1072" s="69" t="n">
        <x:v>0</x:v>
      </x:c>
      <x:c r="N1072" t="str">
        <x:v>2-0</x:v>
      </x:c>
      <x:c r="O1072" t="str">
        <x:f>IF(E1072&lt;&gt;TRUE,"",IF(M1072&gt;H1072,"W",IF(M1072&lt;H1072,"L","T")))</x:f>
      </x:c>
      <x:c r="P1072" s="66" t="b">
        <x:v>0</x:v>
      </x:c>
      <x:c r="Q1072" s="66" t="b">
        <x:v>0</x:v>
      </x:c>
      <x:c r="R1072" t="str">
        <x:v>Highmark Stadium</x:v>
      </x:c>
      <x:c r="S1072" t="str">
        <x:v>NBC</x:v>
      </x:c>
      <x:c r="T1072" t="str">
        <x:v>BUF -2.5</x:v>
      </x:c>
      <x:c r="U1072" s="70" t="n">
        <x:v>-2.5</x:v>
      </x:c>
      <x:c r="V1072" s="70" t="n">
        <x:v>50.5</x:v>
      </x:c>
      <x:c r="W1072" t="str">
        <x:v>DraftKings</x:v>
      </x:c>
      <x:c r="X1072" t="str">
        <x:v>https://www.espn.com/nfl/game/_/gameId/401873082</x:v>
      </x:c>
    </x:row>
    <x:row r="1073">
      <x:c r="A1073" t="str">
        <x:v>NFL</x:v>
      </x:c>
      <x:c r="B1073" t="n">
        <x:v>12</x:v>
      </x:c>
      <x:c r="C1073" s="68" t="n">
        <x:v>46353.833333333336</x:v>
      </x:c>
      <x:c r="D1073" s="71" t="str">
        <x:v>pre</x:v>
      </x:c>
      <x:c r="E1073" s="72" t="b">
        <x:v>0</x:v>
      </x:c>
      <x:c r="F1073" t="str">
        <x:v>Denver Broncos</x:v>
      </x:c>
      <x:c r="G1073" t="str">
        <x:v>DEN</x:v>
      </x:c>
      <x:c r="H1073" s="69" t="n">
        <x:v>0</x:v>
      </x:c>
      <x:c r="I1073" t="str">
        <x:v>1-1</x:v>
      </x:c>
      <x:c r="J1073" t="str">
        <x:f>IF(E1073&lt;&gt;TRUE,"",IF(H1073&gt;M1073,"W",IF(H1073&lt;M1073,"L","T")))</x:f>
      </x:c>
      <x:c r="K1073" t="str">
        <x:v>Pittsburgh Steelers</x:v>
      </x:c>
      <x:c r="L1073" t="str">
        <x:v>PIT</x:v>
      </x:c>
      <x:c r="M1073" s="69" t="n">
        <x:v>0</x:v>
      </x:c>
      <x:c r="N1073" t="str">
        <x:v>1-1</x:v>
      </x:c>
      <x:c r="O1073" t="str">
        <x:f>IF(E1073&lt;&gt;TRUE,"",IF(M1073&gt;H1073,"W",IF(M1073&lt;H1073,"L","T")))</x:f>
      </x:c>
      <x:c r="P1073" s="66" t="b">
        <x:v>0</x:v>
      </x:c>
      <x:c r="Q1073" s="66" t="b">
        <x:v>0</x:v>
      </x:c>
      <x:c r="R1073" t="str">
        <x:v>Acrisure Stadium</x:v>
      </x:c>
      <x:c r="S1073" t="str">
        <x:v>Prime Video</x:v>
      </x:c>
      <x:c r="T1073" t="str">
        <x:v>DEN -1.5</x:v>
      </x:c>
      <x:c r="U1073" s="70" t="n">
        <x:v>1.5</x:v>
      </x:c>
      <x:c r="V1073" s="70" t="n">
        <x:v>39.5</x:v>
      </x:c>
      <x:c r="W1073" t="str">
        <x:v>DraftKings</x:v>
      </x:c>
      <x:c r="X1073" t="str">
        <x:v>https://www.espn.com/nfl/game/_/gameId/401873083</x:v>
      </x:c>
    </x:row>
    <x:row r="1074">
      <x:c r="A1074" t="str">
        <x:v>NFL</x:v>
      </x:c>
      <x:c r="B1074" t="n">
        <x:v>12</x:v>
      </x:c>
      <x:c r="C1074" s="68" t="n">
        <x:v>46355.75</x:v>
      </x:c>
      <x:c r="D1074" s="71" t="str">
        <x:v>pre</x:v>
      </x:c>
      <x:c r="E1074" s="72" t="b">
        <x:v>0</x:v>
      </x:c>
      <x:c r="F1074" t="str">
        <x:v>Atlanta Falcons</x:v>
      </x:c>
      <x:c r="G1074" t="str">
        <x:v>ATL</x:v>
      </x:c>
      <x:c r="H1074" s="69" t="n">
        <x:v>0</x:v>
      </x:c>
      <x:c r="I1074" t="str">
        <x:v>0-2</x:v>
      </x:c>
      <x:c r="J1074" t="str">
        <x:f>IF(E1074&lt;&gt;TRUE,"",IF(H1074&gt;M1074,"W",IF(H1074&lt;M1074,"L","T")))</x:f>
      </x:c>
      <x:c r="K1074" t="str">
        <x:v>Minnesota Vikings</x:v>
      </x:c>
      <x:c r="L1074" t="str">
        <x:v>MIN</x:v>
      </x:c>
      <x:c r="M1074" s="69" t="n">
        <x:v>0</x:v>
      </x:c>
      <x:c r="N1074" t="str">
        <x:v>2-0</x:v>
      </x:c>
      <x:c r="O1074" t="str">
        <x:f>IF(E1074&lt;&gt;TRUE,"",IF(M1074&gt;H1074,"W",IF(M1074&lt;H1074,"L","T")))</x:f>
      </x:c>
      <x:c r="P1074" s="66" t="b">
        <x:v>0</x:v>
      </x:c>
      <x:c r="Q1074" s="66" t="b">
        <x:v>0</x:v>
      </x:c>
      <x:c r="R1074" t="str">
        <x:v>U.S. Bank Stadium</x:v>
      </x:c>
      <x:c r="S1074" t="str">
        <x:v>FOX</x:v>
      </x:c>
      <x:c r="T1074" t="str">
        <x:v>MIN -4.5</x:v>
      </x:c>
      <x:c r="U1074" s="70" t="n">
        <x:v>-4.5</x:v>
      </x:c>
      <x:c r="V1074" s="70" t="n">
        <x:v>43.5</x:v>
      </x:c>
      <x:c r="W1074" t="str">
        <x:v>DraftKings</x:v>
      </x:c>
      <x:c r="X1074" t="str">
        <x:v>https://www.espn.com/nfl/game/_/gameId/401873084</x:v>
      </x:c>
    </x:row>
    <x:row r="1075">
      <x:c r="A1075" t="str">
        <x:v>NFL</x:v>
      </x:c>
      <x:c r="B1075" t="n">
        <x:v>12</x:v>
      </x:c>
      <x:c r="C1075" s="68" t="n">
        <x:v>46355.75</x:v>
      </x:c>
      <x:c r="D1075" s="71" t="str">
        <x:v>pre</x:v>
      </x:c>
      <x:c r="E1075" s="72" t="b">
        <x:v>0</x:v>
      </x:c>
      <x:c r="F1075" t="str">
        <x:v>Baltimore Ravens</x:v>
      </x:c>
      <x:c r="G1075" t="str">
        <x:v>BAL</x:v>
      </x:c>
      <x:c r="H1075" s="69" t="n">
        <x:v>0</x:v>
      </x:c>
      <x:c r="I1075" t="str">
        <x:v>1-1</x:v>
      </x:c>
      <x:c r="J1075" t="str">
        <x:f>IF(E1075&lt;&gt;TRUE,"",IF(H1075&gt;M1075,"W",IF(H1075&lt;M1075,"L","T")))</x:f>
      </x:c>
      <x:c r="K1075" t="str">
        <x:v>Houston Texans</x:v>
      </x:c>
      <x:c r="L1075" t="str">
        <x:v>HOU</x:v>
      </x:c>
      <x:c r="M1075" s="69" t="n">
        <x:v>0</x:v>
      </x:c>
      <x:c r="N1075" t="str">
        <x:v>0-2</x:v>
      </x:c>
      <x:c r="O1075" t="str">
        <x:f>IF(E1075&lt;&gt;TRUE,"",IF(M1075&gt;H1075,"W",IF(M1075&lt;H1075,"L","T")))</x:f>
      </x:c>
      <x:c r="P1075" s="66" t="b">
        <x:v>0</x:v>
      </x:c>
      <x:c r="Q1075" s="66" t="b">
        <x:v>0</x:v>
      </x:c>
      <x:c r="R1075" t="str">
        <x:v>Reliant Stadium</x:v>
      </x:c>
      <x:c r="S1075" t="str">
        <x:v>CBS</x:v>
      </x:c>
      <x:c r="T1075" t="str">
        <x:v>HOU -1.5</x:v>
      </x:c>
      <x:c r="U1075" s="70" t="n">
        <x:v>-1.5</x:v>
      </x:c>
      <x:c r="V1075" s="70" t="n">
        <x:v>45.5</x:v>
      </x:c>
      <x:c r="W1075" t="str">
        <x:v>DraftKings</x:v>
      </x:c>
      <x:c r="X1075" t="str">
        <x:v>https://www.espn.com/nfl/game/_/gameId/401873085</x:v>
      </x:c>
    </x:row>
    <x:row r="1076">
      <x:c r="A1076" t="str">
        <x:v>NFL</x:v>
      </x:c>
      <x:c r="B1076" t="n">
        <x:v>12</x:v>
      </x:c>
      <x:c r="C1076" s="68" t="n">
        <x:v>46355.75</x:v>
      </x:c>
      <x:c r="D1076" s="71" t="str">
        <x:v>pre</x:v>
      </x:c>
      <x:c r="E1076" s="72" t="b">
        <x:v>0</x:v>
      </x:c>
      <x:c r="F1076" t="str">
        <x:v>Las Vegas Raiders</x:v>
      </x:c>
      <x:c r="G1076" t="str">
        <x:v>LV</x:v>
      </x:c>
      <x:c r="H1076" s="69" t="n">
        <x:v>0</x:v>
      </x:c>
      <x:c r="I1076" t="str">
        <x:v>2-0</x:v>
      </x:c>
      <x:c r="J1076" t="str">
        <x:f>IF(E1076&lt;&gt;TRUE,"",IF(H1076&gt;M1076,"W",IF(H1076&lt;M1076,"L","T")))</x:f>
      </x:c>
      <x:c r="K1076" t="str">
        <x:v>Cleveland Browns</x:v>
      </x:c>
      <x:c r="L1076" t="str">
        <x:v>CLE</x:v>
      </x:c>
      <x:c r="M1076" s="69" t="n">
        <x:v>0</x:v>
      </x:c>
      <x:c r="N1076" t="str">
        <x:v>1-1</x:v>
      </x:c>
      <x:c r="O1076" t="str">
        <x:f>IF(E1076&lt;&gt;TRUE,"",IF(M1076&gt;H1076,"W",IF(M1076&lt;H1076,"L","T")))</x:f>
      </x:c>
      <x:c r="P1076" s="66" t="b">
        <x:v>0</x:v>
      </x:c>
      <x:c r="Q1076" s="66" t="b">
        <x:v>0</x:v>
      </x:c>
      <x:c r="R1076" t="str">
        <x:v>Huntington Bank Field</x:v>
      </x:c>
      <x:c r="S1076" t="str">
        <x:v>FOX</x:v>
      </x:c>
      <x:c r="T1076" t="str">
        <x:v>CLE -1.5</x:v>
      </x:c>
      <x:c r="U1076" s="70" t="n">
        <x:v>-1.5</x:v>
      </x:c>
      <x:c r="V1076" s="70" t="n">
        <x:v>39.5</x:v>
      </x:c>
      <x:c r="W1076" t="str">
        <x:v>DraftKings</x:v>
      </x:c>
      <x:c r="X1076" t="str">
        <x:v>https://www.espn.com/nfl/game/_/gameId/401873086</x:v>
      </x:c>
    </x:row>
    <x:row r="1077">
      <x:c r="A1077" t="str">
        <x:v>NFL</x:v>
      </x:c>
      <x:c r="B1077" t="n">
        <x:v>12</x:v>
      </x:c>
      <x:c r="C1077" s="68" t="n">
        <x:v>46355.75</x:v>
      </x:c>
      <x:c r="D1077" s="71" t="str">
        <x:v>pre</x:v>
      </x:c>
      <x:c r="E1077" s="72" t="b">
        <x:v>0</x:v>
      </x:c>
      <x:c r="F1077" t="str">
        <x:v>New Orleans Saints</x:v>
      </x:c>
      <x:c r="G1077" t="str">
        <x:v>NO</x:v>
      </x:c>
      <x:c r="H1077" s="69" t="n">
        <x:v>0</x:v>
      </x:c>
      <x:c r="I1077" t="str">
        <x:v>1-1</x:v>
      </x:c>
      <x:c r="J1077" t="str">
        <x:f>IF(E1077&lt;&gt;TRUE,"",IF(H1077&gt;M1077,"W",IF(H1077&lt;M1077,"L","T")))</x:f>
      </x:c>
      <x:c r="K1077" t="str">
        <x:v>Cincinnati Bengals</x:v>
      </x:c>
      <x:c r="L1077" t="str">
        <x:v>CIN</x:v>
      </x:c>
      <x:c r="M1077" s="69" t="n">
        <x:v>0</x:v>
      </x:c>
      <x:c r="N1077" t="str">
        <x:v>2-0</x:v>
      </x:c>
      <x:c r="O1077" t="str">
        <x:f>IF(E1077&lt;&gt;TRUE,"",IF(M1077&gt;H1077,"W",IF(M1077&lt;H1077,"L","T")))</x:f>
      </x:c>
      <x:c r="P1077" s="66" t="b">
        <x:v>0</x:v>
      </x:c>
      <x:c r="Q1077" s="66" t="b">
        <x:v>0</x:v>
      </x:c>
      <x:c r="R1077" t="str">
        <x:v>Paycor Stadium</x:v>
      </x:c>
      <x:c r="S1077" t="str">
        <x:v>CBS</x:v>
      </x:c>
      <x:c r="T1077" t="str">
        <x:v>CIN -6.5</x:v>
      </x:c>
      <x:c r="U1077" s="70" t="n">
        <x:v>-6.5</x:v>
      </x:c>
      <x:c r="V1077" s="70" t="n">
        <x:v>48.5</x:v>
      </x:c>
      <x:c r="W1077" t="str">
        <x:v>DraftKings</x:v>
      </x:c>
      <x:c r="X1077" t="str">
        <x:v>https://www.espn.com/nfl/game/_/gameId/401873087</x:v>
      </x:c>
    </x:row>
    <x:row r="1078">
      <x:c r="A1078" t="str">
        <x:v>NFL</x:v>
      </x:c>
      <x:c r="B1078" t="n">
        <x:v>12</x:v>
      </x:c>
      <x:c r="C1078" s="68" t="n">
        <x:v>46355.75</x:v>
      </x:c>
      <x:c r="D1078" s="71" t="str">
        <x:v>pre</x:v>
      </x:c>
      <x:c r="E1078" s="72" t="b">
        <x:v>0</x:v>
      </x:c>
      <x:c r="F1078" t="str">
        <x:v>New York Giants</x:v>
      </x:c>
      <x:c r="G1078" t="str">
        <x:v>NYG</x:v>
      </x:c>
      <x:c r="H1078" s="69" t="n">
        <x:v>0</x:v>
      </x:c>
      <x:c r="I1078" t="str">
        <x:v>1-0</x:v>
      </x:c>
      <x:c r="J1078" t="str">
        <x:f>IF(E1078&lt;&gt;TRUE,"",IF(H1078&gt;M1078,"W",IF(H1078&lt;M1078,"L","T")))</x:f>
      </x:c>
      <x:c r="K1078" t="str">
        <x:v>Indianapolis Colts</x:v>
      </x:c>
      <x:c r="L1078" t="str">
        <x:v>IND</x:v>
      </x:c>
      <x:c r="M1078" s="69" t="n">
        <x:v>0</x:v>
      </x:c>
      <x:c r="N1078" t="str">
        <x:v>0-2</x:v>
      </x:c>
      <x:c r="O1078" t="str">
        <x:f>IF(E1078&lt;&gt;TRUE,"",IF(M1078&gt;H1078,"W",IF(M1078&lt;H1078,"L","T")))</x:f>
      </x:c>
      <x:c r="P1078" s="66" t="b">
        <x:v>0</x:v>
      </x:c>
      <x:c r="Q1078" s="66" t="b">
        <x:v>0</x:v>
      </x:c>
      <x:c r="R1078" t="str">
        <x:v>Lucas Oil Stadium</x:v>
      </x:c>
      <x:c r="S1078" t="str">
        <x:v>FOX</x:v>
      </x:c>
      <x:c r="T1078" t="str">
        <x:v>IND -2.5</x:v>
      </x:c>
      <x:c r="U1078" s="70" t="n">
        <x:v>-2.5</x:v>
      </x:c>
      <x:c r="V1078" s="70" t="n">
        <x:v>47.5</x:v>
      </x:c>
      <x:c r="W1078" t="str">
        <x:v>DraftKings</x:v>
      </x:c>
      <x:c r="X1078" t="str">
        <x:v>https://www.espn.com/nfl/game/_/gameId/401873088</x:v>
      </x:c>
    </x:row>
    <x:row r="1079">
      <x:c r="A1079" t="str">
        <x:v>NFL</x:v>
      </x:c>
      <x:c r="B1079" t="n">
        <x:v>12</x:v>
      </x:c>
      <x:c r="C1079" s="68" t="n">
        <x:v>46355.75</x:v>
      </x:c>
      <x:c r="D1079" s="71" t="str">
        <x:v>pre</x:v>
      </x:c>
      <x:c r="E1079" s="72" t="b">
        <x:v>0</x:v>
      </x:c>
      <x:c r="F1079" t="str">
        <x:v>New York Jets</x:v>
      </x:c>
      <x:c r="G1079" t="str">
        <x:v>NYJ</x:v>
      </x:c>
      <x:c r="H1079" s="69" t="n">
        <x:v>0</x:v>
      </x:c>
      <x:c r="I1079" t="str">
        <x:v>1-1</x:v>
      </x:c>
      <x:c r="J1079" t="str">
        <x:f>IF(E1079&lt;&gt;TRUE,"",IF(H1079&gt;M1079,"W",IF(H1079&lt;M1079,"L","T")))</x:f>
      </x:c>
      <x:c r="K1079" t="str">
        <x:v>Miami Dolphins</x:v>
      </x:c>
      <x:c r="L1079" t="str">
        <x:v>MIA</x:v>
      </x:c>
      <x:c r="M1079" s="69" t="n">
        <x:v>0</x:v>
      </x:c>
      <x:c r="N1079" t="str">
        <x:v>0-2</x:v>
      </x:c>
      <x:c r="O1079" t="str">
        <x:f>IF(E1079&lt;&gt;TRUE,"",IF(M1079&gt;H1079,"W",IF(M1079&lt;H1079,"L","T")))</x:f>
      </x:c>
      <x:c r="P1079" s="66" t="b">
        <x:v>0</x:v>
      </x:c>
      <x:c r="Q1079" s="66" t="b">
        <x:v>0</x:v>
      </x:c>
      <x:c r="R1079" t="str">
        <x:v>Hard Rock Stadium</x:v>
      </x:c>
      <x:c r="S1079" t="str">
        <x:v>CBS</x:v>
      </x:c>
      <x:c r="T1079" t="str">
        <x:v>MIA -1.5</x:v>
      </x:c>
      <x:c r="U1079" s="70" t="n">
        <x:v>-1.5</x:v>
      </x:c>
      <x:c r="V1079" s="70" t="n">
        <x:v>40.5</x:v>
      </x:c>
      <x:c r="W1079" t="str">
        <x:v>DraftKings</x:v>
      </x:c>
      <x:c r="X1079" t="str">
        <x:v>https://www.espn.com/nfl/game/_/gameId/401873089</x:v>
      </x:c>
    </x:row>
    <x:row r="1080">
      <x:c r="A1080" t="str">
        <x:v>NFL</x:v>
      </x:c>
      <x:c r="B1080" t="n">
        <x:v>12</x:v>
      </x:c>
      <x:c r="C1080" s="68" t="n">
        <x:v>46355.87847222222</x:v>
      </x:c>
      <x:c r="D1080" s="71" t="str">
        <x:v>pre</x:v>
      </x:c>
      <x:c r="E1080" s="72" t="b">
        <x:v>0</x:v>
      </x:c>
      <x:c r="F1080" t="str">
        <x:v>Tennessee Titans</x:v>
      </x:c>
      <x:c r="G1080" t="str">
        <x:v>TEN</x:v>
      </x:c>
      <x:c r="H1080" s="69" t="n">
        <x:v>0</x:v>
      </x:c>
      <x:c r="I1080" t="str">
        <x:v>0-2</x:v>
      </x:c>
      <x:c r="J1080" t="str">
        <x:f>IF(E1080&lt;&gt;TRUE,"",IF(H1080&gt;M1080,"W",IF(H1080&lt;M1080,"L","T")))</x:f>
      </x:c>
      <x:c r="K1080" t="str">
        <x:v>Jacksonville Jaguars</x:v>
      </x:c>
      <x:c r="L1080" t="str">
        <x:v>JAX</x:v>
      </x:c>
      <x:c r="M1080" s="69" t="n">
        <x:v>0</x:v>
      </x:c>
      <x:c r="N1080" t="str">
        <x:v>1-1</x:v>
      </x:c>
      <x:c r="O1080" t="str">
        <x:f>IF(E1080&lt;&gt;TRUE,"",IF(M1080&gt;H1080,"W",IF(M1080&lt;H1080,"L","T")))</x:f>
      </x:c>
      <x:c r="P1080" s="66" t="b">
        <x:v>0</x:v>
      </x:c>
      <x:c r="Q1080" s="66" t="b">
        <x:v>0</x:v>
      </x:c>
      <x:c r="R1080" t="str">
        <x:v>EverBank Stadium</x:v>
      </x:c>
      <x:c r="S1080" t="str">
        <x:v>CBS</x:v>
      </x:c>
      <x:c r="T1080" t="str">
        <x:v>JAX -5.5</x:v>
      </x:c>
      <x:c r="U1080" s="70" t="n">
        <x:v>-5.5</x:v>
      </x:c>
      <x:c r="V1080" s="70" t="n">
        <x:v>45.5</x:v>
      </x:c>
      <x:c r="W1080" t="str">
        <x:v>DraftKings</x:v>
      </x:c>
      <x:c r="X1080" t="str">
        <x:v>https://www.espn.com/nfl/game/_/gameId/401873090</x:v>
      </x:c>
    </x:row>
    <x:row r="1081">
      <x:c r="A1081" t="str">
        <x:v>NFL</x:v>
      </x:c>
      <x:c r="B1081" t="n">
        <x:v>12</x:v>
      </x:c>
      <x:c r="C1081" s="68" t="n">
        <x:v>46355.89236111111</x:v>
      </x:c>
      <x:c r="D1081" s="71" t="str">
        <x:v>pre</x:v>
      </x:c>
      <x:c r="E1081" s="72" t="b">
        <x:v>0</x:v>
      </x:c>
      <x:c r="F1081" t="str">
        <x:v>Seattle Seahawks</x:v>
      </x:c>
      <x:c r="G1081" t="str">
        <x:v>SEA</x:v>
      </x:c>
      <x:c r="H1081" s="69" t="n">
        <x:v>0</x:v>
      </x:c>
      <x:c r="I1081" t="str">
        <x:v>2-0</x:v>
      </x:c>
      <x:c r="J1081" t="str">
        <x:f>IF(E1081&lt;&gt;TRUE,"",IF(H1081&gt;M1081,"W",IF(H1081&lt;M1081,"L","T")))</x:f>
      </x:c>
      <x:c r="K1081" t="str">
        <x:v>San Francisco 49ers</x:v>
      </x:c>
      <x:c r="L1081" t="str">
        <x:v>SF</x:v>
      </x:c>
      <x:c r="M1081" s="69" t="n">
        <x:v>0</x:v>
      </x:c>
      <x:c r="N1081" t="str">
        <x:v>2-0</x:v>
      </x:c>
      <x:c r="O1081" t="str">
        <x:f>IF(E1081&lt;&gt;TRUE,"",IF(M1081&gt;H1081,"W",IF(M1081&lt;H1081,"L","T")))</x:f>
      </x:c>
      <x:c r="P1081" s="66" t="b">
        <x:v>0</x:v>
      </x:c>
      <x:c r="Q1081" s="66" t="b">
        <x:v>0</x:v>
      </x:c>
      <x:c r="R1081" t="str">
        <x:v>Levi's Stadium</x:v>
      </x:c>
      <x:c r="S1081" t="str">
        <x:v>FOX</x:v>
      </x:c>
      <x:c r="T1081" t="str">
        <x:v>SEA -1.5</x:v>
      </x:c>
      <x:c r="U1081" s="70" t="n">
        <x:v>1.5</x:v>
      </x:c>
      <x:c r="V1081" s="70" t="n">
        <x:v>46.5</x:v>
      </x:c>
      <x:c r="W1081" t="str">
        <x:v>DraftKings</x:v>
      </x:c>
      <x:c r="X1081" t="str">
        <x:v>https://www.espn.com/nfl/game/_/gameId/401873091</x:v>
      </x:c>
    </x:row>
    <x:row r="1082">
      <x:c r="A1082" t="str">
        <x:v>NFL</x:v>
      </x:c>
      <x:c r="B1082" t="n">
        <x:v>12</x:v>
      </x:c>
      <x:c r="C1082" s="68" t="n">
        <x:v>46355.89236111111</x:v>
      </x:c>
      <x:c r="D1082" s="71" t="str">
        <x:v>pre</x:v>
      </x:c>
      <x:c r="E1082" s="72" t="b">
        <x:v>0</x:v>
      </x:c>
      <x:c r="F1082" t="str">
        <x:v>Washington Commanders</x:v>
      </x:c>
      <x:c r="G1082" t="str">
        <x:v>WSH</x:v>
      </x:c>
      <x:c r="H1082" s="69" t="n">
        <x:v>0</x:v>
      </x:c>
      <x:c r="I1082" t="str">
        <x:v>0-2</x:v>
      </x:c>
      <x:c r="J1082" t="str">
        <x:f>IF(E1082&lt;&gt;TRUE,"",IF(H1082&gt;M1082,"W",IF(H1082&lt;M1082,"L","T")))</x:f>
      </x:c>
      <x:c r="K1082" t="str">
        <x:v>Arizona Cardinals</x:v>
      </x:c>
      <x:c r="L1082" t="str">
        <x:v>ARI</x:v>
      </x:c>
      <x:c r="M1082" s="69" t="n">
        <x:v>0</x:v>
      </x:c>
      <x:c r="N1082" t="str">
        <x:v>1-1</x:v>
      </x:c>
      <x:c r="O1082" t="str">
        <x:f>IF(E1082&lt;&gt;TRUE,"",IF(M1082&gt;H1082,"W",IF(M1082&lt;H1082,"L","T")))</x:f>
      </x:c>
      <x:c r="P1082" s="66" t="b">
        <x:v>0</x:v>
      </x:c>
      <x:c r="Q1082" s="66" t="b">
        <x:v>0</x:v>
      </x:c>
      <x:c r="R1082" t="str">
        <x:v>State Farm Stadium</x:v>
      </x:c>
      <x:c r="S1082" t="str">
        <x:v>FOX</x:v>
      </x:c>
      <x:c r="T1082" t="str">
        <x:v>WSH -4.5</x:v>
      </x:c>
      <x:c r="U1082" s="70" t="n">
        <x:v>4.5</x:v>
      </x:c>
      <x:c r="V1082" s="70" t="n">
        <x:v>47.5</x:v>
      </x:c>
      <x:c r="W1082" t="str">
        <x:v>DraftKings</x:v>
      </x:c>
      <x:c r="X1082" t="str">
        <x:v>https://www.espn.com/nfl/game/_/gameId/401873092</x:v>
      </x:c>
    </x:row>
    <x:row r="1083">
      <x:c r="A1083" t="str">
        <x:v>NFL</x:v>
      </x:c>
      <x:c r="B1083" t="n">
        <x:v>12</x:v>
      </x:c>
      <x:c r="C1083" s="68" t="n">
        <x:v>46356.055555555555</x:v>
      </x:c>
      <x:c r="D1083" s="71" t="str">
        <x:v>pre</x:v>
      </x:c>
      <x:c r="E1083" s="72" t="b">
        <x:v>0</x:v>
      </x:c>
      <x:c r="F1083" t="str">
        <x:v>New England Patriots</x:v>
      </x:c>
      <x:c r="G1083" t="str">
        <x:v>NE</x:v>
      </x:c>
      <x:c r="H1083" s="69" t="n">
        <x:v>0</x:v>
      </x:c>
      <x:c r="I1083" t="str">
        <x:v>1-1</x:v>
      </x:c>
      <x:c r="J1083" t="str">
        <x:f>IF(E1083&lt;&gt;TRUE,"",IF(H1083&gt;M1083,"W",IF(H1083&lt;M1083,"L","T")))</x:f>
      </x:c>
      <x:c r="K1083" t="str">
        <x:v>Los Angeles Chargers</x:v>
      </x:c>
      <x:c r="L1083" t="str">
        <x:v>LAC</x:v>
      </x:c>
      <x:c r="M1083" s="69" t="n">
        <x:v>0</x:v>
      </x:c>
      <x:c r="N1083" t="str">
        <x:v>0-2</x:v>
      </x:c>
      <x:c r="O1083" t="str">
        <x:f>IF(E1083&lt;&gt;TRUE,"",IF(M1083&gt;H1083,"W",IF(M1083&lt;H1083,"L","T")))</x:f>
      </x:c>
      <x:c r="P1083" s="66" t="b">
        <x:v>0</x:v>
      </x:c>
      <x:c r="Q1083" s="66" t="b">
        <x:v>0</x:v>
      </x:c>
      <x:c r="R1083" t="str">
        <x:v>SoFi Stadium</x:v>
      </x:c>
      <x:c r="S1083" t="str">
        <x:v>NBC</x:v>
      </x:c>
      <x:c r="T1083" t="str">
        <x:v>LAC -1.5</x:v>
      </x:c>
      <x:c r="U1083" s="70" t="n">
        <x:v>-1.5</x:v>
      </x:c>
      <x:c r="V1083" s="70" t="n">
        <x:v>45.5</x:v>
      </x:c>
      <x:c r="W1083" t="str">
        <x:v>DraftKings</x:v>
      </x:c>
      <x:c r="X1083" t="str">
        <x:v>https://www.espn.com/nfl/game/_/gameId/401873093</x:v>
      </x:c>
    </x:row>
    <x:row r="1084">
      <x:c r="A1084" t="str">
        <x:v>NFL</x:v>
      </x:c>
      <x:c r="B1084" t="n">
        <x:v>12</x:v>
      </x:c>
      <x:c r="C1084" s="68" t="n">
        <x:v>46357.052083333336</x:v>
      </x:c>
      <x:c r="D1084" s="71" t="str">
        <x:v>pre</x:v>
      </x:c>
      <x:c r="E1084" s="72" t="b">
        <x:v>0</x:v>
      </x:c>
      <x:c r="F1084" t="str">
        <x:v>Carolina Panthers</x:v>
      </x:c>
      <x:c r="G1084" t="str">
        <x:v>CAR</x:v>
      </x:c>
      <x:c r="H1084" s="69" t="n">
        <x:v>0</x:v>
      </x:c>
      <x:c r="I1084" t="str">
        <x:v>1-1</x:v>
      </x:c>
      <x:c r="J1084" t="str">
        <x:f>IF(E1084&lt;&gt;TRUE,"",IF(H1084&gt;M1084,"W",IF(H1084&lt;M1084,"L","T")))</x:f>
      </x:c>
      <x:c r="K1084" t="str">
        <x:v>Tampa Bay Buccaneers</x:v>
      </x:c>
      <x:c r="L1084" t="str">
        <x:v>TB</x:v>
      </x:c>
      <x:c r="M1084" s="69" t="n">
        <x:v>0</x:v>
      </x:c>
      <x:c r="N1084" t="str">
        <x:v>0-2</x:v>
      </x:c>
      <x:c r="O1084" t="str">
        <x:f>IF(E1084&lt;&gt;TRUE,"",IF(M1084&gt;H1084,"W",IF(M1084&lt;H1084,"L","T")))</x:f>
      </x:c>
      <x:c r="P1084" s="66" t="b">
        <x:v>0</x:v>
      </x:c>
      <x:c r="Q1084" s="66" t="b">
        <x:v>0</x:v>
      </x:c>
      <x:c r="R1084" t="str">
        <x:v>Raymond James Stadium</x:v>
      </x:c>
      <x:c r="S1084" t="str">
        <x:v>ESPN</x:v>
      </x:c>
      <x:c r="T1084" t="str">
        <x:v>TB -3.5</x:v>
      </x:c>
      <x:c r="U1084" s="70" t="n">
        <x:v>-3.5</x:v>
      </x:c>
      <x:c r="V1084" s="70" t="n">
        <x:v>44.5</x:v>
      </x:c>
      <x:c r="W1084" t="str">
        <x:v>DraftKings</x:v>
      </x:c>
      <x:c r="X1084" t="str">
        <x:v>https://www.espn.com/nfl/game/_/gameId/401873094</x:v>
      </x:c>
    </x:row>
    <x:row r="1085">
      <x:c r="A1085" t="str">
        <x:v>NFL</x:v>
      </x:c>
      <x:c r="B1085" t="n">
        <x:v>13</x:v>
      </x:c>
      <x:c r="C1085" s="68" t="n">
        <x:v>46360.052083333336</x:v>
      </x:c>
      <x:c r="D1085" s="71" t="str">
        <x:v>pre</x:v>
      </x:c>
      <x:c r="E1085" s="72" t="b">
        <x:v>0</x:v>
      </x:c>
      <x:c r="F1085" t="str">
        <x:v>Kansas City Chiefs</x:v>
      </x:c>
      <x:c r="G1085" t="str">
        <x:v>KC</x:v>
      </x:c>
      <x:c r="H1085" s="69" t="n">
        <x:v>0</x:v>
      </x:c>
      <x:c r="I1085" t="str">
        <x:v>2-0</x:v>
      </x:c>
      <x:c r="J1085" t="str">
        <x:f>IF(E1085&lt;&gt;TRUE,"",IF(H1085&gt;M1085,"W",IF(H1085&lt;M1085,"L","T")))</x:f>
      </x:c>
      <x:c r="K1085" t="str">
        <x:v>Los Angeles Rams</x:v>
      </x:c>
      <x:c r="L1085" t="str">
        <x:v>LAR</x:v>
      </x:c>
      <x:c r="M1085" s="69" t="n">
        <x:v>0</x:v>
      </x:c>
      <x:c r="N1085" t="str">
        <x:v>0-1</x:v>
      </x:c>
      <x:c r="O1085" t="str">
        <x:f>IF(E1085&lt;&gt;TRUE,"",IF(M1085&gt;H1085,"W",IF(M1085&lt;H1085,"L","T")))</x:f>
      </x:c>
      <x:c r="P1085" s="66" t="b">
        <x:v>0</x:v>
      </x:c>
      <x:c r="Q1085" s="66" t="b">
        <x:v>0</x:v>
      </x:c>
      <x:c r="R1085" t="str">
        <x:v>SoFi Stadium</x:v>
      </x:c>
      <x:c r="S1085" t="str">
        <x:v>Prime Video</x:v>
      </x:c>
      <x:c r="T1085" t="str">
        <x:v>LAR -3.5</x:v>
      </x:c>
      <x:c r="U1085" s="70" t="n">
        <x:v>-3.5</x:v>
      </x:c>
      <x:c r="V1085" s="70" t="n">
        <x:v>47.5</x:v>
      </x:c>
      <x:c r="W1085" t="str">
        <x:v>DraftKings</x:v>
      </x:c>
      <x:c r="X1085" t="str">
        <x:v>https://www.espn.com/nfl/game/_/gameId/401873096</x:v>
      </x:c>
    </x:row>
    <x:row r="1086">
      <x:c r="A1086" t="str">
        <x:v>NFL</x:v>
      </x:c>
      <x:c r="B1086" t="n">
        <x:v>13</x:v>
      </x:c>
      <x:c r="C1086" s="68" t="n">
        <x:v>46362.75</x:v>
      </x:c>
      <x:c r="D1086" s="71" t="str">
        <x:v>pre</x:v>
      </x:c>
      <x:c r="E1086" s="72" t="b">
        <x:v>0</x:v>
      </x:c>
      <x:c r="F1086" t="str">
        <x:v>San Francisco 49ers</x:v>
      </x:c>
      <x:c r="G1086" t="str">
        <x:v>SF</x:v>
      </x:c>
      <x:c r="H1086" s="69" t="n">
        <x:v>0</x:v>
      </x:c>
      <x:c r="I1086" t="str">
        <x:v>2-0</x:v>
      </x:c>
      <x:c r="J1086" t="str">
        <x:f>IF(E1086&lt;&gt;TRUE,"",IF(H1086&gt;M1086,"W",IF(H1086&lt;M1086,"L","T")))</x:f>
      </x:c>
      <x:c r="K1086" t="str">
        <x:v>New York Giants</x:v>
      </x:c>
      <x:c r="L1086" t="str">
        <x:v>NYG</x:v>
      </x:c>
      <x:c r="M1086" s="69" t="n">
        <x:v>0</x:v>
      </x:c>
      <x:c r="N1086" t="str">
        <x:v>1-0</x:v>
      </x:c>
      <x:c r="O1086" t="str">
        <x:f>IF(E1086&lt;&gt;TRUE,"",IF(M1086&gt;H1086,"W",IF(M1086&lt;H1086,"L","T")))</x:f>
      </x:c>
      <x:c r="P1086" s="66" t="b">
        <x:v>0</x:v>
      </x:c>
      <x:c r="Q1086" s="66" t="b">
        <x:v>0</x:v>
      </x:c>
      <x:c r="R1086" t="str">
        <x:v>MetLife Stadium</x:v>
      </x:c>
      <x:c r="S1086" t="str">
        <x:v>FOX</x:v>
      </x:c>
      <x:c r="T1086" t="str">
        <x:v>SF -3</x:v>
      </x:c>
      <x:c r="U1086" s="70" t="n">
        <x:v>3</x:v>
      </x:c>
      <x:c r="V1086" s="70" t="n">
        <x:v>47.5</x:v>
      </x:c>
      <x:c r="W1086" t="str">
        <x:v>DraftKings</x:v>
      </x:c>
      <x:c r="X1086" t="str">
        <x:v>https://www.espn.com/nfl/game/_/gameId/401873095</x:v>
      </x:c>
    </x:row>
    <x:row r="1087">
      <x:c r="A1087" t="str">
        <x:v>NFL</x:v>
      </x:c>
      <x:c r="B1087" t="n">
        <x:v>13</x:v>
      </x:c>
      <x:c r="C1087" s="68" t="n">
        <x:v>46362.75</x:v>
      </x:c>
      <x:c r="D1087" s="71" t="str">
        <x:v>pre</x:v>
      </x:c>
      <x:c r="E1087" s="72" t="b">
        <x:v>0</x:v>
      </x:c>
      <x:c r="F1087" t="str">
        <x:v>Cincinnati Bengals</x:v>
      </x:c>
      <x:c r="G1087" t="str">
        <x:v>CIN</x:v>
      </x:c>
      <x:c r="H1087" s="69" t="n">
        <x:v>0</x:v>
      </x:c>
      <x:c r="I1087" t="str">
        <x:v>2-0</x:v>
      </x:c>
      <x:c r="J1087" t="str">
        <x:f>IF(E1087&lt;&gt;TRUE,"",IF(H1087&gt;M1087,"W",IF(H1087&lt;M1087,"L","T")))</x:f>
      </x:c>
      <x:c r="K1087" t="str">
        <x:v>Cleveland Browns</x:v>
      </x:c>
      <x:c r="L1087" t="str">
        <x:v>CLE</x:v>
      </x:c>
      <x:c r="M1087" s="69" t="n">
        <x:v>0</x:v>
      </x:c>
      <x:c r="N1087" t="str">
        <x:v>1-1</x:v>
      </x:c>
      <x:c r="O1087" t="str">
        <x:f>IF(E1087&lt;&gt;TRUE,"",IF(M1087&gt;H1087,"W",IF(M1087&lt;H1087,"L","T")))</x:f>
      </x:c>
      <x:c r="P1087" s="66" t="b">
        <x:v>0</x:v>
      </x:c>
      <x:c r="Q1087" s="66" t="b">
        <x:v>0</x:v>
      </x:c>
      <x:c r="R1087" t="str">
        <x:v>Huntington Bank Field</x:v>
      </x:c>
      <x:c r="S1087" t="str">
        <x:v>CBS</x:v>
      </x:c>
      <x:c r="T1087" t="str">
        <x:v>CIN -4.5</x:v>
      </x:c>
      <x:c r="U1087" s="70" t="n">
        <x:v>4.5</x:v>
      </x:c>
      <x:c r="V1087" s="70" t="n">
        <x:v>45.5</x:v>
      </x:c>
      <x:c r="W1087" t="str">
        <x:v>DraftKings</x:v>
      </x:c>
      <x:c r="X1087" t="str">
        <x:v>https://www.espn.com/nfl/game/_/gameId/401873097</x:v>
      </x:c>
    </x:row>
    <x:row r="1088">
      <x:c r="A1088" t="str">
        <x:v>NFL</x:v>
      </x:c>
      <x:c r="B1088" t="n">
        <x:v>13</x:v>
      </x:c>
      <x:c r="C1088" s="68" t="n">
        <x:v>46362.75</x:v>
      </x:c>
      <x:c r="D1088" s="71" t="str">
        <x:v>pre</x:v>
      </x:c>
      <x:c r="E1088" s="72" t="b">
        <x:v>0</x:v>
      </x:c>
      <x:c r="F1088" t="str">
        <x:v>Detroit Lions</x:v>
      </x:c>
      <x:c r="G1088" t="str">
        <x:v>DET</x:v>
      </x:c>
      <x:c r="H1088" s="69" t="n">
        <x:v>0</x:v>
      </x:c>
      <x:c r="I1088" t="str">
        <x:v>1-1</x:v>
      </x:c>
      <x:c r="J1088" t="str">
        <x:f>IF(E1088&lt;&gt;TRUE,"",IF(H1088&gt;M1088,"W",IF(H1088&lt;M1088,"L","T")))</x:f>
      </x:c>
      <x:c r="K1088" t="str">
        <x:v>Atlanta Falcons</x:v>
      </x:c>
      <x:c r="L1088" t="str">
        <x:v>ATL</x:v>
      </x:c>
      <x:c r="M1088" s="69" t="n">
        <x:v>0</x:v>
      </x:c>
      <x:c r="N1088" t="str">
        <x:v>0-2</x:v>
      </x:c>
      <x:c r="O1088" t="str">
        <x:f>IF(E1088&lt;&gt;TRUE,"",IF(M1088&gt;H1088,"W",IF(M1088&lt;H1088,"L","T")))</x:f>
      </x:c>
      <x:c r="P1088" s="66" t="b">
        <x:v>0</x:v>
      </x:c>
      <x:c r="Q1088" s="66" t="b">
        <x:v>0</x:v>
      </x:c>
      <x:c r="R1088" t="str">
        <x:v>Mercedes-Benz Stadium</x:v>
      </x:c>
      <x:c r="S1088" t="str">
        <x:v>CBS</x:v>
      </x:c>
      <x:c r="T1088" t="str">
        <x:v>DET -3.5</x:v>
      </x:c>
      <x:c r="U1088" s="70" t="n">
        <x:v>3.5</x:v>
      </x:c>
      <x:c r="V1088" s="70" t="n">
        <x:v>48.5</x:v>
      </x:c>
      <x:c r="W1088" t="str">
        <x:v>DraftKings</x:v>
      </x:c>
      <x:c r="X1088" t="str">
        <x:v>https://www.espn.com/nfl/game/_/gameId/401873098</x:v>
      </x:c>
    </x:row>
    <x:row r="1089">
      <x:c r="A1089" t="str">
        <x:v>NFL</x:v>
      </x:c>
      <x:c r="B1089" t="n">
        <x:v>13</x:v>
      </x:c>
      <x:c r="C1089" s="68" t="n">
        <x:v>46362.75</x:v>
      </x:c>
      <x:c r="D1089" s="71" t="str">
        <x:v>pre</x:v>
      </x:c>
      <x:c r="E1089" s="72" t="b">
        <x:v>0</x:v>
      </x:c>
      <x:c r="F1089" t="str">
        <x:v>Green Bay Packers</x:v>
      </x:c>
      <x:c r="G1089" t="str">
        <x:v>GB</x:v>
      </x:c>
      <x:c r="H1089" s="69" t="n">
        <x:v>0</x:v>
      </x:c>
      <x:c r="I1089" t="str">
        <x:v>1-1</x:v>
      </x:c>
      <x:c r="J1089" t="str">
        <x:f>IF(E1089&lt;&gt;TRUE,"",IF(H1089&gt;M1089,"W",IF(H1089&lt;M1089,"L","T")))</x:f>
      </x:c>
      <x:c r="K1089" t="str">
        <x:v>New Orleans Saints</x:v>
      </x:c>
      <x:c r="L1089" t="str">
        <x:v>NO</x:v>
      </x:c>
      <x:c r="M1089" s="69" t="n">
        <x:v>0</x:v>
      </x:c>
      <x:c r="N1089" t="str">
        <x:v>1-1</x:v>
      </x:c>
      <x:c r="O1089" t="str">
        <x:f>IF(E1089&lt;&gt;TRUE,"",IF(M1089&gt;H1089,"W",IF(M1089&lt;H1089,"L","T")))</x:f>
      </x:c>
      <x:c r="P1089" s="66" t="b">
        <x:v>0</x:v>
      </x:c>
      <x:c r="Q1089" s="66" t="b">
        <x:v>0</x:v>
      </x:c>
      <x:c r="R1089" t="str">
        <x:v>Caesars Superdome</x:v>
      </x:c>
      <x:c r="S1089" t="str">
        <x:v>FOX</x:v>
      </x:c>
      <x:c r="T1089" t="str">
        <x:v>GB -4.5</x:v>
      </x:c>
      <x:c r="U1089" s="70" t="n">
        <x:v>4.5</x:v>
      </x:c>
      <x:c r="V1089" s="70" t="n">
        <x:v>45.5</x:v>
      </x:c>
      <x:c r="W1089" t="str">
        <x:v>DraftKings</x:v>
      </x:c>
      <x:c r="X1089" t="str">
        <x:v>https://www.espn.com/nfl/game/_/gameId/401873099</x:v>
      </x:c>
    </x:row>
    <x:row r="1090">
      <x:c r="A1090" t="str">
        <x:v>NFL</x:v>
      </x:c>
      <x:c r="B1090" t="n">
        <x:v>13</x:v>
      </x:c>
      <x:c r="C1090" s="68" t="n">
        <x:v>46362.75</x:v>
      </x:c>
      <x:c r="D1090" s="71" t="str">
        <x:v>pre</x:v>
      </x:c>
      <x:c r="E1090" s="72" t="b">
        <x:v>0</x:v>
      </x:c>
      <x:c r="F1090" t="str">
        <x:v>Jacksonville Jaguars</x:v>
      </x:c>
      <x:c r="G1090" t="str">
        <x:v>JAX</x:v>
      </x:c>
      <x:c r="H1090" s="69" t="n">
        <x:v>0</x:v>
      </x:c>
      <x:c r="I1090" t="str">
        <x:v>1-1</x:v>
      </x:c>
      <x:c r="J1090" t="str">
        <x:f>IF(E1090&lt;&gt;TRUE,"",IF(H1090&gt;M1090,"W",IF(H1090&lt;M1090,"L","T")))</x:f>
      </x:c>
      <x:c r="K1090" t="str">
        <x:v>Chicago Bears</x:v>
      </x:c>
      <x:c r="L1090" t="str">
        <x:v>CHI</x:v>
      </x:c>
      <x:c r="M1090" s="69" t="n">
        <x:v>0</x:v>
      </x:c>
      <x:c r="N1090" t="str">
        <x:v>1-1</x:v>
      </x:c>
      <x:c r="O1090" t="str">
        <x:f>IF(E1090&lt;&gt;TRUE,"",IF(M1090&gt;H1090,"W",IF(M1090&lt;H1090,"L","T")))</x:f>
      </x:c>
      <x:c r="P1090" s="66" t="b">
        <x:v>0</x:v>
      </x:c>
      <x:c r="Q1090" s="66" t="b">
        <x:v>0</x:v>
      </x:c>
      <x:c r="R1090" t="str">
        <x:v>Soldier Field</x:v>
      </x:c>
      <x:c r="S1090" t="str">
        <x:v>FOX</x:v>
      </x:c>
      <x:c r="T1090" t="str">
        <x:v>CHI -3</x:v>
      </x:c>
      <x:c r="U1090" s="70" t="n">
        <x:v>-3</x:v>
      </x:c>
      <x:c r="V1090" s="70" t="n">
        <x:v>47.5</x:v>
      </x:c>
      <x:c r="W1090" t="str">
        <x:v>DraftKings</x:v>
      </x:c>
      <x:c r="X1090" t="str">
        <x:v>https://www.espn.com/nfl/game/_/gameId/401873100</x:v>
      </x:c>
    </x:row>
    <x:row r="1091">
      <x:c r="A1091" t="str">
        <x:v>NFL</x:v>
      </x:c>
      <x:c r="B1091" t="n">
        <x:v>13</x:v>
      </x:c>
      <x:c r="C1091" s="68" t="n">
        <x:v>46362.75</x:v>
      </x:c>
      <x:c r="D1091" s="71" t="str">
        <x:v>pre</x:v>
      </x:c>
      <x:c r="E1091" s="72" t="b">
        <x:v>0</x:v>
      </x:c>
      <x:c r="F1091" t="str">
        <x:v>Los Angeles Chargers</x:v>
      </x:c>
      <x:c r="G1091" t="str">
        <x:v>LAC</x:v>
      </x:c>
      <x:c r="H1091" s="69" t="n">
        <x:v>0</x:v>
      </x:c>
      <x:c r="I1091" t="str">
        <x:v>0-2</x:v>
      </x:c>
      <x:c r="J1091" t="str">
        <x:f>IF(E1091&lt;&gt;TRUE,"",IF(H1091&gt;M1091,"W",IF(H1091&lt;M1091,"L","T")))</x:f>
      </x:c>
      <x:c r="K1091" t="str">
        <x:v>Tampa Bay Buccaneers</x:v>
      </x:c>
      <x:c r="L1091" t="str">
        <x:v>TB</x:v>
      </x:c>
      <x:c r="M1091" s="69" t="n">
        <x:v>0</x:v>
      </x:c>
      <x:c r="N1091" t="str">
        <x:v>0-2</x:v>
      </x:c>
      <x:c r="O1091" t="str">
        <x:f>IF(E1091&lt;&gt;TRUE,"",IF(M1091&gt;H1091,"W",IF(M1091&lt;H1091,"L","T")))</x:f>
      </x:c>
      <x:c r="P1091" s="66" t="b">
        <x:v>0</x:v>
      </x:c>
      <x:c r="Q1091" s="66" t="b">
        <x:v>0</x:v>
      </x:c>
      <x:c r="R1091" t="str">
        <x:v>Raymond James Stadium</x:v>
      </x:c>
      <x:c r="S1091" t="str">
        <x:v>CBS</x:v>
      </x:c>
      <x:c r="T1091" t="str">
        <x:v>LAC -2.5</x:v>
      </x:c>
      <x:c r="U1091" s="70" t="n">
        <x:v>2.5</x:v>
      </x:c>
      <x:c r="V1091" s="70" t="n">
        <x:v>46.5</x:v>
      </x:c>
      <x:c r="W1091" t="str">
        <x:v>DraftKings</x:v>
      </x:c>
      <x:c r="X1091" t="str">
        <x:v>https://www.espn.com/nfl/game/_/gameId/401873101</x:v>
      </x:c>
    </x:row>
    <x:row r="1092">
      <x:c r="A1092" t="str">
        <x:v>NFL</x:v>
      </x:c>
      <x:c r="B1092" t="n">
        <x:v>13</x:v>
      </x:c>
      <x:c r="C1092" s="68" t="n">
        <x:v>46362.75</x:v>
      </x:c>
      <x:c r="D1092" s="71" t="str">
        <x:v>pre</x:v>
      </x:c>
      <x:c r="E1092" s="72" t="b">
        <x:v>0</x:v>
      </x:c>
      <x:c r="F1092" t="str">
        <x:v>Washington Commanders</x:v>
      </x:c>
      <x:c r="G1092" t="str">
        <x:v>WSH</x:v>
      </x:c>
      <x:c r="H1092" s="69" t="n">
        <x:v>0</x:v>
      </x:c>
      <x:c r="I1092" t="str">
        <x:v>0-2</x:v>
      </x:c>
      <x:c r="J1092" t="str">
        <x:f>IF(E1092&lt;&gt;TRUE,"",IF(H1092&gt;M1092,"W",IF(H1092&lt;M1092,"L","T")))</x:f>
      </x:c>
      <x:c r="K1092" t="str">
        <x:v>Tennessee Titans</x:v>
      </x:c>
      <x:c r="L1092" t="str">
        <x:v>TEN</x:v>
      </x:c>
      <x:c r="M1092" s="69" t="n">
        <x:v>0</x:v>
      </x:c>
      <x:c r="N1092" t="str">
        <x:v>0-2</x:v>
      </x:c>
      <x:c r="O1092" t="str">
        <x:f>IF(E1092&lt;&gt;TRUE,"",IF(M1092&gt;H1092,"W",IF(M1092&lt;H1092,"L","T")))</x:f>
      </x:c>
      <x:c r="P1092" s="66" t="b">
        <x:v>0</x:v>
      </x:c>
      <x:c r="Q1092" s="66" t="b">
        <x:v>0</x:v>
      </x:c>
      <x:c r="R1092" t="str">
        <x:v>Nissan Stadium</x:v>
      </x:c>
      <x:c r="S1092" t="str">
        <x:v>CBS</x:v>
      </x:c>
      <x:c r="T1092" t="str">
        <x:v>WSH -1.5</x:v>
      </x:c>
      <x:c r="U1092" s="70" t="n">
        <x:v>1.5</x:v>
      </x:c>
      <x:c r="V1092" s="70" t="n">
        <x:v>46.5</x:v>
      </x:c>
      <x:c r="W1092" t="str">
        <x:v>DraftKings</x:v>
      </x:c>
      <x:c r="X1092" t="str">
        <x:v>https://www.espn.com/nfl/game/_/gameId/401873102</x:v>
      </x:c>
    </x:row>
    <x:row r="1093">
      <x:c r="A1093" t="str">
        <x:v>NFL</x:v>
      </x:c>
      <x:c r="B1093" t="n">
        <x:v>13</x:v>
      </x:c>
      <x:c r="C1093" s="68" t="n">
        <x:v>46362.87847222222</x:v>
      </x:c>
      <x:c r="D1093" s="71" t="str">
        <x:v>pre</x:v>
      </x:c>
      <x:c r="E1093" s="72" t="b">
        <x:v>0</x:v>
      </x:c>
      <x:c r="F1093" t="str">
        <x:v>Miami Dolphins</x:v>
      </x:c>
      <x:c r="G1093" t="str">
        <x:v>MIA</x:v>
      </x:c>
      <x:c r="H1093" s="69" t="n">
        <x:v>0</x:v>
      </x:c>
      <x:c r="I1093" t="str">
        <x:v>0-2</x:v>
      </x:c>
      <x:c r="J1093" t="str">
        <x:f>IF(E1093&lt;&gt;TRUE,"",IF(H1093&gt;M1093,"W",IF(H1093&lt;M1093,"L","T")))</x:f>
      </x:c>
      <x:c r="K1093" t="str">
        <x:v>Denver Broncos</x:v>
      </x:c>
      <x:c r="L1093" t="str">
        <x:v>DEN</x:v>
      </x:c>
      <x:c r="M1093" s="69" t="n">
        <x:v>0</x:v>
      </x:c>
      <x:c r="N1093" t="str">
        <x:v>1-1</x:v>
      </x:c>
      <x:c r="O1093" t="str">
        <x:f>IF(E1093&lt;&gt;TRUE,"",IF(M1093&gt;H1093,"W",IF(M1093&lt;H1093,"L","T")))</x:f>
      </x:c>
      <x:c r="P1093" s="66" t="b">
        <x:v>0</x:v>
      </x:c>
      <x:c r="Q1093" s="66" t="b">
        <x:v>0</x:v>
      </x:c>
      <x:c r="R1093" t="str">
        <x:v>Empower Field at Mile High</x:v>
      </x:c>
      <x:c r="S1093" t="str">
        <x:v>FOX</x:v>
      </x:c>
      <x:c r="T1093" t="str">
        <x:v>DEN -9.5</x:v>
      </x:c>
      <x:c r="U1093" s="70" t="n">
        <x:v>-9.5</x:v>
      </x:c>
      <x:c r="V1093" s="70" t="n">
        <x:v>42.5</x:v>
      </x:c>
      <x:c r="W1093" t="str">
        <x:v>DraftKings</x:v>
      </x:c>
      <x:c r="X1093" t="str">
        <x:v>https://www.espn.com/nfl/game/_/gameId/401873103</x:v>
      </x:c>
    </x:row>
    <x:row r="1094">
      <x:c r="A1094" t="str">
        <x:v>NFL</x:v>
      </x:c>
      <x:c r="B1094" t="n">
        <x:v>13</x:v>
      </x:c>
      <x:c r="C1094" s="68" t="n">
        <x:v>46362.87847222222</x:v>
      </x:c>
      <x:c r="D1094" s="71" t="str">
        <x:v>pre</x:v>
      </x:c>
      <x:c r="E1094" s="72" t="b">
        <x:v>0</x:v>
      </x:c>
      <x:c r="F1094" t="str">
        <x:v>Philadelphia Eagles</x:v>
      </x:c>
      <x:c r="G1094" t="str">
        <x:v>PHI</x:v>
      </x:c>
      <x:c r="H1094" s="69" t="n">
        <x:v>0</x:v>
      </x:c>
      <x:c r="I1094" t="str">
        <x:v>2-0</x:v>
      </x:c>
      <x:c r="J1094" t="str">
        <x:f>IF(E1094&lt;&gt;TRUE,"",IF(H1094&gt;M1094,"W",IF(H1094&lt;M1094,"L","T")))</x:f>
      </x:c>
      <x:c r="K1094" t="str">
        <x:v>Arizona Cardinals</x:v>
      </x:c>
      <x:c r="L1094" t="str">
        <x:v>ARI</x:v>
      </x:c>
      <x:c r="M1094" s="69" t="n">
        <x:v>0</x:v>
      </x:c>
      <x:c r="N1094" t="str">
        <x:v>1-1</x:v>
      </x:c>
      <x:c r="O1094" t="str">
        <x:f>IF(E1094&lt;&gt;TRUE,"",IF(M1094&gt;H1094,"W",IF(M1094&lt;H1094,"L","T")))</x:f>
      </x:c>
      <x:c r="P1094" s="66" t="b">
        <x:v>0</x:v>
      </x:c>
      <x:c r="Q1094" s="66" t="b">
        <x:v>0</x:v>
      </x:c>
      <x:c r="R1094" t="str">
        <x:v>State Farm Stadium</x:v>
      </x:c>
      <x:c r="S1094" t="str">
        <x:v>FOX</x:v>
      </x:c>
      <x:c r="T1094" t="str">
        <x:v>PHI -8.5</x:v>
      </x:c>
      <x:c r="U1094" s="70" t="n">
        <x:v>8.5</x:v>
      </x:c>
      <x:c r="V1094" s="70" t="n">
        <x:v>43.5</x:v>
      </x:c>
      <x:c r="W1094" t="str">
        <x:v>DraftKings</x:v>
      </x:c>
      <x:c r="X1094" t="str">
        <x:v>https://www.espn.com/nfl/game/_/gameId/401873104</x:v>
      </x:c>
    </x:row>
    <x:row r="1095">
      <x:c r="A1095" t="str">
        <x:v>NFL</x:v>
      </x:c>
      <x:c r="B1095" t="n">
        <x:v>13</x:v>
      </x:c>
      <x:c r="C1095" s="68" t="n">
        <x:v>46362.89236111111</x:v>
      </x:c>
      <x:c r="D1095" s="71" t="str">
        <x:v>pre</x:v>
      </x:c>
      <x:c r="E1095" s="72" t="b">
        <x:v>0</x:v>
      </x:c>
      <x:c r="F1095" t="str">
        <x:v>Buffalo Bills</x:v>
      </x:c>
      <x:c r="G1095" t="str">
        <x:v>BUF</x:v>
      </x:c>
      <x:c r="H1095" s="69" t="n">
        <x:v>0</x:v>
      </x:c>
      <x:c r="I1095" t="str">
        <x:v>2-0</x:v>
      </x:c>
      <x:c r="J1095" t="str">
        <x:f>IF(E1095&lt;&gt;TRUE,"",IF(H1095&gt;M1095,"W",IF(H1095&lt;M1095,"L","T")))</x:f>
      </x:c>
      <x:c r="K1095" t="str">
        <x:v>New England Patriots</x:v>
      </x:c>
      <x:c r="L1095" t="str">
        <x:v>NE</x:v>
      </x:c>
      <x:c r="M1095" s="69" t="n">
        <x:v>0</x:v>
      </x:c>
      <x:c r="N1095" t="str">
        <x:v>1-1</x:v>
      </x:c>
      <x:c r="O1095" t="str">
        <x:f>IF(E1095&lt;&gt;TRUE,"",IF(M1095&gt;H1095,"W",IF(M1095&lt;H1095,"L","T")))</x:f>
      </x:c>
      <x:c r="P1095" s="66" t="b">
        <x:v>0</x:v>
      </x:c>
      <x:c r="Q1095" s="66" t="b">
        <x:v>0</x:v>
      </x:c>
      <x:c r="R1095" t="str">
        <x:v>Gillette Stadium</x:v>
      </x:c>
      <x:c r="S1095" t="str">
        <x:v>CBS</x:v>
      </x:c>
      <x:c r="T1095" t="str">
        <x:v>NE -1.5</x:v>
      </x:c>
      <x:c r="U1095" s="70" t="n">
        <x:v>-1.5</x:v>
      </x:c>
      <x:c r="V1095" s="70" t="n">
        <x:v>48.5</x:v>
      </x:c>
      <x:c r="W1095" t="str">
        <x:v>DraftKings</x:v>
      </x:c>
      <x:c r="X1095" t="str">
        <x:v>https://www.espn.com/nfl/game/_/gameId/401873105</x:v>
      </x:c>
    </x:row>
    <x:row r="1096">
      <x:c r="A1096" t="str">
        <x:v>NFL</x:v>
      </x:c>
      <x:c r="B1096" t="n">
        <x:v>13</x:v>
      </x:c>
      <x:c r="C1096" s="68" t="n">
        <x:v>46362.89236111111</x:v>
      </x:c>
      <x:c r="D1096" s="71" t="str">
        <x:v>pre</x:v>
      </x:c>
      <x:c r="E1096" s="72" t="b">
        <x:v>0</x:v>
      </x:c>
      <x:c r="F1096" t="str">
        <x:v>Carolina Panthers</x:v>
      </x:c>
      <x:c r="G1096" t="str">
        <x:v>CAR</x:v>
      </x:c>
      <x:c r="H1096" s="69" t="n">
        <x:v>0</x:v>
      </x:c>
      <x:c r="I1096" t="str">
        <x:v>1-1</x:v>
      </x:c>
      <x:c r="J1096" t="str">
        <x:f>IF(E1096&lt;&gt;TRUE,"",IF(H1096&gt;M1096,"W",IF(H1096&lt;M1096,"L","T")))</x:f>
      </x:c>
      <x:c r="K1096" t="str">
        <x:v>Minnesota Vikings</x:v>
      </x:c>
      <x:c r="L1096" t="str">
        <x:v>MIN</x:v>
      </x:c>
      <x:c r="M1096" s="69" t="n">
        <x:v>0</x:v>
      </x:c>
      <x:c r="N1096" t="str">
        <x:v>2-0</x:v>
      </x:c>
      <x:c r="O1096" t="str">
        <x:f>IF(E1096&lt;&gt;TRUE,"",IF(M1096&gt;H1096,"W",IF(M1096&lt;H1096,"L","T")))</x:f>
      </x:c>
      <x:c r="P1096" s="66" t="b">
        <x:v>0</x:v>
      </x:c>
      <x:c r="Q1096" s="66" t="b">
        <x:v>0</x:v>
      </x:c>
      <x:c r="R1096" t="str">
        <x:v>U.S. Bank Stadium</x:v>
      </x:c>
      <x:c r="S1096" t="str">
        <x:v>CBS</x:v>
      </x:c>
      <x:c r="T1096" t="str">
        <x:v>MIN -3.5</x:v>
      </x:c>
      <x:c r="U1096" s="70" t="n">
        <x:v>-3.5</x:v>
      </x:c>
      <x:c r="V1096" s="70" t="n">
        <x:v>42.5</x:v>
      </x:c>
      <x:c r="W1096" t="str">
        <x:v>DraftKings</x:v>
      </x:c>
      <x:c r="X1096" t="str">
        <x:v>https://www.espn.com/nfl/game/_/gameId/401873106</x:v>
      </x:c>
    </x:row>
    <x:row r="1097">
      <x:c r="A1097" t="str">
        <x:v>NFL</x:v>
      </x:c>
      <x:c r="B1097" t="n">
        <x:v>13</x:v>
      </x:c>
      <x:c r="C1097" s="68" t="n">
        <x:v>46363.055555555555</x:v>
      </x:c>
      <x:c r="D1097" s="71" t="str">
        <x:v>pre</x:v>
      </x:c>
      <x:c r="E1097" s="72" t="b">
        <x:v>0</x:v>
      </x:c>
      <x:c r="F1097" t="str">
        <x:v>Houston Texans</x:v>
      </x:c>
      <x:c r="G1097" t="str">
        <x:v>HOU</x:v>
      </x:c>
      <x:c r="H1097" s="69" t="n">
        <x:v>0</x:v>
      </x:c>
      <x:c r="I1097" t="str">
        <x:v>0-2</x:v>
      </x:c>
      <x:c r="J1097" t="str">
        <x:f>IF(E1097&lt;&gt;TRUE,"",IF(H1097&gt;M1097,"W",IF(H1097&lt;M1097,"L","T")))</x:f>
      </x:c>
      <x:c r="K1097" t="str">
        <x:v>Pittsburgh Steelers</x:v>
      </x:c>
      <x:c r="L1097" t="str">
        <x:v>PIT</x:v>
      </x:c>
      <x:c r="M1097" s="69" t="n">
        <x:v>0</x:v>
      </x:c>
      <x:c r="N1097" t="str">
        <x:v>1-1</x:v>
      </x:c>
      <x:c r="O1097" t="str">
        <x:f>IF(E1097&lt;&gt;TRUE,"",IF(M1097&gt;H1097,"W",IF(M1097&lt;H1097,"L","T")))</x:f>
      </x:c>
      <x:c r="P1097" s="66" t="b">
        <x:v>0</x:v>
      </x:c>
      <x:c r="Q1097" s="66" t="b">
        <x:v>0</x:v>
      </x:c>
      <x:c r="R1097" t="str">
        <x:v>Acrisure Stadium</x:v>
      </x:c>
      <x:c r="S1097" t="str">
        <x:v>NBC</x:v>
      </x:c>
      <x:c r="T1097" t="str">
        <x:v>HOU -1.5</x:v>
      </x:c>
      <x:c r="U1097" s="70" t="n">
        <x:v>1.5</x:v>
      </x:c>
      <x:c r="V1097" s="70" t="n">
        <x:v>41.5</x:v>
      </x:c>
      <x:c r="W1097" t="str">
        <x:v>DraftKings</x:v>
      </x:c>
      <x:c r="X1097" t="str">
        <x:v>https://www.espn.com/nfl/game/_/gameId/401873107</x:v>
      </x:c>
    </x:row>
    <x:row r="1098">
      <x:c r="A1098" t="str">
        <x:v>NFL</x:v>
      </x:c>
      <x:c r="B1098" t="n">
        <x:v>13</x:v>
      </x:c>
      <x:c r="C1098" s="68" t="n">
        <x:v>46364.052083333336</x:v>
      </x:c>
      <x:c r="D1098" s="71" t="str">
        <x:v>pre</x:v>
      </x:c>
      <x:c r="E1098" s="72" t="b">
        <x:v>0</x:v>
      </x:c>
      <x:c r="F1098" t="str">
        <x:v>Dallas Cowboys</x:v>
      </x:c>
      <x:c r="G1098" t="str">
        <x:v>DAL</x:v>
      </x:c>
      <x:c r="H1098" s="69" t="n">
        <x:v>0</x:v>
      </x:c>
      <x:c r="I1098" t="str">
        <x:v>1-1</x:v>
      </x:c>
      <x:c r="J1098" t="str">
        <x:f>IF(E1098&lt;&gt;TRUE,"",IF(H1098&gt;M1098,"W",IF(H1098&lt;M1098,"L","T")))</x:f>
      </x:c>
      <x:c r="K1098" t="str">
        <x:v>Seattle Seahawks</x:v>
      </x:c>
      <x:c r="L1098" t="str">
        <x:v>SEA</x:v>
      </x:c>
      <x:c r="M1098" s="69" t="n">
        <x:v>0</x:v>
      </x:c>
      <x:c r="N1098" t="str">
        <x:v>2-0</x:v>
      </x:c>
      <x:c r="O1098" t="str">
        <x:f>IF(E1098&lt;&gt;TRUE,"",IF(M1098&gt;H1098,"W",IF(M1098&lt;H1098,"L","T")))</x:f>
      </x:c>
      <x:c r="P1098" s="66" t="b">
        <x:v>0</x:v>
      </x:c>
      <x:c r="Q1098" s="66" t="b">
        <x:v>0</x:v>
      </x:c>
      <x:c r="R1098" t="str">
        <x:v>Lumen Field</x:v>
      </x:c>
      <x:c r="S1098" t="str">
        <x:v>ESPN / ABC</x:v>
      </x:c>
      <x:c r="T1098" t="str">
        <x:v>SEA -4.5</x:v>
      </x:c>
      <x:c r="U1098" s="70" t="n">
        <x:v>-4.5</x:v>
      </x:c>
      <x:c r="V1098" s="70" t="n">
        <x:v>48.5</x:v>
      </x:c>
      <x:c r="W1098" t="str">
        <x:v>DraftKings</x:v>
      </x:c>
      <x:c r="X1098" t="str">
        <x:v>https://www.espn.com/nfl/game/_/gameId/401873108</x:v>
      </x:c>
    </x:row>
    <x:row r="1099">
      <x:c r="A1099" t="str">
        <x:v>NFL</x:v>
      </x:c>
      <x:c r="B1099" t="n">
        <x:v>14</x:v>
      </x:c>
      <x:c r="C1099" s="68" t="n">
        <x:v>46367.052083333336</x:v>
      </x:c>
      <x:c r="D1099" s="71" t="str">
        <x:v>pre</x:v>
      </x:c>
      <x:c r="E1099" s="72" t="b">
        <x:v>0</x:v>
      </x:c>
      <x:c r="F1099" t="str">
        <x:v>Minnesota Vikings</x:v>
      </x:c>
      <x:c r="G1099" t="str">
        <x:v>MIN</x:v>
      </x:c>
      <x:c r="H1099" s="69" t="n">
        <x:v>0</x:v>
      </x:c>
      <x:c r="I1099" t="str">
        <x:v>2-0</x:v>
      </x:c>
      <x:c r="J1099" t="str">
        <x:f>IF(E1099&lt;&gt;TRUE,"",IF(H1099&gt;M1099,"W",IF(H1099&lt;M1099,"L","T")))</x:f>
      </x:c>
      <x:c r="K1099" t="str">
        <x:v>New England Patriots</x:v>
      </x:c>
      <x:c r="L1099" t="str">
        <x:v>NE</x:v>
      </x:c>
      <x:c r="M1099" s="69" t="n">
        <x:v>0</x:v>
      </x:c>
      <x:c r="N1099" t="str">
        <x:v>1-1</x:v>
      </x:c>
      <x:c r="O1099" t="str">
        <x:f>IF(E1099&lt;&gt;TRUE,"",IF(M1099&gt;H1099,"W",IF(M1099&lt;H1099,"L","T")))</x:f>
      </x:c>
      <x:c r="P1099" s="66" t="b">
        <x:v>0</x:v>
      </x:c>
      <x:c r="Q1099" s="66" t="b">
        <x:v>0</x:v>
      </x:c>
      <x:c r="R1099" t="str">
        <x:v>Gillette Stadium</x:v>
      </x:c>
      <x:c r="S1099" t="str">
        <x:v>Prime Video</x:v>
      </x:c>
      <x:c r="T1099" t="str">
        <x:v>NE -4.5</x:v>
      </x:c>
      <x:c r="U1099" s="70" t="n">
        <x:v>-4.5</x:v>
      </x:c>
      <x:c r="V1099" s="70" t="n">
        <x:v>43.5</x:v>
      </x:c>
      <x:c r="W1099" t="str">
        <x:v>DraftKings</x:v>
      </x:c>
      <x:c r="X1099" t="str">
        <x:v>https://www.espn.com/nfl/game/_/gameId/401873109</x:v>
      </x:c>
    </x:row>
    <x:row r="1100">
      <x:c r="A1100" t="str">
        <x:v>NFL</x:v>
      </x:c>
      <x:c r="B1100" t="n">
        <x:v>14</x:v>
      </x:c>
      <x:c r="C1100" s="68" t="n">
        <x:v>46369.75</x:v>
      </x:c>
      <x:c r="D1100" s="71" t="str">
        <x:v>pre</x:v>
      </x:c>
      <x:c r="E1100" s="72" t="b">
        <x:v>0</x:v>
      </x:c>
      <x:c r="F1100" t="str">
        <x:v>Atlanta Falcons</x:v>
      </x:c>
      <x:c r="G1100" t="str">
        <x:v>ATL</x:v>
      </x:c>
      <x:c r="H1100" s="69" t="n">
        <x:v>0</x:v>
      </x:c>
      <x:c r="I1100" t="str">
        <x:v>0-2</x:v>
      </x:c>
      <x:c r="J1100" t="str">
        <x:f>IF(E1100&lt;&gt;TRUE,"",IF(H1100&gt;M1100,"W",IF(H1100&lt;M1100,"L","T")))</x:f>
      </x:c>
      <x:c r="K1100" t="str">
        <x:v>Cleveland Browns</x:v>
      </x:c>
      <x:c r="L1100" t="str">
        <x:v>CLE</x:v>
      </x:c>
      <x:c r="M1100" s="69" t="n">
        <x:v>0</x:v>
      </x:c>
      <x:c r="N1100" t="str">
        <x:v>1-1</x:v>
      </x:c>
      <x:c r="O1100" t="str">
        <x:f>IF(E1100&lt;&gt;TRUE,"",IF(M1100&gt;H1100,"W",IF(M1100&lt;H1100,"L","T")))</x:f>
      </x:c>
      <x:c r="P1100" s="66" t="b">
        <x:v>0</x:v>
      </x:c>
      <x:c r="Q1100" s="66" t="b">
        <x:v>0</x:v>
      </x:c>
      <x:c r="R1100" t="str">
        <x:v>Huntington Bank Field</x:v>
      </x:c>
      <x:c r="S1100" t="str">
        <x:v>CBS</x:v>
      </x:c>
      <x:c r="T1100" t="str">
        <x:v>CLE -1.5</x:v>
      </x:c>
      <x:c r="U1100" s="70" t="n">
        <x:v>-1.5</x:v>
      </x:c>
      <x:c r="V1100" s="70" t="n">
        <x:v>40.5</x:v>
      </x:c>
      <x:c r="W1100" t="str">
        <x:v>DraftKings</x:v>
      </x:c>
      <x:c r="X1100" t="str">
        <x:v>https://www.espn.com/nfl/game/_/gameId/401873110</x:v>
      </x:c>
    </x:row>
    <x:row r="1101">
      <x:c r="A1101" t="str">
        <x:v>NFL</x:v>
      </x:c>
      <x:c r="B1101" t="n">
        <x:v>14</x:v>
      </x:c>
      <x:c r="C1101" s="68" t="n">
        <x:v>46369.75</x:v>
      </x:c>
      <x:c r="D1101" s="71" t="str">
        <x:v>pre</x:v>
      </x:c>
      <x:c r="E1101" s="72" t="b">
        <x:v>0</x:v>
      </x:c>
      <x:c r="F1101" t="str">
        <x:v>Chicago Bears</x:v>
      </x:c>
      <x:c r="G1101" t="str">
        <x:v>CHI</x:v>
      </x:c>
      <x:c r="H1101" s="69" t="n">
        <x:v>0</x:v>
      </x:c>
      <x:c r="I1101" t="str">
        <x:v>1-1</x:v>
      </x:c>
      <x:c r="J1101" t="str">
        <x:f>IF(E1101&lt;&gt;TRUE,"",IF(H1101&gt;M1101,"W",IF(H1101&lt;M1101,"L","T")))</x:f>
      </x:c>
      <x:c r="K1101" t="str">
        <x:v>Miami Dolphins</x:v>
      </x:c>
      <x:c r="L1101" t="str">
        <x:v>MIA</x:v>
      </x:c>
      <x:c r="M1101" s="69" t="n">
        <x:v>0</x:v>
      </x:c>
      <x:c r="N1101" t="str">
        <x:v>0-2</x:v>
      </x:c>
      <x:c r="O1101" t="str">
        <x:f>IF(E1101&lt;&gt;TRUE,"",IF(M1101&gt;H1101,"W",IF(M1101&lt;H1101,"L","T")))</x:f>
      </x:c>
      <x:c r="P1101" s="66" t="b">
        <x:v>0</x:v>
      </x:c>
      <x:c r="Q1101" s="66" t="b">
        <x:v>0</x:v>
      </x:c>
      <x:c r="R1101" t="str">
        <x:v>Hard Rock Stadium</x:v>
      </x:c>
      <x:c r="S1101" t="str">
        <x:v>CBS</x:v>
      </x:c>
      <x:c r="T1101" t="str">
        <x:v>CHI -5.5</x:v>
      </x:c>
      <x:c r="U1101" s="70" t="n">
        <x:v>5.5</x:v>
      </x:c>
      <x:c r="V1101" s="70" t="n">
        <x:v>46.5</x:v>
      </x:c>
      <x:c r="W1101" t="str">
        <x:v>DraftKings</x:v>
      </x:c>
      <x:c r="X1101" t="str">
        <x:v>https://www.espn.com/nfl/game/_/gameId/401873111</x:v>
      </x:c>
    </x:row>
    <x:row r="1102">
      <x:c r="A1102" t="str">
        <x:v>NFL</x:v>
      </x:c>
      <x:c r="B1102" t="n">
        <x:v>14</x:v>
      </x:c>
      <x:c r="C1102" s="68" t="n">
        <x:v>46369.75</x:v>
      </x:c>
      <x:c r="D1102" s="71" t="str">
        <x:v>pre</x:v>
      </x:c>
      <x:c r="E1102" s="72" t="b">
        <x:v>0</x:v>
      </x:c>
      <x:c r="F1102" t="str">
        <x:v>Denver Broncos</x:v>
      </x:c>
      <x:c r="G1102" t="str">
        <x:v>DEN</x:v>
      </x:c>
      <x:c r="H1102" s="69" t="n">
        <x:v>0</x:v>
      </x:c>
      <x:c r="I1102" t="str">
        <x:v>1-1</x:v>
      </x:c>
      <x:c r="J1102" t="str">
        <x:f>IF(E1102&lt;&gt;TRUE,"",IF(H1102&gt;M1102,"W",IF(H1102&lt;M1102,"L","T")))</x:f>
      </x:c>
      <x:c r="K1102" t="str">
        <x:v>New York Jets</x:v>
      </x:c>
      <x:c r="L1102" t="str">
        <x:v>NYJ</x:v>
      </x:c>
      <x:c r="M1102" s="69" t="n">
        <x:v>0</x:v>
      </x:c>
      <x:c r="N1102" t="str">
        <x:v>1-1</x:v>
      </x:c>
      <x:c r="O1102" t="str">
        <x:f>IF(E1102&lt;&gt;TRUE,"",IF(M1102&gt;H1102,"W",IF(M1102&lt;H1102,"L","T")))</x:f>
      </x:c>
      <x:c r="P1102" s="66" t="b">
        <x:v>0</x:v>
      </x:c>
      <x:c r="Q1102" s="66" t="b">
        <x:v>0</x:v>
      </x:c>
      <x:c r="R1102" t="str">
        <x:v>MetLife Stadium</x:v>
      </x:c>
      <x:c r="S1102" t="str">
        <x:v>CBS</x:v>
      </x:c>
      <x:c r="T1102" t="str">
        <x:v>DEN -5.5</x:v>
      </x:c>
      <x:c r="U1102" s="70" t="n">
        <x:v>5.5</x:v>
      </x:c>
      <x:c r="V1102" s="70" t="n">
        <x:v>39.5</x:v>
      </x:c>
      <x:c r="W1102" t="str">
        <x:v>DraftKings</x:v>
      </x:c>
      <x:c r="X1102" t="str">
        <x:v>https://www.espn.com/nfl/game/_/gameId/401873112</x:v>
      </x:c>
    </x:row>
    <x:row r="1103">
      <x:c r="A1103" t="str">
        <x:v>NFL</x:v>
      </x:c>
      <x:c r="B1103" t="n">
        <x:v>14</x:v>
      </x:c>
      <x:c r="C1103" s="68" t="n">
        <x:v>46369.75</x:v>
      </x:c>
      <x:c r="D1103" s="71" t="str">
        <x:v>pre</x:v>
      </x:c>
      <x:c r="E1103" s="72" t="b">
        <x:v>0</x:v>
      </x:c>
      <x:c r="F1103" t="str">
        <x:v>Houston Texans</x:v>
      </x:c>
      <x:c r="G1103" t="str">
        <x:v>HOU</x:v>
      </x:c>
      <x:c r="H1103" s="69" t="n">
        <x:v>0</x:v>
      </x:c>
      <x:c r="I1103" t="str">
        <x:v>0-2</x:v>
      </x:c>
      <x:c r="J1103" t="str">
        <x:f>IF(E1103&lt;&gt;TRUE,"",IF(H1103&gt;M1103,"W",IF(H1103&lt;M1103,"L","T")))</x:f>
      </x:c>
      <x:c r="K1103" t="str">
        <x:v>Washington Commanders</x:v>
      </x:c>
      <x:c r="L1103" t="str">
        <x:v>WSH</x:v>
      </x:c>
      <x:c r="M1103" s="69" t="n">
        <x:v>0</x:v>
      </x:c>
      <x:c r="N1103" t="str">
        <x:v>0-2</x:v>
      </x:c>
      <x:c r="O1103" t="str">
        <x:f>IF(E1103&lt;&gt;TRUE,"",IF(M1103&gt;H1103,"W",IF(M1103&lt;H1103,"L","T")))</x:f>
      </x:c>
      <x:c r="P1103" s="66" t="b">
        <x:v>0</x:v>
      </x:c>
      <x:c r="Q1103" s="66" t="b">
        <x:v>0</x:v>
      </x:c>
      <x:c r="R1103" t="str">
        <x:v>Northwest Stadium</x:v>
      </x:c>
      <x:c r="S1103" t="str">
        <x:v>CBS</x:v>
      </x:c>
      <x:c r="T1103" t="str">
        <x:v>HOU -1.5</x:v>
      </x:c>
      <x:c r="U1103" s="70" t="n">
        <x:v>1.5</x:v>
      </x:c>
      <x:c r="V1103" s="70" t="n">
        <x:v>44.5</x:v>
      </x:c>
      <x:c r="W1103" t="str">
        <x:v>DraftKings</x:v>
      </x:c>
      <x:c r="X1103" t="str">
        <x:v>https://www.espn.com/nfl/game/_/gameId/401873113</x:v>
      </x:c>
    </x:row>
    <x:row r="1104">
      <x:c r="A1104" t="str">
        <x:v>NFL</x:v>
      </x:c>
      <x:c r="B1104" t="n">
        <x:v>14</x:v>
      </x:c>
      <x:c r="C1104" s="68" t="n">
        <x:v>46369.75</x:v>
      </x:c>
      <x:c r="D1104" s="71" t="str">
        <x:v>pre</x:v>
      </x:c>
      <x:c r="E1104" s="72" t="b">
        <x:v>0</x:v>
      </x:c>
      <x:c r="F1104" t="str">
        <x:v>Indianapolis Colts</x:v>
      </x:c>
      <x:c r="G1104" t="str">
        <x:v>IND</x:v>
      </x:c>
      <x:c r="H1104" s="69" t="n">
        <x:v>0</x:v>
      </x:c>
      <x:c r="I1104" t="str">
        <x:v>0-2</x:v>
      </x:c>
      <x:c r="J1104" t="str">
        <x:f>IF(E1104&lt;&gt;TRUE,"",IF(H1104&gt;M1104,"W",IF(H1104&lt;M1104,"L","T")))</x:f>
      </x:c>
      <x:c r="K1104" t="str">
        <x:v>Philadelphia Eagles</x:v>
      </x:c>
      <x:c r="L1104" t="str">
        <x:v>PHI</x:v>
      </x:c>
      <x:c r="M1104" s="69" t="n">
        <x:v>0</x:v>
      </x:c>
      <x:c r="N1104" t="str">
        <x:v>2-0</x:v>
      </x:c>
      <x:c r="O1104" t="str">
        <x:f>IF(E1104&lt;&gt;TRUE,"",IF(M1104&gt;H1104,"W",IF(M1104&lt;H1104,"L","T")))</x:f>
      </x:c>
      <x:c r="P1104" s="66" t="b">
        <x:v>0</x:v>
      </x:c>
      <x:c r="Q1104" s="66" t="b">
        <x:v>0</x:v>
      </x:c>
      <x:c r="R1104" t="str">
        <x:v>Lincoln Financial Field</x:v>
      </x:c>
      <x:c r="S1104" t="str">
        <x:v>FOX</x:v>
      </x:c>
      <x:c r="T1104" t="str">
        <x:v>PHI -5.5</x:v>
      </x:c>
      <x:c r="U1104" s="70" t="n">
        <x:v>-5.5</x:v>
      </x:c>
      <x:c r="V1104" s="70" t="n">
        <x:v>46.5</x:v>
      </x:c>
      <x:c r="W1104" t="str">
        <x:v>DraftKings</x:v>
      </x:c>
      <x:c r="X1104" t="str">
        <x:v>https://www.espn.com/nfl/game/_/gameId/401873114</x:v>
      </x:c>
    </x:row>
    <x:row r="1105">
      <x:c r="A1105" t="str">
        <x:v>NFL</x:v>
      </x:c>
      <x:c r="B1105" t="n">
        <x:v>14</x:v>
      </x:c>
      <x:c r="C1105" s="68" t="n">
        <x:v>46369.75</x:v>
      </x:c>
      <x:c r="D1105" s="71" t="str">
        <x:v>pre</x:v>
      </x:c>
      <x:c r="E1105" s="72" t="b">
        <x:v>0</x:v>
      </x:c>
      <x:c r="F1105" t="str">
        <x:v>New Orleans Saints</x:v>
      </x:c>
      <x:c r="G1105" t="str">
        <x:v>NO</x:v>
      </x:c>
      <x:c r="H1105" s="69" t="n">
        <x:v>0</x:v>
      </x:c>
      <x:c r="I1105" t="str">
        <x:v>1-1</x:v>
      </x:c>
      <x:c r="J1105" t="str">
        <x:f>IF(E1105&lt;&gt;TRUE,"",IF(H1105&gt;M1105,"W",IF(H1105&lt;M1105,"L","T")))</x:f>
      </x:c>
      <x:c r="K1105" t="str">
        <x:v>Carolina Panthers</x:v>
      </x:c>
      <x:c r="L1105" t="str">
        <x:v>CAR</x:v>
      </x:c>
      <x:c r="M1105" s="69" t="n">
        <x:v>0</x:v>
      </x:c>
      <x:c r="N1105" t="str">
        <x:v>1-1</x:v>
      </x:c>
      <x:c r="O1105" t="str">
        <x:f>IF(E1105&lt;&gt;TRUE,"",IF(M1105&gt;H1105,"W",IF(M1105&lt;H1105,"L","T")))</x:f>
      </x:c>
      <x:c r="P1105" s="66" t="b">
        <x:v>0</x:v>
      </x:c>
      <x:c r="Q1105" s="66" t="b">
        <x:v>0</x:v>
      </x:c>
      <x:c r="R1105" t="str">
        <x:v>Bank of America Stadium</x:v>
      </x:c>
      <x:c r="S1105" t="str">
        <x:v>CBS</x:v>
      </x:c>
      <x:c r="T1105" t="str">
        <x:v>CAR -2.5</x:v>
      </x:c>
      <x:c r="U1105" s="70" t="n">
        <x:v>-2.5</x:v>
      </x:c>
      <x:c r="V1105" s="70" t="n">
        <x:v>43.5</x:v>
      </x:c>
      <x:c r="W1105" t="str">
        <x:v>DraftKings</x:v>
      </x:c>
      <x:c r="X1105" t="str">
        <x:v>https://www.espn.com/nfl/game/_/gameId/401873115</x:v>
      </x:c>
    </x:row>
    <x:row r="1106">
      <x:c r="A1106" t="str">
        <x:v>NFL</x:v>
      </x:c>
      <x:c r="B1106" t="n">
        <x:v>14</x:v>
      </x:c>
      <x:c r="C1106" s="68" t="n">
        <x:v>46369.75</x:v>
      </x:c>
      <x:c r="D1106" s="71" t="str">
        <x:v>pre</x:v>
      </x:c>
      <x:c r="E1106" s="72" t="b">
        <x:v>0</x:v>
      </x:c>
      <x:c r="F1106" t="str">
        <x:v>Tampa Bay Buccaneers</x:v>
      </x:c>
      <x:c r="G1106" t="str">
        <x:v>TB</x:v>
      </x:c>
      <x:c r="H1106" s="69" t="n">
        <x:v>0</x:v>
      </x:c>
      <x:c r="I1106" t="str">
        <x:v>0-2</x:v>
      </x:c>
      <x:c r="J1106" t="str">
        <x:f>IF(E1106&lt;&gt;TRUE,"",IF(H1106&gt;M1106,"W",IF(H1106&lt;M1106,"L","T")))</x:f>
      </x:c>
      <x:c r="K1106" t="str">
        <x:v>Baltimore Ravens</x:v>
      </x:c>
      <x:c r="L1106" t="str">
        <x:v>BAL</x:v>
      </x:c>
      <x:c r="M1106" s="69" t="n">
        <x:v>0</x:v>
      </x:c>
      <x:c r="N1106" t="str">
        <x:v>1-1</x:v>
      </x:c>
      <x:c r="O1106" t="str">
        <x:f>IF(E1106&lt;&gt;TRUE,"",IF(M1106&gt;H1106,"W",IF(M1106&lt;H1106,"L","T")))</x:f>
      </x:c>
      <x:c r="P1106" s="66" t="b">
        <x:v>0</x:v>
      </x:c>
      <x:c r="Q1106" s="66" t="b">
        <x:v>0</x:v>
      </x:c>
      <x:c r="R1106" t="str">
        <x:v>M&amp;T Bank Stadium</x:v>
      </x:c>
      <x:c r="S1106" t="str">
        <x:v>FOX</x:v>
      </x:c>
      <x:c r="T1106" t="str">
        <x:v>BAL -6</x:v>
      </x:c>
      <x:c r="U1106" s="70" t="n">
        <x:v>-6</x:v>
      </x:c>
      <x:c r="V1106" s="70" t="n">
        <x:v>48.5</x:v>
      </x:c>
      <x:c r="W1106" t="str">
        <x:v>DraftKings</x:v>
      </x:c>
      <x:c r="X1106" t="str">
        <x:v>https://www.espn.com/nfl/game/_/gameId/401873116</x:v>
      </x:c>
    </x:row>
    <x:row r="1107">
      <x:c r="A1107" t="str">
        <x:v>NFL</x:v>
      </x:c>
      <x:c r="B1107" t="n">
        <x:v>14</x:v>
      </x:c>
      <x:c r="C1107" s="68" t="n">
        <x:v>46369.75</x:v>
      </x:c>
      <x:c r="D1107" s="71" t="str">
        <x:v>pre</x:v>
      </x:c>
      <x:c r="E1107" s="72" t="b">
        <x:v>0</x:v>
      </x:c>
      <x:c r="F1107" t="str">
        <x:v>Tennessee Titans</x:v>
      </x:c>
      <x:c r="G1107" t="str">
        <x:v>TEN</x:v>
      </x:c>
      <x:c r="H1107" s="69" t="n">
        <x:v>0</x:v>
      </x:c>
      <x:c r="I1107" t="str">
        <x:v>0-2</x:v>
      </x:c>
      <x:c r="J1107" t="str">
        <x:f>IF(E1107&lt;&gt;TRUE,"",IF(H1107&gt;M1107,"W",IF(H1107&lt;M1107,"L","T")))</x:f>
      </x:c>
      <x:c r="K1107" t="str">
        <x:v>Detroit Lions</x:v>
      </x:c>
      <x:c r="L1107" t="str">
        <x:v>DET</x:v>
      </x:c>
      <x:c r="M1107" s="69" t="n">
        <x:v>0</x:v>
      </x:c>
      <x:c r="N1107" t="str">
        <x:v>1-1</x:v>
      </x:c>
      <x:c r="O1107" t="str">
        <x:f>IF(E1107&lt;&gt;TRUE,"",IF(M1107&gt;H1107,"W",IF(M1107&lt;H1107,"L","T")))</x:f>
      </x:c>
      <x:c r="P1107" s="66" t="b">
        <x:v>0</x:v>
      </x:c>
      <x:c r="Q1107" s="66" t="b">
        <x:v>0</x:v>
      </x:c>
      <x:c r="R1107" t="str">
        <x:v>Ford Field</x:v>
      </x:c>
      <x:c r="S1107" t="str">
        <x:v>FOX</x:v>
      </x:c>
      <x:c r="T1107" t="str">
        <x:v>DET -7.5</x:v>
      </x:c>
      <x:c r="U1107" s="70" t="n">
        <x:v>-7.5</x:v>
      </x:c>
      <x:c r="V1107" s="70" t="n">
        <x:v>47.5</x:v>
      </x:c>
      <x:c r="W1107" t="str">
        <x:v>DraftKings</x:v>
      </x:c>
      <x:c r="X1107" t="str">
        <x:v>https://www.espn.com/nfl/game/_/gameId/401873117</x:v>
      </x:c>
    </x:row>
    <x:row r="1108">
      <x:c r="A1108" t="str">
        <x:v>NFL</x:v>
      </x:c>
      <x:c r="B1108" t="n">
        <x:v>14</x:v>
      </x:c>
      <x:c r="C1108" s="68" t="n">
        <x:v>46369.87847222222</x:v>
      </x:c>
      <x:c r="D1108" s="71" t="str">
        <x:v>pre</x:v>
      </x:c>
      <x:c r="E1108" s="72" t="b">
        <x:v>0</x:v>
      </x:c>
      <x:c r="F1108" t="str">
        <x:v>Los Angeles Chargers</x:v>
      </x:c>
      <x:c r="G1108" t="str">
        <x:v>LAC</x:v>
      </x:c>
      <x:c r="H1108" s="69" t="n">
        <x:v>0</x:v>
      </x:c>
      <x:c r="I1108" t="str">
        <x:v>0-2</x:v>
      </x:c>
      <x:c r="J1108" t="str">
        <x:f>IF(E1108&lt;&gt;TRUE,"",IF(H1108&gt;M1108,"W",IF(H1108&lt;M1108,"L","T")))</x:f>
      </x:c>
      <x:c r="K1108" t="str">
        <x:v>Las Vegas Raiders</x:v>
      </x:c>
      <x:c r="L1108" t="str">
        <x:v>LV</x:v>
      </x:c>
      <x:c r="M1108" s="69" t="n">
        <x:v>0</x:v>
      </x:c>
      <x:c r="N1108" t="str">
        <x:v>2-0</x:v>
      </x:c>
      <x:c r="O1108" t="str">
        <x:f>IF(E1108&lt;&gt;TRUE,"",IF(M1108&gt;H1108,"W",IF(M1108&lt;H1108,"L","T")))</x:f>
      </x:c>
      <x:c r="P1108" s="66" t="b">
        <x:v>0</x:v>
      </x:c>
      <x:c r="Q1108" s="66" t="b">
        <x:v>0</x:v>
      </x:c>
      <x:c r="R1108" t="str">
        <x:v>Allegiant Stadium</x:v>
      </x:c>
      <x:c r="S1108" t="str">
        <x:v>CBS</x:v>
      </x:c>
      <x:c r="T1108" t="str">
        <x:v>LAC -5.5</x:v>
      </x:c>
      <x:c r="U1108" s="70" t="n">
        <x:v>5.5</x:v>
      </x:c>
      <x:c r="V1108" s="70" t="n">
        <x:v>43.5</x:v>
      </x:c>
      <x:c r="W1108" t="str">
        <x:v>DraftKings</x:v>
      </x:c>
      <x:c r="X1108" t="str">
        <x:v>https://www.espn.com/nfl/game/_/gameId/401873118</x:v>
      </x:c>
    </x:row>
    <x:row r="1109">
      <x:c r="A1109" t="str">
        <x:v>NFL</x:v>
      </x:c>
      <x:c r="B1109" t="n">
        <x:v>14</x:v>
      </x:c>
      <x:c r="C1109" s="68" t="n">
        <x:v>46369.89236111111</x:v>
      </x:c>
      <x:c r="D1109" s="71" t="str">
        <x:v>pre</x:v>
      </x:c>
      <x:c r="E1109" s="72" t="b">
        <x:v>0</x:v>
      </x:c>
      <x:c r="F1109" t="str">
        <x:v>Kansas City Chiefs</x:v>
      </x:c>
      <x:c r="G1109" t="str">
        <x:v>KC</x:v>
      </x:c>
      <x:c r="H1109" s="69" t="n">
        <x:v>0</x:v>
      </x:c>
      <x:c r="I1109" t="str">
        <x:v>2-0</x:v>
      </x:c>
      <x:c r="J1109" t="str">
        <x:f>IF(E1109&lt;&gt;TRUE,"",IF(H1109&gt;M1109,"W",IF(H1109&lt;M1109,"L","T")))</x:f>
      </x:c>
      <x:c r="K1109" t="str">
        <x:v>Cincinnati Bengals</x:v>
      </x:c>
      <x:c r="L1109" t="str">
        <x:v>CIN</x:v>
      </x:c>
      <x:c r="M1109" s="69" t="n">
        <x:v>0</x:v>
      </x:c>
      <x:c r="N1109" t="str">
        <x:v>2-0</x:v>
      </x:c>
      <x:c r="O1109" t="str">
        <x:f>IF(E1109&lt;&gt;TRUE,"",IF(M1109&gt;H1109,"W",IF(M1109&lt;H1109,"L","T")))</x:f>
      </x:c>
      <x:c r="P1109" s="66" t="b">
        <x:v>0</x:v>
      </x:c>
      <x:c r="Q1109" s="66" t="b">
        <x:v>0</x:v>
      </x:c>
      <x:c r="R1109" t="str">
        <x:v>Paycor Stadium</x:v>
      </x:c>
      <x:c r="S1109" t="str">
        <x:v>FOX</x:v>
      </x:c>
      <x:c r="T1109" t="str">
        <x:v>CIN -1.5</x:v>
      </x:c>
      <x:c r="U1109" s="70" t="n">
        <x:v>-1.5</x:v>
      </x:c>
      <x:c r="V1109" s="70" t="n">
        <x:v>48.5</x:v>
      </x:c>
      <x:c r="W1109" t="str">
        <x:v>DraftKings</x:v>
      </x:c>
      <x:c r="X1109" t="str">
        <x:v>https://www.espn.com/nfl/game/_/gameId/401873119</x:v>
      </x:c>
    </x:row>
    <x:row r="1110">
      <x:c r="A1110" t="str">
        <x:v>NFL</x:v>
      </x:c>
      <x:c r="B1110" t="n">
        <x:v>14</x:v>
      </x:c>
      <x:c r="C1110" s="68" t="n">
        <x:v>46369.89236111111</x:v>
      </x:c>
      <x:c r="D1110" s="71" t="str">
        <x:v>pre</x:v>
      </x:c>
      <x:c r="E1110" s="72" t="b">
        <x:v>0</x:v>
      </x:c>
      <x:c r="F1110" t="str">
        <x:v>Los Angeles Rams</x:v>
      </x:c>
      <x:c r="G1110" t="str">
        <x:v>LAR</x:v>
      </x:c>
      <x:c r="H1110" s="69" t="n">
        <x:v>0</x:v>
      </x:c>
      <x:c r="I1110" t="str">
        <x:v>0-1</x:v>
      </x:c>
      <x:c r="J1110" t="str">
        <x:f>IF(E1110&lt;&gt;TRUE,"",IF(H1110&gt;M1110,"W",IF(H1110&lt;M1110,"L","T")))</x:f>
      </x:c>
      <x:c r="K1110" t="str">
        <x:v>San Francisco 49ers</x:v>
      </x:c>
      <x:c r="L1110" t="str">
        <x:v>SF</x:v>
      </x:c>
      <x:c r="M1110" s="69" t="n">
        <x:v>0</x:v>
      </x:c>
      <x:c r="N1110" t="str">
        <x:v>2-0</x:v>
      </x:c>
      <x:c r="O1110" t="str">
        <x:f>IF(E1110&lt;&gt;TRUE,"",IF(M1110&gt;H1110,"W",IF(M1110&lt;H1110,"L","T")))</x:f>
      </x:c>
      <x:c r="P1110" s="66" t="b">
        <x:v>0</x:v>
      </x:c>
      <x:c r="Q1110" s="66" t="b">
        <x:v>0</x:v>
      </x:c>
      <x:c r="R1110" t="str">
        <x:v>Levi's Stadium</x:v>
      </x:c>
      <x:c r="S1110" t="str">
        <x:v>FOX</x:v>
      </x:c>
      <x:c r="T1110" t="str">
        <x:v>LAR -1.5</x:v>
      </x:c>
      <x:c r="U1110" s="70" t="n">
        <x:v>1.5</x:v>
      </x:c>
      <x:c r="V1110" s="70" t="n">
        <x:v>49.5</x:v>
      </x:c>
      <x:c r="W1110" t="str">
        <x:v>DraftKings</x:v>
      </x:c>
      <x:c r="X1110" t="str">
        <x:v>https://www.espn.com/nfl/game/_/gameId/401873120</x:v>
      </x:c>
    </x:row>
    <x:row r="1111">
      <x:c r="A1111" t="str">
        <x:v>NFL</x:v>
      </x:c>
      <x:c r="B1111" t="n">
        <x:v>14</x:v>
      </x:c>
      <x:c r="C1111" s="68" t="n">
        <x:v>46369.89236111111</x:v>
      </x:c>
      <x:c r="D1111" s="71" t="str">
        <x:v>pre</x:v>
      </x:c>
      <x:c r="E1111" s="72" t="b">
        <x:v>0</x:v>
      </x:c>
      <x:c r="F1111" t="str">
        <x:v>New York Giants</x:v>
      </x:c>
      <x:c r="G1111" t="str">
        <x:v>NYG</x:v>
      </x:c>
      <x:c r="H1111" s="69" t="n">
        <x:v>0</x:v>
      </x:c>
      <x:c r="I1111" t="str">
        <x:v>1-0</x:v>
      </x:c>
      <x:c r="J1111" t="str">
        <x:f>IF(E1111&lt;&gt;TRUE,"",IF(H1111&gt;M1111,"W",IF(H1111&lt;M1111,"L","T")))</x:f>
      </x:c>
      <x:c r="K1111" t="str">
        <x:v>Seattle Seahawks</x:v>
      </x:c>
      <x:c r="L1111" t="str">
        <x:v>SEA</x:v>
      </x:c>
      <x:c r="M1111" s="69" t="n">
        <x:v>0</x:v>
      </x:c>
      <x:c r="N1111" t="str">
        <x:v>2-0</x:v>
      </x:c>
      <x:c r="O1111" t="str">
        <x:f>IF(E1111&lt;&gt;TRUE,"",IF(M1111&gt;H1111,"W",IF(M1111&lt;H1111,"L","T")))</x:f>
      </x:c>
      <x:c r="P1111" s="66" t="b">
        <x:v>0</x:v>
      </x:c>
      <x:c r="Q1111" s="66" t="b">
        <x:v>0</x:v>
      </x:c>
      <x:c r="R1111" t="str">
        <x:v>Lumen Field</x:v>
      </x:c>
      <x:c r="S1111" t="str">
        <x:v>FOX</x:v>
      </x:c>
      <x:c r="T1111" t="str">
        <x:v>SEA -7.5</x:v>
      </x:c>
      <x:c r="U1111" s="70" t="n">
        <x:v>-7.5</x:v>
      </x:c>
      <x:c r="V1111" s="70" t="n">
        <x:v>45.5</x:v>
      </x:c>
      <x:c r="W1111" t="str">
        <x:v>DraftKings</x:v>
      </x:c>
      <x:c r="X1111" t="str">
        <x:v>https://www.espn.com/nfl/game/_/gameId/401873121</x:v>
      </x:c>
    </x:row>
    <x:row r="1112">
      <x:c r="A1112" t="str">
        <x:v>NFL</x:v>
      </x:c>
      <x:c r="B1112" t="n">
        <x:v>14</x:v>
      </x:c>
      <x:c r="C1112" s="68" t="n">
        <x:v>46370.055555555555</x:v>
      </x:c>
      <x:c r="D1112" s="71" t="str">
        <x:v>pre</x:v>
      </x:c>
      <x:c r="E1112" s="72" t="b">
        <x:v>0</x:v>
      </x:c>
      <x:c r="F1112" t="str">
        <x:v>Buffalo Bills</x:v>
      </x:c>
      <x:c r="G1112" t="str">
        <x:v>BUF</x:v>
      </x:c>
      <x:c r="H1112" s="69" t="n">
        <x:v>0</x:v>
      </x:c>
      <x:c r="I1112" t="str">
        <x:v>2-0</x:v>
      </x:c>
      <x:c r="J1112" t="str">
        <x:f>IF(E1112&lt;&gt;TRUE,"",IF(H1112&gt;M1112,"W",IF(H1112&lt;M1112,"L","T")))</x:f>
      </x:c>
      <x:c r="K1112" t="str">
        <x:v>Green Bay Packers</x:v>
      </x:c>
      <x:c r="L1112" t="str">
        <x:v>GB</x:v>
      </x:c>
      <x:c r="M1112" s="69" t="n">
        <x:v>0</x:v>
      </x:c>
      <x:c r="N1112" t="str">
        <x:v>1-1</x:v>
      </x:c>
      <x:c r="O1112" t="str">
        <x:f>IF(E1112&lt;&gt;TRUE,"",IF(M1112&gt;H1112,"W",IF(M1112&lt;H1112,"L","T")))</x:f>
      </x:c>
      <x:c r="P1112" s="66" t="b">
        <x:v>0</x:v>
      </x:c>
      <x:c r="Q1112" s="66" t="b">
        <x:v>0</x:v>
      </x:c>
      <x:c r="R1112" t="str">
        <x:v>Lambeau Field</x:v>
      </x:c>
      <x:c r="S1112" t="str">
        <x:v>NBC</x:v>
      </x:c>
      <x:c r="T1112" t="str">
        <x:v>GB -1.5</x:v>
      </x:c>
      <x:c r="U1112" s="70" t="n">
        <x:v>-1.5</x:v>
      </x:c>
      <x:c r="V1112" s="70" t="n">
        <x:v>49.5</x:v>
      </x:c>
      <x:c r="W1112" t="str">
        <x:v>DraftKings</x:v>
      </x:c>
      <x:c r="X1112" t="str">
        <x:v>https://www.espn.com/nfl/game/_/gameId/401873122</x:v>
      </x:c>
    </x:row>
    <x:row r="1113">
      <x:c r="A1113" t="str">
        <x:v>NFL</x:v>
      </x:c>
      <x:c r="B1113" t="n">
        <x:v>14</x:v>
      </x:c>
      <x:c r="C1113" s="68" t="n">
        <x:v>46371.052083333336</x:v>
      </x:c>
      <x:c r="D1113" s="71" t="str">
        <x:v>pre</x:v>
      </x:c>
      <x:c r="E1113" s="72" t="b">
        <x:v>0</x:v>
      </x:c>
      <x:c r="F1113" t="str">
        <x:v>Pittsburgh Steelers</x:v>
      </x:c>
      <x:c r="G1113" t="str">
        <x:v>PIT</x:v>
      </x:c>
      <x:c r="H1113" s="69" t="n">
        <x:v>0</x:v>
      </x:c>
      <x:c r="I1113" t="str">
        <x:v>1-1</x:v>
      </x:c>
      <x:c r="J1113" t="str">
        <x:f>IF(E1113&lt;&gt;TRUE,"",IF(H1113&gt;M1113,"W",IF(H1113&lt;M1113,"L","T")))</x:f>
      </x:c>
      <x:c r="K1113" t="str">
        <x:v>Jacksonville Jaguars</x:v>
      </x:c>
      <x:c r="L1113" t="str">
        <x:v>JAX</x:v>
      </x:c>
      <x:c r="M1113" s="69" t="n">
        <x:v>0</x:v>
      </x:c>
      <x:c r="N1113" t="str">
        <x:v>1-1</x:v>
      </x:c>
      <x:c r="O1113" t="str">
        <x:f>IF(E1113&lt;&gt;TRUE,"",IF(M1113&gt;H1113,"W",IF(M1113&lt;H1113,"L","T")))</x:f>
      </x:c>
      <x:c r="P1113" s="66" t="b">
        <x:v>0</x:v>
      </x:c>
      <x:c r="Q1113" s="66" t="b">
        <x:v>0</x:v>
      </x:c>
      <x:c r="R1113" t="str">
        <x:v>EverBank Stadium</x:v>
      </x:c>
      <x:c r="S1113" t="str">
        <x:v>ESPN</x:v>
      </x:c>
      <x:c r="T1113" t="str">
        <x:v>JAX -3</x:v>
      </x:c>
      <x:c r="U1113" s="70" t="n">
        <x:v>-3</x:v>
      </x:c>
      <x:c r="V1113" s="70" t="n">
        <x:v>44.5</x:v>
      </x:c>
      <x:c r="W1113" t="str">
        <x:v>DraftKings</x:v>
      </x:c>
      <x:c r="X1113" t="str">
        <x:v>https://www.espn.com/nfl/game/_/gameId/401873123</x:v>
      </x:c>
    </x:row>
    <x:row r="1114">
      <x:c r="A1114" t="str">
        <x:v>NFL</x:v>
      </x:c>
      <x:c r="B1114" t="n">
        <x:v>15</x:v>
      </x:c>
      <x:c r="C1114" s="68" t="n">
        <x:v>46374.052083333336</x:v>
      </x:c>
      <x:c r="D1114" s="71" t="str">
        <x:v>pre</x:v>
      </x:c>
      <x:c r="E1114" s="72" t="b">
        <x:v>0</x:v>
      </x:c>
      <x:c r="F1114" t="str">
        <x:v>San Francisco 49ers</x:v>
      </x:c>
      <x:c r="G1114" t="str">
        <x:v>SF</x:v>
      </x:c>
      <x:c r="H1114" s="69" t="n">
        <x:v>0</x:v>
      </x:c>
      <x:c r="I1114" t="str">
        <x:v>2-0</x:v>
      </x:c>
      <x:c r="J1114" t="str">
        <x:f>IF(E1114&lt;&gt;TRUE,"",IF(H1114&gt;M1114,"W",IF(H1114&lt;M1114,"L","T")))</x:f>
      </x:c>
      <x:c r="K1114" t="str">
        <x:v>Los Angeles Chargers</x:v>
      </x:c>
      <x:c r="L1114" t="str">
        <x:v>LAC</x:v>
      </x:c>
      <x:c r="M1114" s="69" t="n">
        <x:v>0</x:v>
      </x:c>
      <x:c r="N1114" t="str">
        <x:v>0-2</x:v>
      </x:c>
      <x:c r="O1114" t="str">
        <x:f>IF(E1114&lt;&gt;TRUE,"",IF(M1114&gt;H1114,"W",IF(M1114&lt;H1114,"L","T")))</x:f>
      </x:c>
      <x:c r="P1114" s="66" t="b">
        <x:v>0</x:v>
      </x:c>
      <x:c r="Q1114" s="66" t="b">
        <x:v>0</x:v>
      </x:c>
      <x:c r="R1114" t="str">
        <x:v>SoFi Stadium</x:v>
      </x:c>
      <x:c r="S1114" t="str">
        <x:v>Prime Video</x:v>
      </x:c>
      <x:c r="T1114" t="str">
        <x:v>LAC -2.5</x:v>
      </x:c>
      <x:c r="U1114" s="70" t="n">
        <x:v>-2.5</x:v>
      </x:c>
      <x:c r="V1114" s="70" t="n">
        <x:v>47.5</x:v>
      </x:c>
      <x:c r="W1114" t="str">
        <x:v>DraftKings</x:v>
      </x:c>
      <x:c r="X1114" t="str">
        <x:v>https://www.espn.com/nfl/game/_/gameId/401873124</x:v>
      </x:c>
    </x:row>
    <x:row r="1115">
      <x:c r="A1115" t="str">
        <x:v>NFL</x:v>
      </x:c>
      <x:c r="B1115" t="n">
        <x:v>15</x:v>
      </x:c>
      <x:c r="C1115" s="68" t="n">
        <x:v>46375.916666666664</x:v>
      </x:c>
      <x:c r="D1115" s="71" t="str">
        <x:v>pre</x:v>
      </x:c>
      <x:c r="E1115" s="72" t="b">
        <x:v>0</x:v>
      </x:c>
      <x:c r="F1115" t="str">
        <x:v>Seattle Seahawks</x:v>
      </x:c>
      <x:c r="G1115" t="str">
        <x:v>SEA</x:v>
      </x:c>
      <x:c r="H1115" s="69" t="n">
        <x:v>0</x:v>
      </x:c>
      <x:c r="I1115" t="str">
        <x:v>2-0</x:v>
      </x:c>
      <x:c r="J1115" t="str">
        <x:f>IF(E1115&lt;&gt;TRUE,"",IF(H1115&gt;M1115,"W",IF(H1115&lt;M1115,"L","T")))</x:f>
      </x:c>
      <x:c r="K1115" t="str">
        <x:v>Philadelphia Eagles</x:v>
      </x:c>
      <x:c r="L1115" t="str">
        <x:v>PHI</x:v>
      </x:c>
      <x:c r="M1115" s="69" t="n">
        <x:v>0</x:v>
      </x:c>
      <x:c r="N1115" t="str">
        <x:v>2-0</x:v>
      </x:c>
      <x:c r="O1115" t="str">
        <x:f>IF(E1115&lt;&gt;TRUE,"",IF(M1115&gt;H1115,"W",IF(M1115&lt;H1115,"L","T")))</x:f>
      </x:c>
      <x:c r="P1115" s="66" t="b">
        <x:v>0</x:v>
      </x:c>
      <x:c r="Q1115" s="66" t="b">
        <x:v>0</x:v>
      </x:c>
      <x:c r="R1115" t="str">
        <x:v>Lincoln Financial Field</x:v>
      </x:c>
      <x:c r="S1115" t="str">
        <x:v>FOX</x:v>
      </x:c>
      <x:c r="T1115" t="str">
        <x:v>PHI -1.5</x:v>
      </x:c>
      <x:c r="U1115" s="70" t="n">
        <x:v>-1.5</x:v>
      </x:c>
      <x:c r="V1115" s="70" t="n">
        <x:v>43.5</x:v>
      </x:c>
      <x:c r="W1115" t="str">
        <x:v>DraftKings</x:v>
      </x:c>
      <x:c r="X1115" t="str">
        <x:v>https://www.espn.com/nfl/game/_/gameId/401873125</x:v>
      </x:c>
    </x:row>
    <x:row r="1116">
      <x:c r="A1116" t="str">
        <x:v>NFL</x:v>
      </x:c>
      <x:c r="B1116" t="n">
        <x:v>15</x:v>
      </x:c>
      <x:c r="C1116" s="68" t="n">
        <x:v>46376.055555555555</x:v>
      </x:c>
      <x:c r="D1116" s="71" t="str">
        <x:v>pre</x:v>
      </x:c>
      <x:c r="E1116" s="72" t="b">
        <x:v>0</x:v>
      </x:c>
      <x:c r="F1116" t="str">
        <x:v>Chicago Bears</x:v>
      </x:c>
      <x:c r="G1116" t="str">
        <x:v>CHI</x:v>
      </x:c>
      <x:c r="H1116" s="69" t="n">
        <x:v>0</x:v>
      </x:c>
      <x:c r="I1116" t="str">
        <x:v>1-1</x:v>
      </x:c>
      <x:c r="J1116" t="str">
        <x:f>IF(E1116&lt;&gt;TRUE,"",IF(H1116&gt;M1116,"W",IF(H1116&lt;M1116,"L","T")))</x:f>
      </x:c>
      <x:c r="K1116" t="str">
        <x:v>Buffalo Bills</x:v>
      </x:c>
      <x:c r="L1116" t="str">
        <x:v>BUF</x:v>
      </x:c>
      <x:c r="M1116" s="69" t="n">
        <x:v>0</x:v>
      </x:c>
      <x:c r="N1116" t="str">
        <x:v>2-0</x:v>
      </x:c>
      <x:c r="O1116" t="str">
        <x:f>IF(E1116&lt;&gt;TRUE,"",IF(M1116&gt;H1116,"W",IF(M1116&lt;H1116,"L","T")))</x:f>
      </x:c>
      <x:c r="P1116" s="66" t="b">
        <x:v>0</x:v>
      </x:c>
      <x:c r="Q1116" s="66" t="b">
        <x:v>0</x:v>
      </x:c>
      <x:c r="R1116" t="str">
        <x:v>Highmark Stadium</x:v>
      </x:c>
      <x:c r="S1116" t="str">
        <x:v>CBS</x:v>
      </x:c>
      <x:c r="T1116" t="str">
        <x:v>BUF -3.5</x:v>
      </x:c>
      <x:c r="U1116" s="70" t="n">
        <x:v>-3.5</x:v>
      </x:c>
      <x:c r="V1116" s="70" t="n">
        <x:v>51.5</x:v>
      </x:c>
      <x:c r="W1116" t="str">
        <x:v>DraftKings</x:v>
      </x:c>
      <x:c r="X1116" t="str">
        <x:v>https://www.espn.com/nfl/game/_/gameId/401873126</x:v>
      </x:c>
    </x:row>
    <x:row r="1117">
      <x:c r="A1117" t="str">
        <x:v>NFL</x:v>
      </x:c>
      <x:c r="B1117" t="n">
        <x:v>15</x:v>
      </x:c>
      <x:c r="C1117" s="68" t="n">
        <x:v>46376.75</x:v>
      </x:c>
      <x:c r="D1117" s="71" t="str">
        <x:v>pre</x:v>
      </x:c>
      <x:c r="E1117" s="72" t="b">
        <x:v>0</x:v>
      </x:c>
      <x:c r="F1117" t="str">
        <x:v>Atlanta Falcons</x:v>
      </x:c>
      <x:c r="G1117" t="str">
        <x:v>ATL</x:v>
      </x:c>
      <x:c r="H1117" s="69" t="n">
        <x:v>0</x:v>
      </x:c>
      <x:c r="I1117" t="str">
        <x:v>0-2</x:v>
      </x:c>
      <x:c r="J1117" t="str">
        <x:f>IF(E1117&lt;&gt;TRUE,"",IF(H1117&gt;M1117,"W",IF(H1117&lt;M1117,"L","T")))</x:f>
      </x:c>
      <x:c r="K1117" t="str">
        <x:v>Washington Commanders</x:v>
      </x:c>
      <x:c r="L1117" t="str">
        <x:v>WSH</x:v>
      </x:c>
      <x:c r="M1117" s="69" t="n">
        <x:v>0</x:v>
      </x:c>
      <x:c r="N1117" t="str">
        <x:v>0-2</x:v>
      </x:c>
      <x:c r="O1117" t="str">
        <x:f>IF(E1117&lt;&gt;TRUE,"",IF(M1117&gt;H1117,"W",IF(M1117&lt;H1117,"L","T")))</x:f>
      </x:c>
      <x:c r="P1117" s="66" t="b">
        <x:v>0</x:v>
      </x:c>
      <x:c r="Q1117" s="66" t="b">
        <x:v>0</x:v>
      </x:c>
      <x:c r="R1117" t="str">
        <x:v>Northwest Stadium</x:v>
      </x:c>
      <x:c r="S1117" t="str">
        <x:v>FOX</x:v>
      </x:c>
      <x:c r="T1117" t="str">
        <x:v>WSH -3.5</x:v>
      </x:c>
      <x:c r="U1117" s="70" t="n">
        <x:v>-3.5</x:v>
      </x:c>
      <x:c r="V1117" s="70" t="n">
        <x:v>46.5</x:v>
      </x:c>
      <x:c r="W1117" t="str">
        <x:v>DraftKings</x:v>
      </x:c>
      <x:c r="X1117" t="str">
        <x:v>https://www.espn.com/nfl/game/_/gameId/401873127</x:v>
      </x:c>
    </x:row>
    <x:row r="1118">
      <x:c r="A1118" t="str">
        <x:v>NFL</x:v>
      </x:c>
      <x:c r="B1118" t="n">
        <x:v>15</x:v>
      </x:c>
      <x:c r="C1118" s="68" t="n">
        <x:v>46376.75</x:v>
      </x:c>
      <x:c r="D1118" s="71" t="str">
        <x:v>pre</x:v>
      </x:c>
      <x:c r="E1118" s="72" t="b">
        <x:v>0</x:v>
      </x:c>
      <x:c r="F1118" t="str">
        <x:v>Baltimore Ravens</x:v>
      </x:c>
      <x:c r="G1118" t="str">
        <x:v>BAL</x:v>
      </x:c>
      <x:c r="H1118" s="69" t="n">
        <x:v>0</x:v>
      </x:c>
      <x:c r="I1118" t="str">
        <x:v>1-1</x:v>
      </x:c>
      <x:c r="J1118" t="str">
        <x:f>IF(E1118&lt;&gt;TRUE,"",IF(H1118&gt;M1118,"W",IF(H1118&lt;M1118,"L","T")))</x:f>
      </x:c>
      <x:c r="K1118" t="str">
        <x:v>Pittsburgh Steelers</x:v>
      </x:c>
      <x:c r="L1118" t="str">
        <x:v>PIT</x:v>
      </x:c>
      <x:c r="M1118" s="69" t="n">
        <x:v>0</x:v>
      </x:c>
      <x:c r="N1118" t="str">
        <x:v>1-1</x:v>
      </x:c>
      <x:c r="O1118" t="str">
        <x:f>IF(E1118&lt;&gt;TRUE,"",IF(M1118&gt;H1118,"W",IF(M1118&lt;H1118,"L","T")))</x:f>
      </x:c>
      <x:c r="P1118" s="66" t="b">
        <x:v>0</x:v>
      </x:c>
      <x:c r="Q1118" s="66" t="b">
        <x:v>0</x:v>
      </x:c>
      <x:c r="R1118" t="str">
        <x:v>Acrisure Stadium</x:v>
      </x:c>
      <x:c r="S1118" t="str">
        <x:v>CBS</x:v>
      </x:c>
      <x:c r="T1118" t="str">
        <x:v>BAL -2.5</x:v>
      </x:c>
      <x:c r="U1118" s="70" t="n">
        <x:v>2.5</x:v>
      </x:c>
      <x:c r="V1118" s="70" t="n">
        <x:v>46.5</x:v>
      </x:c>
      <x:c r="W1118" t="str">
        <x:v>DraftKings</x:v>
      </x:c>
      <x:c r="X1118" t="str">
        <x:v>https://www.espn.com/nfl/game/_/gameId/401873128</x:v>
      </x:c>
    </x:row>
    <x:row r="1119">
      <x:c r="A1119" t="str">
        <x:v>NFL</x:v>
      </x:c>
      <x:c r="B1119" t="n">
        <x:v>15</x:v>
      </x:c>
      <x:c r="C1119" s="68" t="n">
        <x:v>46376.75</x:v>
      </x:c>
      <x:c r="D1119" s="71" t="str">
        <x:v>pre</x:v>
      </x:c>
      <x:c r="E1119" s="72" t="b">
        <x:v>0</x:v>
      </x:c>
      <x:c r="F1119" t="str">
        <x:v>Cincinnati Bengals</x:v>
      </x:c>
      <x:c r="G1119" t="str">
        <x:v>CIN</x:v>
      </x:c>
      <x:c r="H1119" s="69" t="n">
        <x:v>0</x:v>
      </x:c>
      <x:c r="I1119" t="str">
        <x:v>2-0</x:v>
      </x:c>
      <x:c r="J1119" t="str">
        <x:f>IF(E1119&lt;&gt;TRUE,"",IF(H1119&gt;M1119,"W",IF(H1119&lt;M1119,"L","T")))</x:f>
      </x:c>
      <x:c r="K1119" t="str">
        <x:v>Carolina Panthers</x:v>
      </x:c>
      <x:c r="L1119" t="str">
        <x:v>CAR</x:v>
      </x:c>
      <x:c r="M1119" s="69" t="n">
        <x:v>0</x:v>
      </x:c>
      <x:c r="N1119" t="str">
        <x:v>1-1</x:v>
      </x:c>
      <x:c r="O1119" t="str">
        <x:f>IF(E1119&lt;&gt;TRUE,"",IF(M1119&gt;H1119,"W",IF(M1119&lt;H1119,"L","T")))</x:f>
      </x:c>
      <x:c r="P1119" s="66" t="b">
        <x:v>0</x:v>
      </x:c>
      <x:c r="Q1119" s="66" t="b">
        <x:v>0</x:v>
      </x:c>
      <x:c r="R1119" t="str">
        <x:v>Bank of America Stadium</x:v>
      </x:c>
      <x:c r="S1119" t="str">
        <x:v>FOX</x:v>
      </x:c>
      <x:c r="T1119" t="str">
        <x:v>CIN -2.5</x:v>
      </x:c>
      <x:c r="U1119" s="70" t="n">
        <x:v>2.5</x:v>
      </x:c>
      <x:c r="V1119" s="70" t="n">
        <x:v>47.5</x:v>
      </x:c>
      <x:c r="W1119" t="str">
        <x:v>DraftKings</x:v>
      </x:c>
      <x:c r="X1119" t="str">
        <x:v>https://www.espn.com/nfl/game/_/gameId/401873129</x:v>
      </x:c>
    </x:row>
    <x:row r="1120">
      <x:c r="A1120" t="str">
        <x:v>NFL</x:v>
      </x:c>
      <x:c r="B1120" t="n">
        <x:v>15</x:v>
      </x:c>
      <x:c r="C1120" s="68" t="n">
        <x:v>46376.75</x:v>
      </x:c>
      <x:c r="D1120" s="71" t="str">
        <x:v>pre</x:v>
      </x:c>
      <x:c r="E1120" s="72" t="b">
        <x:v>0</x:v>
      </x:c>
      <x:c r="F1120" t="str">
        <x:v>Cleveland Browns</x:v>
      </x:c>
      <x:c r="G1120" t="str">
        <x:v>CLE</x:v>
      </x:c>
      <x:c r="H1120" s="69" t="n">
        <x:v>0</x:v>
      </x:c>
      <x:c r="I1120" t="str">
        <x:v>1-1</x:v>
      </x:c>
      <x:c r="J1120" t="str">
        <x:f>IF(E1120&lt;&gt;TRUE,"",IF(H1120&gt;M1120,"W",IF(H1120&lt;M1120,"L","T")))</x:f>
      </x:c>
      <x:c r="K1120" t="str">
        <x:v>New York Giants</x:v>
      </x:c>
      <x:c r="L1120" t="str">
        <x:v>NYG</x:v>
      </x:c>
      <x:c r="M1120" s="69" t="n">
        <x:v>0</x:v>
      </x:c>
      <x:c r="N1120" t="str">
        <x:v>1-0</x:v>
      </x:c>
      <x:c r="O1120" t="str">
        <x:f>IF(E1120&lt;&gt;TRUE,"",IF(M1120&gt;H1120,"W",IF(M1120&lt;H1120,"L","T")))</x:f>
      </x:c>
      <x:c r="P1120" s="66" t="b">
        <x:v>0</x:v>
      </x:c>
      <x:c r="Q1120" s="66" t="b">
        <x:v>0</x:v>
      </x:c>
      <x:c r="R1120" t="str">
        <x:v>MetLife Stadium</x:v>
      </x:c>
      <x:c r="S1120" t="str">
        <x:v>CBS</x:v>
      </x:c>
      <x:c r="T1120" t="str">
        <x:v>NYG -4.5</x:v>
      </x:c>
      <x:c r="U1120" s="70" t="n">
        <x:v>-4.5</x:v>
      </x:c>
      <x:c r="V1120" s="70" t="n">
        <x:v>40.5</x:v>
      </x:c>
      <x:c r="W1120" t="str">
        <x:v>DraftKings</x:v>
      </x:c>
      <x:c r="X1120" t="str">
        <x:v>https://www.espn.com/nfl/game/_/gameId/401873130</x:v>
      </x:c>
    </x:row>
    <x:row r="1121">
      <x:c r="A1121" t="str">
        <x:v>NFL</x:v>
      </x:c>
      <x:c r="B1121" t="n">
        <x:v>15</x:v>
      </x:c>
      <x:c r="C1121" s="68" t="n">
        <x:v>46376.75</x:v>
      </x:c>
      <x:c r="D1121" s="71" t="str">
        <x:v>pre</x:v>
      </x:c>
      <x:c r="E1121" s="72" t="b">
        <x:v>0</x:v>
      </x:c>
      <x:c r="F1121" t="str">
        <x:v>Indianapolis Colts</x:v>
      </x:c>
      <x:c r="G1121" t="str">
        <x:v>IND</x:v>
      </x:c>
      <x:c r="H1121" s="69" t="n">
        <x:v>0</x:v>
      </x:c>
      <x:c r="I1121" t="str">
        <x:v>0-2</x:v>
      </x:c>
      <x:c r="J1121" t="str">
        <x:f>IF(E1121&lt;&gt;TRUE,"",IF(H1121&gt;M1121,"W",IF(H1121&lt;M1121,"L","T")))</x:f>
      </x:c>
      <x:c r="K1121" t="str">
        <x:v>Tennessee Titans</x:v>
      </x:c>
      <x:c r="L1121" t="str">
        <x:v>TEN</x:v>
      </x:c>
      <x:c r="M1121" s="69" t="n">
        <x:v>0</x:v>
      </x:c>
      <x:c r="N1121" t="str">
        <x:v>0-2</x:v>
      </x:c>
      <x:c r="O1121" t="str">
        <x:f>IF(E1121&lt;&gt;TRUE,"",IF(M1121&gt;H1121,"W",IF(M1121&lt;H1121,"L","T")))</x:f>
      </x:c>
      <x:c r="P1121" s="66" t="b">
        <x:v>0</x:v>
      </x:c>
      <x:c r="Q1121" s="66" t="b">
        <x:v>0</x:v>
      </x:c>
      <x:c r="R1121" t="str">
        <x:v>Nissan Stadium</x:v>
      </x:c>
      <x:c r="S1121" t="str">
        <x:v>CBS</x:v>
      </x:c>
      <x:c r="T1121" t="str">
        <x:v>IND -1.5</x:v>
      </x:c>
      <x:c r="U1121" s="70" t="n">
        <x:v>1.5</x:v>
      </x:c>
      <x:c r="V1121" s="70" t="n">
        <x:v>47.5</x:v>
      </x:c>
      <x:c r="W1121" t="str">
        <x:v>DraftKings</x:v>
      </x:c>
      <x:c r="X1121" t="str">
        <x:v>https://www.espn.com/nfl/game/_/gameId/401873131</x:v>
      </x:c>
    </x:row>
    <x:row r="1122">
      <x:c r="A1122" t="str">
        <x:v>NFL</x:v>
      </x:c>
      <x:c r="B1122" t="n">
        <x:v>15</x:v>
      </x:c>
      <x:c r="C1122" s="68" t="n">
        <x:v>46376.75</x:v>
      </x:c>
      <x:c r="D1122" s="71" t="str">
        <x:v>pre</x:v>
      </x:c>
      <x:c r="E1122" s="72" t="b">
        <x:v>0</x:v>
      </x:c>
      <x:c r="F1122" t="str">
        <x:v>Jacksonville Jaguars</x:v>
      </x:c>
      <x:c r="G1122" t="str">
        <x:v>JAX</x:v>
      </x:c>
      <x:c r="H1122" s="69" t="n">
        <x:v>0</x:v>
      </x:c>
      <x:c r="I1122" t="str">
        <x:v>1-1</x:v>
      </x:c>
      <x:c r="J1122" t="str">
        <x:f>IF(E1122&lt;&gt;TRUE,"",IF(H1122&gt;M1122,"W",IF(H1122&lt;M1122,"L","T")))</x:f>
      </x:c>
      <x:c r="K1122" t="str">
        <x:v>Houston Texans</x:v>
      </x:c>
      <x:c r="L1122" t="str">
        <x:v>HOU</x:v>
      </x:c>
      <x:c r="M1122" s="69" t="n">
        <x:v>0</x:v>
      </x:c>
      <x:c r="N1122" t="str">
        <x:v>0-2</x:v>
      </x:c>
      <x:c r="O1122" t="str">
        <x:f>IF(E1122&lt;&gt;TRUE,"",IF(M1122&gt;H1122,"W",IF(M1122&lt;H1122,"L","T")))</x:f>
      </x:c>
      <x:c r="P1122" s="66" t="b">
        <x:v>0</x:v>
      </x:c>
      <x:c r="Q1122" s="66" t="b">
        <x:v>0</x:v>
      </x:c>
      <x:c r="R1122" t="str">
        <x:v>Reliant Stadium</x:v>
      </x:c>
      <x:c r="S1122" t="str">
        <x:v>CBS</x:v>
      </x:c>
      <x:c r="T1122" t="str">
        <x:v>HOU -3</x:v>
      </x:c>
      <x:c r="U1122" s="70" t="n">
        <x:v>-3</x:v>
      </x:c>
      <x:c r="V1122" s="70" t="n">
        <x:v>43.5</x:v>
      </x:c>
      <x:c r="W1122" t="str">
        <x:v>DraftKings</x:v>
      </x:c>
      <x:c r="X1122" t="str">
        <x:v>https://www.espn.com/nfl/game/_/gameId/401873132</x:v>
      </x:c>
    </x:row>
    <x:row r="1123">
      <x:c r="A1123" t="str">
        <x:v>NFL</x:v>
      </x:c>
      <x:c r="B1123" t="n">
        <x:v>15</x:v>
      </x:c>
      <x:c r="C1123" s="68" t="n">
        <x:v>46376.75</x:v>
      </x:c>
      <x:c r="D1123" s="71" t="str">
        <x:v>pre</x:v>
      </x:c>
      <x:c r="E1123" s="72" t="b">
        <x:v>0</x:v>
      </x:c>
      <x:c r="F1123" t="str">
        <x:v>Miami Dolphins</x:v>
      </x:c>
      <x:c r="G1123" t="str">
        <x:v>MIA</x:v>
      </x:c>
      <x:c r="H1123" s="69" t="n">
        <x:v>0</x:v>
      </x:c>
      <x:c r="I1123" t="str">
        <x:v>0-2</x:v>
      </x:c>
      <x:c r="J1123" t="str">
        <x:f>IF(E1123&lt;&gt;TRUE,"",IF(H1123&gt;M1123,"W",IF(H1123&lt;M1123,"L","T")))</x:f>
      </x:c>
      <x:c r="K1123" t="str">
        <x:v>Green Bay Packers</x:v>
      </x:c>
      <x:c r="L1123" t="str">
        <x:v>GB</x:v>
      </x:c>
      <x:c r="M1123" s="69" t="n">
        <x:v>0</x:v>
      </x:c>
      <x:c r="N1123" t="str">
        <x:v>1-1</x:v>
      </x:c>
      <x:c r="O1123" t="str">
        <x:f>IF(E1123&lt;&gt;TRUE,"",IF(M1123&gt;H1123,"W",IF(M1123&lt;H1123,"L","T")))</x:f>
      </x:c>
      <x:c r="P1123" s="66" t="b">
        <x:v>0</x:v>
      </x:c>
      <x:c r="Q1123" s="66" t="b">
        <x:v>0</x:v>
      </x:c>
      <x:c r="R1123" t="str">
        <x:v>Lambeau Field</x:v>
      </x:c>
      <x:c r="S1123" t="str">
        <x:v>FOX</x:v>
      </x:c>
      <x:c r="T1123" t="str">
        <x:v>GB -10.5</x:v>
      </x:c>
      <x:c r="U1123" s="70" t="n">
        <x:v>-10.5</x:v>
      </x:c>
      <x:c r="V1123" s="70" t="n">
        <x:v>45.5</x:v>
      </x:c>
      <x:c r="W1123" t="str">
        <x:v>DraftKings</x:v>
      </x:c>
      <x:c r="X1123" t="str">
        <x:v>https://www.espn.com/nfl/game/_/gameId/401873133</x:v>
      </x:c>
    </x:row>
    <x:row r="1124">
      <x:c r="A1124" t="str">
        <x:v>NFL</x:v>
      </x:c>
      <x:c r="B1124" t="n">
        <x:v>15</x:v>
      </x:c>
      <x:c r="C1124" s="68" t="n">
        <x:v>46376.75</x:v>
      </x:c>
      <x:c r="D1124" s="71" t="str">
        <x:v>pre</x:v>
      </x:c>
      <x:c r="E1124" s="72" t="b">
        <x:v>0</x:v>
      </x:c>
      <x:c r="F1124" t="str">
        <x:v>New Orleans Saints</x:v>
      </x:c>
      <x:c r="G1124" t="str">
        <x:v>NO</x:v>
      </x:c>
      <x:c r="H1124" s="69" t="n">
        <x:v>0</x:v>
      </x:c>
      <x:c r="I1124" t="str">
        <x:v>1-1</x:v>
      </x:c>
      <x:c r="J1124" t="str">
        <x:f>IF(E1124&lt;&gt;TRUE,"",IF(H1124&gt;M1124,"W",IF(H1124&lt;M1124,"L","T")))</x:f>
      </x:c>
      <x:c r="K1124" t="str">
        <x:v>Tampa Bay Buccaneers</x:v>
      </x:c>
      <x:c r="L1124" t="str">
        <x:v>TB</x:v>
      </x:c>
      <x:c r="M1124" s="69" t="n">
        <x:v>0</x:v>
      </x:c>
      <x:c r="N1124" t="str">
        <x:v>0-2</x:v>
      </x:c>
      <x:c r="O1124" t="str">
        <x:f>IF(E1124&lt;&gt;TRUE,"",IF(M1124&gt;H1124,"W",IF(M1124&lt;H1124,"L","T")))</x:f>
      </x:c>
      <x:c r="P1124" s="66" t="b">
        <x:v>0</x:v>
      </x:c>
      <x:c r="Q1124" s="66" t="b">
        <x:v>0</x:v>
      </x:c>
      <x:c r="R1124" t="str">
        <x:v>Raymond James Stadium</x:v>
      </x:c>
      <x:c r="S1124" t="str">
        <x:v>FOX</x:v>
      </x:c>
      <x:c r="T1124" t="str">
        <x:v>TB -3.5</x:v>
      </x:c>
      <x:c r="U1124" s="70" t="n">
        <x:v>-3.5</x:v>
      </x:c>
      <x:c r="V1124" s="70" t="n">
        <x:v>45.5</x:v>
      </x:c>
      <x:c r="W1124" t="str">
        <x:v>DraftKings</x:v>
      </x:c>
      <x:c r="X1124" t="str">
        <x:v>https://www.espn.com/nfl/game/_/gameId/401873134</x:v>
      </x:c>
    </x:row>
    <x:row r="1125">
      <x:c r="A1125" t="str">
        <x:v>NFL</x:v>
      </x:c>
      <x:c r="B1125" t="n">
        <x:v>15</x:v>
      </x:c>
      <x:c r="C1125" s="68" t="n">
        <x:v>46376.87847222222</x:v>
      </x:c>
      <x:c r="D1125" s="71" t="str">
        <x:v>pre</x:v>
      </x:c>
      <x:c r="E1125" s="72" t="b">
        <x:v>0</x:v>
      </x:c>
      <x:c r="F1125" t="str">
        <x:v>New York Jets</x:v>
      </x:c>
      <x:c r="G1125" t="str">
        <x:v>NYJ</x:v>
      </x:c>
      <x:c r="H1125" s="69" t="n">
        <x:v>0</x:v>
      </x:c>
      <x:c r="I1125" t="str">
        <x:v>1-1</x:v>
      </x:c>
      <x:c r="J1125" t="str">
        <x:f>IF(E1125&lt;&gt;TRUE,"",IF(H1125&gt;M1125,"W",IF(H1125&lt;M1125,"L","T")))</x:f>
      </x:c>
      <x:c r="K1125" t="str">
        <x:v>Arizona Cardinals</x:v>
      </x:c>
      <x:c r="L1125" t="str">
        <x:v>ARI</x:v>
      </x:c>
      <x:c r="M1125" s="69" t="n">
        <x:v>0</x:v>
      </x:c>
      <x:c r="N1125" t="str">
        <x:v>1-1</x:v>
      </x:c>
      <x:c r="O1125" t="str">
        <x:f>IF(E1125&lt;&gt;TRUE,"",IF(M1125&gt;H1125,"W",IF(M1125&lt;H1125,"L","T")))</x:f>
      </x:c>
      <x:c r="P1125" s="66" t="b">
        <x:v>0</x:v>
      </x:c>
      <x:c r="Q1125" s="66" t="b">
        <x:v>0</x:v>
      </x:c>
      <x:c r="R1125" t="str">
        <x:v>State Farm Stadium</x:v>
      </x:c>
      <x:c r="S1125" t="str">
        <x:v>FOX</x:v>
      </x:c>
      <x:c r="T1125" t="str">
        <x:v>ARI -1.5</x:v>
      </x:c>
      <x:c r="U1125" s="70" t="n">
        <x:v>-1.5</x:v>
      </x:c>
      <x:c r="V1125" s="70" t="n">
        <x:v>41.5</x:v>
      </x:c>
      <x:c r="W1125" t="str">
        <x:v>DraftKings</x:v>
      </x:c>
      <x:c r="X1125" t="str">
        <x:v>https://www.espn.com/nfl/game/_/gameId/401873135</x:v>
      </x:c>
    </x:row>
    <x:row r="1126">
      <x:c r="A1126" t="str">
        <x:v>NFL</x:v>
      </x:c>
      <x:c r="B1126" t="n">
        <x:v>15</x:v>
      </x:c>
      <x:c r="C1126" s="68" t="n">
        <x:v>46376.89236111111</x:v>
      </x:c>
      <x:c r="D1126" s="71" t="str">
        <x:v>pre</x:v>
      </x:c>
      <x:c r="E1126" s="72" t="b">
        <x:v>0</x:v>
      </x:c>
      <x:c r="F1126" t="str">
        <x:v>Dallas Cowboys</x:v>
      </x:c>
      <x:c r="G1126" t="str">
        <x:v>DAL</x:v>
      </x:c>
      <x:c r="H1126" s="69" t="n">
        <x:v>0</x:v>
      </x:c>
      <x:c r="I1126" t="str">
        <x:v>1-1</x:v>
      </x:c>
      <x:c r="J1126" t="str">
        <x:f>IF(E1126&lt;&gt;TRUE,"",IF(H1126&gt;M1126,"W",IF(H1126&lt;M1126,"L","T")))</x:f>
      </x:c>
      <x:c r="K1126" t="str">
        <x:v>Los Angeles Rams</x:v>
      </x:c>
      <x:c r="L1126" t="str">
        <x:v>LAR</x:v>
      </x:c>
      <x:c r="M1126" s="69" t="n">
        <x:v>0</x:v>
      </x:c>
      <x:c r="N1126" t="str">
        <x:v>0-1</x:v>
      </x:c>
      <x:c r="O1126" t="str">
        <x:f>IF(E1126&lt;&gt;TRUE,"",IF(M1126&gt;H1126,"W",IF(M1126&lt;H1126,"L","T")))</x:f>
      </x:c>
      <x:c r="P1126" s="66" t="b">
        <x:v>0</x:v>
      </x:c>
      <x:c r="Q1126" s="66" t="b">
        <x:v>0</x:v>
      </x:c>
      <x:c r="R1126" t="str">
        <x:v>SoFi Stadium</x:v>
      </x:c>
      <x:c r="S1126" t="str">
        <x:v>CBS</x:v>
      </x:c>
      <x:c r="T1126" t="str">
        <x:v>LAR -6</x:v>
      </x:c>
      <x:c r="U1126" s="70" t="n">
        <x:v>-6</x:v>
      </x:c>
      <x:c r="V1126" s="70" t="n">
        <x:v>52.5</x:v>
      </x:c>
      <x:c r="W1126" t="str">
        <x:v>DraftKings</x:v>
      </x:c>
      <x:c r="X1126" t="str">
        <x:v>https://www.espn.com/nfl/game/_/gameId/401873136</x:v>
      </x:c>
    </x:row>
    <x:row r="1127">
      <x:c r="A1127" t="str">
        <x:v>NFL</x:v>
      </x:c>
      <x:c r="B1127" t="n">
        <x:v>15</x:v>
      </x:c>
      <x:c r="C1127" s="68" t="n">
        <x:v>46376.89236111111</x:v>
      </x:c>
      <x:c r="D1127" s="71" t="str">
        <x:v>pre</x:v>
      </x:c>
      <x:c r="E1127" s="72" t="b">
        <x:v>0</x:v>
      </x:c>
      <x:c r="F1127" t="str">
        <x:v>Denver Broncos</x:v>
      </x:c>
      <x:c r="G1127" t="str">
        <x:v>DEN</x:v>
      </x:c>
      <x:c r="H1127" s="69" t="n">
        <x:v>0</x:v>
      </x:c>
      <x:c r="I1127" t="str">
        <x:v>1-1</x:v>
      </x:c>
      <x:c r="J1127" t="str">
        <x:f>IF(E1127&lt;&gt;TRUE,"",IF(H1127&gt;M1127,"W",IF(H1127&lt;M1127,"L","T")))</x:f>
      </x:c>
      <x:c r="K1127" t="str">
        <x:v>Las Vegas Raiders</x:v>
      </x:c>
      <x:c r="L1127" t="str">
        <x:v>LV</x:v>
      </x:c>
      <x:c r="M1127" s="69" t="n">
        <x:v>0</x:v>
      </x:c>
      <x:c r="N1127" t="str">
        <x:v>2-0</x:v>
      </x:c>
      <x:c r="O1127" t="str">
        <x:f>IF(E1127&lt;&gt;TRUE,"",IF(M1127&gt;H1127,"W",IF(M1127&lt;H1127,"L","T")))</x:f>
      </x:c>
      <x:c r="P1127" s="66" t="b">
        <x:v>0</x:v>
      </x:c>
      <x:c r="Q1127" s="66" t="b">
        <x:v>0</x:v>
      </x:c>
      <x:c r="R1127" t="str">
        <x:v>Allegiant Stadium</x:v>
      </x:c>
      <x:c r="S1127" t="str">
        <x:v>CBS</x:v>
      </x:c>
      <x:c r="T1127" t="str">
        <x:v>DEN -4.5</x:v>
      </x:c>
      <x:c r="U1127" s="70" t="n">
        <x:v>4.5</x:v>
      </x:c>
      <x:c r="V1127" s="70" t="n">
        <x:v>41.5</x:v>
      </x:c>
      <x:c r="W1127" t="str">
        <x:v>DraftKings</x:v>
      </x:c>
      <x:c r="X1127" t="str">
        <x:v>https://www.espn.com/nfl/game/_/gameId/401873137</x:v>
      </x:c>
    </x:row>
    <x:row r="1128">
      <x:c r="A1128" t="str">
        <x:v>NFL</x:v>
      </x:c>
      <x:c r="B1128" t="n">
        <x:v>15</x:v>
      </x:c>
      <x:c r="C1128" s="68" t="n">
        <x:v>46377.055555555555</x:v>
      </x:c>
      <x:c r="D1128" s="71" t="str">
        <x:v>pre</x:v>
      </x:c>
      <x:c r="E1128" s="72" t="b">
        <x:v>0</x:v>
      </x:c>
      <x:c r="F1128" t="str">
        <x:v>Detroit Lions</x:v>
      </x:c>
      <x:c r="G1128" t="str">
        <x:v>DET</x:v>
      </x:c>
      <x:c r="H1128" s="69" t="n">
        <x:v>0</x:v>
      </x:c>
      <x:c r="I1128" t="str">
        <x:v>1-1</x:v>
      </x:c>
      <x:c r="J1128" t="str">
        <x:f>IF(E1128&lt;&gt;TRUE,"",IF(H1128&gt;M1128,"W",IF(H1128&lt;M1128,"L","T")))</x:f>
      </x:c>
      <x:c r="K1128" t="str">
        <x:v>Minnesota Vikings</x:v>
      </x:c>
      <x:c r="L1128" t="str">
        <x:v>MIN</x:v>
      </x:c>
      <x:c r="M1128" s="69" t="n">
        <x:v>0</x:v>
      </x:c>
      <x:c r="N1128" t="str">
        <x:v>2-0</x:v>
      </x:c>
      <x:c r="O1128" t="str">
        <x:f>IF(E1128&lt;&gt;TRUE,"",IF(M1128&gt;H1128,"W",IF(M1128&lt;H1128,"L","T")))</x:f>
      </x:c>
      <x:c r="P1128" s="66" t="b">
        <x:v>0</x:v>
      </x:c>
      <x:c r="Q1128" s="66" t="b">
        <x:v>0</x:v>
      </x:c>
      <x:c r="R1128" t="str">
        <x:v>U.S. Bank Stadium</x:v>
      </x:c>
      <x:c r="S1128" t="str">
        <x:v>NBC</x:v>
      </x:c>
      <x:c r="T1128" t="str">
        <x:v>DET -1.5</x:v>
      </x:c>
      <x:c r="U1128" s="70" t="n">
        <x:v>1.5</x:v>
      </x:c>
      <x:c r="V1128" s="70" t="n">
        <x:v>46.5</x:v>
      </x:c>
      <x:c r="W1128" t="str">
        <x:v>DraftKings</x:v>
      </x:c>
      <x:c r="X1128" t="str">
        <x:v>https://www.espn.com/nfl/game/_/gameId/401873138</x:v>
      </x:c>
    </x:row>
    <x:row r="1129">
      <x:c r="A1129" t="str">
        <x:v>NFL</x:v>
      </x:c>
      <x:c r="B1129" t="n">
        <x:v>15</x:v>
      </x:c>
      <x:c r="C1129" s="68" t="n">
        <x:v>46378.052083333336</x:v>
      </x:c>
      <x:c r="D1129" s="71" t="str">
        <x:v>pre</x:v>
      </x:c>
      <x:c r="E1129" s="72" t="b">
        <x:v>0</x:v>
      </x:c>
      <x:c r="F1129" t="str">
        <x:v>New England Patriots</x:v>
      </x:c>
      <x:c r="G1129" t="str">
        <x:v>NE</x:v>
      </x:c>
      <x:c r="H1129" s="69" t="n">
        <x:v>0</x:v>
      </x:c>
      <x:c r="I1129" t="str">
        <x:v>1-1</x:v>
      </x:c>
      <x:c r="J1129" t="str">
        <x:f>IF(E1129&lt;&gt;TRUE,"",IF(H1129&gt;M1129,"W",IF(H1129&lt;M1129,"L","T")))</x:f>
      </x:c>
      <x:c r="K1129" t="str">
        <x:v>Kansas City Chiefs</x:v>
      </x:c>
      <x:c r="L1129" t="str">
        <x:v>KC</x:v>
      </x:c>
      <x:c r="M1129" s="69" t="n">
        <x:v>0</x:v>
      </x:c>
      <x:c r="N1129" t="str">
        <x:v>2-0</x:v>
      </x:c>
      <x:c r="O1129" t="str">
        <x:f>IF(E1129&lt;&gt;TRUE,"",IF(M1129&gt;H1129,"W",IF(M1129&lt;H1129,"L","T")))</x:f>
      </x:c>
      <x:c r="P1129" s="66" t="b">
        <x:v>0</x:v>
      </x:c>
      <x:c r="Q1129" s="66" t="b">
        <x:v>0</x:v>
      </x:c>
      <x:c r="R1129" t="str">
        <x:v>Arrowhead Stadium</x:v>
      </x:c>
      <x:c r="S1129" t="str">
        <x:v>ESPN / ABC</x:v>
      </x:c>
      <x:c r="T1129" t="str">
        <x:v>KC -2.5</x:v>
      </x:c>
      <x:c r="U1129" s="70" t="n">
        <x:v>-2.5</x:v>
      </x:c>
      <x:c r="V1129" s="70" t="n">
        <x:v>45.5</x:v>
      </x:c>
      <x:c r="W1129" t="str">
        <x:v>DraftKings</x:v>
      </x:c>
      <x:c r="X1129" t="str">
        <x:v>https://www.espn.com/nfl/game/_/gameId/401873139</x:v>
      </x:c>
    </x:row>
    <x:row r="1130">
      <x:c r="A1130" t="str">
        <x:v>NFL</x:v>
      </x:c>
      <x:c r="B1130" t="n">
        <x:v>16</x:v>
      </x:c>
      <x:c r="C1130" s="68" t="n">
        <x:v>46381.052083333336</x:v>
      </x:c>
      <x:c r="D1130" s="71" t="str">
        <x:v>pre</x:v>
      </x:c>
      <x:c r="E1130" s="72" t="b">
        <x:v>0</x:v>
      </x:c>
      <x:c r="F1130" t="str">
        <x:v>Houston Texans</x:v>
      </x:c>
      <x:c r="G1130" t="str">
        <x:v>HOU</x:v>
      </x:c>
      <x:c r="H1130" s="69" t="n">
        <x:v>0</x:v>
      </x:c>
      <x:c r="I1130" t="str">
        <x:v>0-2</x:v>
      </x:c>
      <x:c r="J1130" t="str">
        <x:f>IF(E1130&lt;&gt;TRUE,"",IF(H1130&gt;M1130,"W",IF(H1130&lt;M1130,"L","T")))</x:f>
      </x:c>
      <x:c r="K1130" t="str">
        <x:v>Philadelphia Eagles</x:v>
      </x:c>
      <x:c r="L1130" t="str">
        <x:v>PHI</x:v>
      </x:c>
      <x:c r="M1130" s="69" t="n">
        <x:v>0</x:v>
      </x:c>
      <x:c r="N1130" t="str">
        <x:v>2-0</x:v>
      </x:c>
      <x:c r="O1130" t="str">
        <x:f>IF(E1130&lt;&gt;TRUE,"",IF(M1130&gt;H1130,"W",IF(M1130&lt;H1130,"L","T")))</x:f>
      </x:c>
      <x:c r="P1130" s="66" t="b">
        <x:v>0</x:v>
      </x:c>
      <x:c r="Q1130" s="66" t="b">
        <x:v>0</x:v>
      </x:c>
      <x:c r="R1130" t="str">
        <x:v>Lincoln Financial Field</x:v>
      </x:c>
      <x:c r="S1130" t="str">
        <x:v>Prime Video</x:v>
      </x:c>
      <x:c r="T1130" t="str">
        <x:v>PHI -2.5</x:v>
      </x:c>
      <x:c r="U1130" s="70" t="n">
        <x:v>-2.5</x:v>
      </x:c>
      <x:c r="V1130" s="70" t="n">
        <x:v>37.5</x:v>
      </x:c>
      <x:c r="W1130" t="str">
        <x:v>DraftKings</x:v>
      </x:c>
      <x:c r="X1130" t="str">
        <x:v>https://www.espn.com/nfl/game/_/gameId/401873140</x:v>
      </x:c>
    </x:row>
    <x:row r="1131">
      <x:c r="A1131" t="str">
        <x:v>NFL</x:v>
      </x:c>
      <x:c r="B1131" t="n">
        <x:v>16</x:v>
      </x:c>
      <x:c r="C1131" s="68" t="n">
        <x:v>46381.75</x:v>
      </x:c>
      <x:c r="D1131" s="71" t="str">
        <x:v>pre</x:v>
      </x:c>
      <x:c r="E1131" s="72" t="b">
        <x:v>0</x:v>
      </x:c>
      <x:c r="F1131" t="str">
        <x:v>Green Bay Packers</x:v>
      </x:c>
      <x:c r="G1131" t="str">
        <x:v>GB</x:v>
      </x:c>
      <x:c r="H1131" s="69" t="n">
        <x:v>0</x:v>
      </x:c>
      <x:c r="I1131" t="str">
        <x:v>1-1</x:v>
      </x:c>
      <x:c r="J1131" t="str">
        <x:f>IF(E1131&lt;&gt;TRUE,"",IF(H1131&gt;M1131,"W",IF(H1131&lt;M1131,"L","T")))</x:f>
      </x:c>
      <x:c r="K1131" t="str">
        <x:v>Chicago Bears</x:v>
      </x:c>
      <x:c r="L1131" t="str">
        <x:v>CHI</x:v>
      </x:c>
      <x:c r="M1131" s="69" t="n">
        <x:v>0</x:v>
      </x:c>
      <x:c r="N1131" t="str">
        <x:v>1-1</x:v>
      </x:c>
      <x:c r="O1131" t="str">
        <x:f>IF(E1131&lt;&gt;TRUE,"",IF(M1131&gt;H1131,"W",IF(M1131&lt;H1131,"L","T")))</x:f>
      </x:c>
      <x:c r="P1131" s="66" t="b">
        <x:v>0</x:v>
      </x:c>
      <x:c r="Q1131" s="66" t="b">
        <x:v>0</x:v>
      </x:c>
      <x:c r="R1131" t="str">
        <x:v>Soldier Field</x:v>
      </x:c>
      <x:c r="S1131" t="str">
        <x:v>Netflix</x:v>
      </x:c>
      <x:c r="T1131" t="str">
        <x:v>CHI -1.5</x:v>
      </x:c>
      <x:c r="U1131" s="70" t="n">
        <x:v>-1.5</x:v>
      </x:c>
      <x:c r="V1131" s="70" t="n">
        <x:v>47.5</x:v>
      </x:c>
      <x:c r="W1131" t="str">
        <x:v>DraftKings</x:v>
      </x:c>
      <x:c r="X1131" t="str">
        <x:v>https://www.espn.com/nfl/game/_/gameId/401873141</x:v>
      </x:c>
    </x:row>
    <x:row r="1132">
      <x:c r="A1132" t="str">
        <x:v>NFL</x:v>
      </x:c>
      <x:c r="B1132" t="n">
        <x:v>16</x:v>
      </x:c>
      <x:c r="C1132" s="68" t="n">
        <x:v>46381.895833333336</x:v>
      </x:c>
      <x:c r="D1132" s="71" t="str">
        <x:v>pre</x:v>
      </x:c>
      <x:c r="E1132" s="72" t="b">
        <x:v>0</x:v>
      </x:c>
      <x:c r="F1132" t="str">
        <x:v>Buffalo Bills</x:v>
      </x:c>
      <x:c r="G1132" t="str">
        <x:v>BUF</x:v>
      </x:c>
      <x:c r="H1132" s="69" t="n">
        <x:v>0</x:v>
      </x:c>
      <x:c r="I1132" t="str">
        <x:v>2-0</x:v>
      </x:c>
      <x:c r="J1132" t="str">
        <x:f>IF(E1132&lt;&gt;TRUE,"",IF(H1132&gt;M1132,"W",IF(H1132&lt;M1132,"L","T")))</x:f>
      </x:c>
      <x:c r="K1132" t="str">
        <x:v>Denver Broncos</x:v>
      </x:c>
      <x:c r="L1132" t="str">
        <x:v>DEN</x:v>
      </x:c>
      <x:c r="M1132" s="69" t="n">
        <x:v>0</x:v>
      </x:c>
      <x:c r="N1132" t="str">
        <x:v>1-1</x:v>
      </x:c>
      <x:c r="O1132" t="str">
        <x:f>IF(E1132&lt;&gt;TRUE,"",IF(M1132&gt;H1132,"W",IF(M1132&lt;H1132,"L","T")))</x:f>
      </x:c>
      <x:c r="P1132" s="66" t="b">
        <x:v>0</x:v>
      </x:c>
      <x:c r="Q1132" s="66" t="b">
        <x:v>0</x:v>
      </x:c>
      <x:c r="R1132" t="str">
        <x:v>Empower Field at Mile High</x:v>
      </x:c>
      <x:c r="S1132" t="str">
        <x:v>Netflix</x:v>
      </x:c>
      <x:c r="T1132" t="str">
        <x:v>BUF -1.5</x:v>
      </x:c>
      <x:c r="U1132" s="70" t="n">
        <x:v>1.5</x:v>
      </x:c>
      <x:c r="V1132" s="70" t="n">
        <x:v>46.5</x:v>
      </x:c>
      <x:c r="W1132" t="str">
        <x:v>DraftKings</x:v>
      </x:c>
      <x:c r="X1132" t="str">
        <x:v>https://www.espn.com/nfl/game/_/gameId/401873142</x:v>
      </x:c>
    </x:row>
    <x:row r="1133">
      <x:c r="A1133" t="str">
        <x:v>NFL</x:v>
      </x:c>
      <x:c r="B1133" t="n">
        <x:v>16</x:v>
      </x:c>
      <x:c r="C1133" s="68" t="n">
        <x:v>46382.052083333336</x:v>
      </x:c>
      <x:c r="D1133" s="71" t="str">
        <x:v>pre</x:v>
      </x:c>
      <x:c r="E1133" s="72" t="b">
        <x:v>0</x:v>
      </x:c>
      <x:c r="F1133" t="str">
        <x:v>Los Angeles Rams</x:v>
      </x:c>
      <x:c r="G1133" t="str">
        <x:v>LAR</x:v>
      </x:c>
      <x:c r="H1133" s="69" t="n">
        <x:v>0</x:v>
      </x:c>
      <x:c r="I1133" t="str">
        <x:v>0-1</x:v>
      </x:c>
      <x:c r="J1133" t="str">
        <x:f>IF(E1133&lt;&gt;TRUE,"",IF(H1133&gt;M1133,"W",IF(H1133&lt;M1133,"L","T")))</x:f>
      </x:c>
      <x:c r="K1133" t="str">
        <x:v>Seattle Seahawks</x:v>
      </x:c>
      <x:c r="L1133" t="str">
        <x:v>SEA</x:v>
      </x:c>
      <x:c r="M1133" s="69" t="n">
        <x:v>0</x:v>
      </x:c>
      <x:c r="N1133" t="str">
        <x:v>2-0</x:v>
      </x:c>
      <x:c r="O1133" t="str">
        <x:f>IF(E1133&lt;&gt;TRUE,"",IF(M1133&gt;H1133,"W",IF(M1133&lt;H1133,"L","T")))</x:f>
      </x:c>
      <x:c r="P1133" s="66" t="b">
        <x:v>0</x:v>
      </x:c>
      <x:c r="Q1133" s="66" t="b">
        <x:v>0</x:v>
      </x:c>
      <x:c r="R1133" t="str">
        <x:v>Lumen Field</x:v>
      </x:c>
      <x:c r="S1133" t="str">
        <x:v>FOX</x:v>
      </x:c>
      <x:c r="T1133" t="str">
        <x:v>SEA -1.5</x:v>
      </x:c>
      <x:c r="U1133" s="70" t="n">
        <x:v>-1.5</x:v>
      </x:c>
      <x:c r="V1133" s="70" t="n">
        <x:v>47.5</x:v>
      </x:c>
      <x:c r="W1133" t="str">
        <x:v>DraftKings</x:v>
      </x:c>
      <x:c r="X1133" t="str">
        <x:v>https://www.espn.com/nfl/game/_/gameId/401873143</x:v>
      </x:c>
    </x:row>
    <x:row r="1134">
      <x:c r="A1134" t="str">
        <x:v>NFL</x:v>
      </x:c>
      <x:c r="B1134" t="n">
        <x:v>16</x:v>
      </x:c>
      <x:c r="C1134" s="68" t="n">
        <x:v>46383.208333333336</x:v>
      </x:c>
      <x:c r="D1134" s="71" t="str">
        <x:v>pre</x:v>
      </x:c>
      <x:c r="E1134" s="72" t="b">
        <x:v>0</x:v>
      </x:c>
      <x:c r="F1134" t="str">
        <x:v>Carolina Panthers</x:v>
      </x:c>
      <x:c r="G1134" t="str">
        <x:v>CAR</x:v>
      </x:c>
      <x:c r="H1134" s="69" t="n">
        <x:v>0</x:v>
      </x:c>
      <x:c r="I1134" t="str">
        <x:v>1-1</x:v>
      </x:c>
      <x:c r="J1134" t="str">
        <x:f>IF(E1134&lt;&gt;TRUE,"",IF(H1134&gt;M1134,"W",IF(H1134&lt;M1134,"L","T")))</x:f>
      </x:c>
      <x:c r="K1134" t="str">
        <x:v>Pittsburgh Steelers</x:v>
      </x:c>
      <x:c r="L1134" t="str">
        <x:v>PIT</x:v>
      </x:c>
      <x:c r="M1134" s="69" t="n">
        <x:v>0</x:v>
      </x:c>
      <x:c r="N1134" t="str">
        <x:v>1-1</x:v>
      </x:c>
      <x:c r="O1134" t="str">
        <x:f>IF(E1134&lt;&gt;TRUE,"",IF(M1134&gt;H1134,"W",IF(M1134&lt;H1134,"L","T")))</x:f>
      </x:c>
      <x:c r="P1134" s="66" t="b">
        <x:v>0</x:v>
      </x:c>
      <x:c r="Q1134" s="66" t="b">
        <x:v>0</x:v>
      </x:c>
      <x:c r="R1134" t="str">
        <x:v>Acrisure Stadium</x:v>
      </x:c>
      <x:c r="S1134" t="str"/>
      <x:c r="T1134" t="str">
        <x:v>PIT -3.5</x:v>
      </x:c>
      <x:c r="U1134" s="70" t="n">
        <x:v>-3.5</x:v>
      </x:c>
      <x:c r="V1134" s="70" t="n">
        <x:v>41.5</x:v>
      </x:c>
      <x:c r="W1134" t="str">
        <x:v>DraftKings</x:v>
      </x:c>
      <x:c r="X1134" t="str">
        <x:v>https://www.espn.com/nfl/game/_/gameId/401873144</x:v>
      </x:c>
    </x:row>
    <x:row r="1135">
      <x:c r="A1135" t="str">
        <x:v>NFL</x:v>
      </x:c>
      <x:c r="B1135" t="n">
        <x:v>16</x:v>
      </x:c>
      <x:c r="C1135" s="68" t="n">
        <x:v>46383.208333333336</x:v>
      </x:c>
      <x:c r="D1135" s="71" t="str">
        <x:v>pre</x:v>
      </x:c>
      <x:c r="E1135" s="72" t="b">
        <x:v>0</x:v>
      </x:c>
      <x:c r="F1135" t="str">
        <x:v>Cincinnati Bengals</x:v>
      </x:c>
      <x:c r="G1135" t="str">
        <x:v>CIN</x:v>
      </x:c>
      <x:c r="H1135" s="69" t="n">
        <x:v>0</x:v>
      </x:c>
      <x:c r="I1135" t="str">
        <x:v>2-0</x:v>
      </x:c>
      <x:c r="J1135" t="str">
        <x:f>IF(E1135&lt;&gt;TRUE,"",IF(H1135&gt;M1135,"W",IF(H1135&lt;M1135,"L","T")))</x:f>
      </x:c>
      <x:c r="K1135" t="str">
        <x:v>Indianapolis Colts</x:v>
      </x:c>
      <x:c r="L1135" t="str">
        <x:v>IND</x:v>
      </x:c>
      <x:c r="M1135" s="69" t="n">
        <x:v>0</x:v>
      </x:c>
      <x:c r="N1135" t="str">
        <x:v>0-2</x:v>
      </x:c>
      <x:c r="O1135" t="str">
        <x:f>IF(E1135&lt;&gt;TRUE,"",IF(M1135&gt;H1135,"W",IF(M1135&lt;H1135,"L","T")))</x:f>
      </x:c>
      <x:c r="P1135" s="66" t="b">
        <x:v>0</x:v>
      </x:c>
      <x:c r="Q1135" s="66" t="b">
        <x:v>0</x:v>
      </x:c>
      <x:c r="R1135" t="str">
        <x:v>Lucas Oil Stadium</x:v>
      </x:c>
      <x:c r="S1135" t="str"/>
      <x:c r="T1135" t="str">
        <x:v>CIN -1.5</x:v>
      </x:c>
      <x:c r="U1135" s="70" t="n">
        <x:v>1.5</x:v>
      </x:c>
      <x:c r="V1135" s="70" t="n">
        <x:v>52.5</x:v>
      </x:c>
      <x:c r="W1135" t="str">
        <x:v>DraftKings</x:v>
      </x:c>
      <x:c r="X1135" t="str">
        <x:v>https://www.espn.com/nfl/game/_/gameId/401873145</x:v>
      </x:c>
    </x:row>
    <x:row r="1136">
      <x:c r="A1136" t="str">
        <x:v>NFL</x:v>
      </x:c>
      <x:c r="B1136" t="n">
        <x:v>16</x:v>
      </x:c>
      <x:c r="C1136" s="68" t="n">
        <x:v>46383.208333333336</x:v>
      </x:c>
      <x:c r="D1136" s="71" t="str">
        <x:v>pre</x:v>
      </x:c>
      <x:c r="E1136" s="72" t="b">
        <x:v>0</x:v>
      </x:c>
      <x:c r="F1136" t="str">
        <x:v>Tampa Bay Buccaneers</x:v>
      </x:c>
      <x:c r="G1136" t="str">
        <x:v>TB</x:v>
      </x:c>
      <x:c r="H1136" s="69" t="n">
        <x:v>0</x:v>
      </x:c>
      <x:c r="I1136" t="str">
        <x:v>0-2</x:v>
      </x:c>
      <x:c r="J1136" t="str">
        <x:f>IF(E1136&lt;&gt;TRUE,"",IF(H1136&gt;M1136,"W",IF(H1136&lt;M1136,"L","T")))</x:f>
      </x:c>
      <x:c r="K1136" t="str">
        <x:v>Atlanta Falcons</x:v>
      </x:c>
      <x:c r="L1136" t="str">
        <x:v>ATL</x:v>
      </x:c>
      <x:c r="M1136" s="69" t="n">
        <x:v>0</x:v>
      </x:c>
      <x:c r="N1136" t="str">
        <x:v>0-2</x:v>
      </x:c>
      <x:c r="O1136" t="str">
        <x:f>IF(E1136&lt;&gt;TRUE,"",IF(M1136&gt;H1136,"W",IF(M1136&lt;H1136,"L","T")))</x:f>
      </x:c>
      <x:c r="P1136" s="66" t="b">
        <x:v>0</x:v>
      </x:c>
      <x:c r="Q1136" s="66" t="b">
        <x:v>0</x:v>
      </x:c>
      <x:c r="R1136" t="str">
        <x:v>Mercedes-Benz Stadium</x:v>
      </x:c>
      <x:c r="S1136" t="str"/>
      <x:c r="T1136" t="str">
        <x:v>TB -1.5</x:v>
      </x:c>
      <x:c r="U1136" s="70" t="n">
        <x:v>1.5</x:v>
      </x:c>
      <x:c r="V1136" s="70" t="n">
        <x:v>45.5</x:v>
      </x:c>
      <x:c r="W1136" t="str">
        <x:v>DraftKings</x:v>
      </x:c>
      <x:c r="X1136" t="str">
        <x:v>https://www.espn.com/nfl/game/_/gameId/401873146</x:v>
      </x:c>
    </x:row>
    <x:row r="1137">
      <x:c r="A1137" t="str">
        <x:v>NFL</x:v>
      </x:c>
      <x:c r="B1137" t="n">
        <x:v>16</x:v>
      </x:c>
      <x:c r="C1137" s="68" t="n">
        <x:v>46383.208333333336</x:v>
      </x:c>
      <x:c r="D1137" s="71" t="str">
        <x:v>pre</x:v>
      </x:c>
      <x:c r="E1137" s="72" t="b">
        <x:v>0</x:v>
      </x:c>
      <x:c r="F1137" t="str">
        <x:v>Washington Commanders</x:v>
      </x:c>
      <x:c r="G1137" t="str">
        <x:v>WSH</x:v>
      </x:c>
      <x:c r="H1137" s="69" t="n">
        <x:v>0</x:v>
      </x:c>
      <x:c r="I1137" t="str">
        <x:v>0-2</x:v>
      </x:c>
      <x:c r="J1137" t="str">
        <x:f>IF(E1137&lt;&gt;TRUE,"",IF(H1137&gt;M1137,"W",IF(H1137&lt;M1137,"L","T")))</x:f>
      </x:c>
      <x:c r="K1137" t="str">
        <x:v>Minnesota Vikings</x:v>
      </x:c>
      <x:c r="L1137" t="str">
        <x:v>MIN</x:v>
      </x:c>
      <x:c r="M1137" s="69" t="n">
        <x:v>0</x:v>
      </x:c>
      <x:c r="N1137" t="str">
        <x:v>2-0</x:v>
      </x:c>
      <x:c r="O1137" t="str">
        <x:f>IF(E1137&lt;&gt;TRUE,"",IF(M1137&gt;H1137,"W",IF(M1137&lt;H1137,"L","T")))</x:f>
      </x:c>
      <x:c r="P1137" s="66" t="b">
        <x:v>0</x:v>
      </x:c>
      <x:c r="Q1137" s="66" t="b">
        <x:v>0</x:v>
      </x:c>
      <x:c r="R1137" t="str">
        <x:v>U.S. Bank Stadium</x:v>
      </x:c>
      <x:c r="S1137" t="str"/>
      <x:c r="T1137" t="str">
        <x:v>MIN -2.5</x:v>
      </x:c>
      <x:c r="U1137" s="70" t="n">
        <x:v>-2.5</x:v>
      </x:c>
      <x:c r="V1137" s="70" t="n">
        <x:v>46.5</x:v>
      </x:c>
      <x:c r="W1137" t="str">
        <x:v>DraftKings</x:v>
      </x:c>
      <x:c r="X1137" t="str">
        <x:v>https://www.espn.com/nfl/game/_/gameId/401873147</x:v>
      </x:c>
    </x:row>
    <x:row r="1138">
      <x:c r="A1138" t="str">
        <x:v>NFL</x:v>
      </x:c>
      <x:c r="B1138" t="n">
        <x:v>16</x:v>
      </x:c>
      <x:c r="C1138" s="68" t="n">
        <x:v>46383.75</x:v>
      </x:c>
      <x:c r="D1138" s="71" t="str">
        <x:v>pre</x:v>
      </x:c>
      <x:c r="E1138" s="72" t="b">
        <x:v>0</x:v>
      </x:c>
      <x:c r="F1138" t="str">
        <x:v>Arizona Cardinals</x:v>
      </x:c>
      <x:c r="G1138" t="str">
        <x:v>ARI</x:v>
      </x:c>
      <x:c r="H1138" s="69" t="n">
        <x:v>0</x:v>
      </x:c>
      <x:c r="I1138" t="str">
        <x:v>1-1</x:v>
      </x:c>
      <x:c r="J1138" t="str">
        <x:f>IF(E1138&lt;&gt;TRUE,"",IF(H1138&gt;M1138,"W",IF(H1138&lt;M1138,"L","T")))</x:f>
      </x:c>
      <x:c r="K1138" t="str">
        <x:v>New Orleans Saints</x:v>
      </x:c>
      <x:c r="L1138" t="str">
        <x:v>NO</x:v>
      </x:c>
      <x:c r="M1138" s="69" t="n">
        <x:v>0</x:v>
      </x:c>
      <x:c r="N1138" t="str">
        <x:v>1-1</x:v>
      </x:c>
      <x:c r="O1138" t="str">
        <x:f>IF(E1138&lt;&gt;TRUE,"",IF(M1138&gt;H1138,"W",IF(M1138&lt;H1138,"L","T")))</x:f>
      </x:c>
      <x:c r="P1138" s="66" t="b">
        <x:v>0</x:v>
      </x:c>
      <x:c r="Q1138" s="66" t="b">
        <x:v>0</x:v>
      </x:c>
      <x:c r="R1138" t="str">
        <x:v>Caesars Superdome</x:v>
      </x:c>
      <x:c r="S1138" t="str">
        <x:v>FOX</x:v>
      </x:c>
      <x:c r="T1138" t="str">
        <x:v>NO -5.5</x:v>
      </x:c>
      <x:c r="U1138" s="70" t="n">
        <x:v>-5.5</x:v>
      </x:c>
      <x:c r="V1138" s="70" t="n">
        <x:v>44.5</x:v>
      </x:c>
      <x:c r="W1138" t="str">
        <x:v>DraftKings</x:v>
      </x:c>
      <x:c r="X1138" t="str">
        <x:v>https://www.espn.com/nfl/game/_/gameId/401873148</x:v>
      </x:c>
    </x:row>
    <x:row r="1139">
      <x:c r="A1139" t="str">
        <x:v>NFL</x:v>
      </x:c>
      <x:c r="B1139" t="n">
        <x:v>16</x:v>
      </x:c>
      <x:c r="C1139" s="68" t="n">
        <x:v>46383.75</x:v>
      </x:c>
      <x:c r="D1139" s="71" t="str">
        <x:v>pre</x:v>
      </x:c>
      <x:c r="E1139" s="72" t="b">
        <x:v>0</x:v>
      </x:c>
      <x:c r="F1139" t="str">
        <x:v>Cleveland Browns</x:v>
      </x:c>
      <x:c r="G1139" t="str">
        <x:v>CLE</x:v>
      </x:c>
      <x:c r="H1139" s="69" t="n">
        <x:v>0</x:v>
      </x:c>
      <x:c r="I1139" t="str">
        <x:v>1-1</x:v>
      </x:c>
      <x:c r="J1139" t="str">
        <x:f>IF(E1139&lt;&gt;TRUE,"",IF(H1139&gt;M1139,"W",IF(H1139&lt;M1139,"L","T")))</x:f>
      </x:c>
      <x:c r="K1139" t="str">
        <x:v>Baltimore Ravens</x:v>
      </x:c>
      <x:c r="L1139" t="str">
        <x:v>BAL</x:v>
      </x:c>
      <x:c r="M1139" s="69" t="n">
        <x:v>0</x:v>
      </x:c>
      <x:c r="N1139" t="str">
        <x:v>1-1</x:v>
      </x:c>
      <x:c r="O1139" t="str">
        <x:f>IF(E1139&lt;&gt;TRUE,"",IF(M1139&gt;H1139,"W",IF(M1139&lt;H1139,"L","T")))</x:f>
      </x:c>
      <x:c r="P1139" s="66" t="b">
        <x:v>0</x:v>
      </x:c>
      <x:c r="Q1139" s="66" t="b">
        <x:v>0</x:v>
      </x:c>
      <x:c r="R1139" t="str">
        <x:v>M&amp;T Bank Stadium</x:v>
      </x:c>
      <x:c r="S1139" t="str">
        <x:v>CBS</x:v>
      </x:c>
      <x:c r="T1139" t="str">
        <x:v>BAL -10</x:v>
      </x:c>
      <x:c r="U1139" s="70" t="n">
        <x:v>-10</x:v>
      </x:c>
      <x:c r="V1139" s="70" t="n">
        <x:v>43.5</x:v>
      </x:c>
      <x:c r="W1139" t="str">
        <x:v>DraftKings</x:v>
      </x:c>
      <x:c r="X1139" t="str">
        <x:v>https://www.espn.com/nfl/game/_/gameId/401873149</x:v>
      </x:c>
    </x:row>
    <x:row r="1140">
      <x:c r="A1140" t="str">
        <x:v>NFL</x:v>
      </x:c>
      <x:c r="B1140" t="n">
        <x:v>16</x:v>
      </x:c>
      <x:c r="C1140" s="68" t="n">
        <x:v>46383.75</x:v>
      </x:c>
      <x:c r="D1140" s="71" t="str">
        <x:v>pre</x:v>
      </x:c>
      <x:c r="E1140" s="72" t="b">
        <x:v>0</x:v>
      </x:c>
      <x:c r="F1140" t="str">
        <x:v>Los Angeles Chargers</x:v>
      </x:c>
      <x:c r="G1140" t="str">
        <x:v>LAC</x:v>
      </x:c>
      <x:c r="H1140" s="69" t="n">
        <x:v>0</x:v>
      </x:c>
      <x:c r="I1140" t="str">
        <x:v>0-2</x:v>
      </x:c>
      <x:c r="J1140" t="str">
        <x:f>IF(E1140&lt;&gt;TRUE,"",IF(H1140&gt;M1140,"W",IF(H1140&lt;M1140,"L","T")))</x:f>
      </x:c>
      <x:c r="K1140" t="str">
        <x:v>Miami Dolphins</x:v>
      </x:c>
      <x:c r="L1140" t="str">
        <x:v>MIA</x:v>
      </x:c>
      <x:c r="M1140" s="69" t="n">
        <x:v>0</x:v>
      </x:c>
      <x:c r="N1140" t="str">
        <x:v>0-2</x:v>
      </x:c>
      <x:c r="O1140" t="str">
        <x:f>IF(E1140&lt;&gt;TRUE,"",IF(M1140&gt;H1140,"W",IF(M1140&lt;H1140,"L","T")))</x:f>
      </x:c>
      <x:c r="P1140" s="66" t="b">
        <x:v>0</x:v>
      </x:c>
      <x:c r="Q1140" s="66" t="b">
        <x:v>0</x:v>
      </x:c>
      <x:c r="R1140" t="str">
        <x:v>Hard Rock Stadium</x:v>
      </x:c>
      <x:c r="S1140" t="str">
        <x:v>FOX</x:v>
      </x:c>
      <x:c r="T1140" t="str">
        <x:v>LAC -7</x:v>
      </x:c>
      <x:c r="U1140" s="70" t="n">
        <x:v>7</x:v>
      </x:c>
      <x:c r="V1140" s="70" t="n">
        <x:v>45.5</x:v>
      </x:c>
      <x:c r="W1140" t="str">
        <x:v>DraftKings</x:v>
      </x:c>
      <x:c r="X1140" t="str">
        <x:v>https://www.espn.com/nfl/game/_/gameId/401873150</x:v>
      </x:c>
    </x:row>
    <x:row r="1141">
      <x:c r="A1141" t="str">
        <x:v>NFL</x:v>
      </x:c>
      <x:c r="B1141" t="n">
        <x:v>16</x:v>
      </x:c>
      <x:c r="C1141" s="68" t="n">
        <x:v>46383.75</x:v>
      </x:c>
      <x:c r="D1141" s="71" t="str">
        <x:v>pre</x:v>
      </x:c>
      <x:c r="E1141" s="72" t="b">
        <x:v>0</x:v>
      </x:c>
      <x:c r="F1141" t="str">
        <x:v>New England Patriots</x:v>
      </x:c>
      <x:c r="G1141" t="str">
        <x:v>NE</x:v>
      </x:c>
      <x:c r="H1141" s="69" t="n">
        <x:v>0</x:v>
      </x:c>
      <x:c r="I1141" t="str">
        <x:v>1-1</x:v>
      </x:c>
      <x:c r="J1141" t="str">
        <x:f>IF(E1141&lt;&gt;TRUE,"",IF(H1141&gt;M1141,"W",IF(H1141&lt;M1141,"L","T")))</x:f>
      </x:c>
      <x:c r="K1141" t="str">
        <x:v>New York Jets</x:v>
      </x:c>
      <x:c r="L1141" t="str">
        <x:v>NYJ</x:v>
      </x:c>
      <x:c r="M1141" s="69" t="n">
        <x:v>0</x:v>
      </x:c>
      <x:c r="N1141" t="str">
        <x:v>1-1</x:v>
      </x:c>
      <x:c r="O1141" t="str">
        <x:f>IF(E1141&lt;&gt;TRUE,"",IF(M1141&gt;H1141,"W",IF(M1141&lt;H1141,"L","T")))</x:f>
      </x:c>
      <x:c r="P1141" s="66" t="b">
        <x:v>0</x:v>
      </x:c>
      <x:c r="Q1141" s="66" t="b">
        <x:v>0</x:v>
      </x:c>
      <x:c r="R1141" t="str">
        <x:v>MetLife Stadium</x:v>
      </x:c>
      <x:c r="S1141" t="str">
        <x:v>CBS</x:v>
      </x:c>
      <x:c r="T1141" t="str">
        <x:v>NE -6.5</x:v>
      </x:c>
      <x:c r="U1141" s="70" t="n">
        <x:v>6.5</x:v>
      </x:c>
      <x:c r="V1141" s="70" t="n">
        <x:v>40.5</x:v>
      </x:c>
      <x:c r="W1141" t="str">
        <x:v>DraftKings</x:v>
      </x:c>
      <x:c r="X1141" t="str">
        <x:v>https://www.espn.com/nfl/game/_/gameId/401873151</x:v>
      </x:c>
    </x:row>
    <x:row r="1142">
      <x:c r="A1142" t="str">
        <x:v>NFL</x:v>
      </x:c>
      <x:c r="B1142" t="n">
        <x:v>16</x:v>
      </x:c>
      <x:c r="C1142" s="68" t="n">
        <x:v>46383.87847222222</x:v>
      </x:c>
      <x:c r="D1142" s="71" t="str">
        <x:v>pre</x:v>
      </x:c>
      <x:c r="E1142" s="72" t="b">
        <x:v>0</x:v>
      </x:c>
      <x:c r="F1142" t="str">
        <x:v>Tennessee Titans</x:v>
      </x:c>
      <x:c r="G1142" t="str">
        <x:v>TEN</x:v>
      </x:c>
      <x:c r="H1142" s="69" t="n">
        <x:v>0</x:v>
      </x:c>
      <x:c r="I1142" t="str">
        <x:v>0-2</x:v>
      </x:c>
      <x:c r="J1142" t="str">
        <x:f>IF(E1142&lt;&gt;TRUE,"",IF(H1142&gt;M1142,"W",IF(H1142&lt;M1142,"L","T")))</x:f>
      </x:c>
      <x:c r="K1142" t="str">
        <x:v>Las Vegas Raiders</x:v>
      </x:c>
      <x:c r="L1142" t="str">
        <x:v>LV</x:v>
      </x:c>
      <x:c r="M1142" s="69" t="n">
        <x:v>0</x:v>
      </x:c>
      <x:c r="N1142" t="str">
        <x:v>2-0</x:v>
      </x:c>
      <x:c r="O1142" t="str">
        <x:f>IF(E1142&lt;&gt;TRUE,"",IF(M1142&gt;H1142,"W",IF(M1142&lt;H1142,"L","T")))</x:f>
      </x:c>
      <x:c r="P1142" s="66" t="b">
        <x:v>0</x:v>
      </x:c>
      <x:c r="Q1142" s="66" t="b">
        <x:v>0</x:v>
      </x:c>
      <x:c r="R1142" t="str">
        <x:v>Allegiant Stadium</x:v>
      </x:c>
      <x:c r="S1142" t="str">
        <x:v>FOX</x:v>
      </x:c>
      <x:c r="T1142" t="str">
        <x:v>LV -1.5</x:v>
      </x:c>
      <x:c r="U1142" s="70" t="n">
        <x:v>-1.5</x:v>
      </x:c>
      <x:c r="V1142" s="70" t="n">
        <x:v>42.5</x:v>
      </x:c>
      <x:c r="W1142" t="str">
        <x:v>DraftKings</x:v>
      </x:c>
      <x:c r="X1142" t="str">
        <x:v>https://www.espn.com/nfl/game/_/gameId/401873152</x:v>
      </x:c>
    </x:row>
    <x:row r="1143">
      <x:c r="A1143" t="str">
        <x:v>NFL</x:v>
      </x:c>
      <x:c r="B1143" t="n">
        <x:v>16</x:v>
      </x:c>
      <x:c r="C1143" s="68" t="n">
        <x:v>46383.89236111111</x:v>
      </x:c>
      <x:c r="D1143" s="71" t="str">
        <x:v>pre</x:v>
      </x:c>
      <x:c r="E1143" s="72" t="b">
        <x:v>0</x:v>
      </x:c>
      <x:c r="F1143" t="str">
        <x:v>San Francisco 49ers</x:v>
      </x:c>
      <x:c r="G1143" t="str">
        <x:v>SF</x:v>
      </x:c>
      <x:c r="H1143" s="69" t="n">
        <x:v>0</x:v>
      </x:c>
      <x:c r="I1143" t="str">
        <x:v>2-0</x:v>
      </x:c>
      <x:c r="J1143" t="str">
        <x:f>IF(E1143&lt;&gt;TRUE,"",IF(H1143&gt;M1143,"W",IF(H1143&lt;M1143,"L","T")))</x:f>
      </x:c>
      <x:c r="K1143" t="str">
        <x:v>Kansas City Chiefs</x:v>
      </x:c>
      <x:c r="L1143" t="str">
        <x:v>KC</x:v>
      </x:c>
      <x:c r="M1143" s="69" t="n">
        <x:v>0</x:v>
      </x:c>
      <x:c r="N1143" t="str">
        <x:v>2-0</x:v>
      </x:c>
      <x:c r="O1143" t="str">
        <x:f>IF(E1143&lt;&gt;TRUE,"",IF(M1143&gt;H1143,"W",IF(M1143&lt;H1143,"L","T")))</x:f>
      </x:c>
      <x:c r="P1143" s="66" t="b">
        <x:v>0</x:v>
      </x:c>
      <x:c r="Q1143" s="66" t="b">
        <x:v>0</x:v>
      </x:c>
      <x:c r="R1143" t="str">
        <x:v>Arrowhead Stadium</x:v>
      </x:c>
      <x:c r="S1143" t="str">
        <x:v>CBS</x:v>
      </x:c>
      <x:c r="T1143" t="str">
        <x:v>KC -3</x:v>
      </x:c>
      <x:c r="U1143" s="70" t="n">
        <x:v>-3</x:v>
      </x:c>
      <x:c r="V1143" s="70" t="n">
        <x:v>46.5</x:v>
      </x:c>
      <x:c r="W1143" t="str">
        <x:v>DraftKings</x:v>
      </x:c>
      <x:c r="X1143" t="str">
        <x:v>https://www.espn.com/nfl/game/_/gameId/401873153</x:v>
      </x:c>
    </x:row>
    <x:row r="1144">
      <x:c r="A1144" t="str">
        <x:v>NFL</x:v>
      </x:c>
      <x:c r="B1144" t="n">
        <x:v>16</x:v>
      </x:c>
      <x:c r="C1144" s="68" t="n">
        <x:v>46384.055555555555</x:v>
      </x:c>
      <x:c r="D1144" s="71" t="str">
        <x:v>pre</x:v>
      </x:c>
      <x:c r="E1144" s="72" t="b">
        <x:v>0</x:v>
      </x:c>
      <x:c r="F1144" t="str">
        <x:v>Jacksonville Jaguars</x:v>
      </x:c>
      <x:c r="G1144" t="str">
        <x:v>JAX</x:v>
      </x:c>
      <x:c r="H1144" s="69" t="n">
        <x:v>0</x:v>
      </x:c>
      <x:c r="I1144" t="str">
        <x:v>1-1</x:v>
      </x:c>
      <x:c r="J1144" t="str">
        <x:f>IF(E1144&lt;&gt;TRUE,"",IF(H1144&gt;M1144,"W",IF(H1144&lt;M1144,"L","T")))</x:f>
      </x:c>
      <x:c r="K1144" t="str">
        <x:v>Dallas Cowboys</x:v>
      </x:c>
      <x:c r="L1144" t="str">
        <x:v>DAL</x:v>
      </x:c>
      <x:c r="M1144" s="69" t="n">
        <x:v>0</x:v>
      </x:c>
      <x:c r="N1144" t="str">
        <x:v>1-1</x:v>
      </x:c>
      <x:c r="O1144" t="str">
        <x:f>IF(E1144&lt;&gt;TRUE,"",IF(M1144&gt;H1144,"W",IF(M1144&lt;H1144,"L","T")))</x:f>
      </x:c>
      <x:c r="P1144" s="66" t="b">
        <x:v>0</x:v>
      </x:c>
      <x:c r="Q1144" s="66" t="b">
        <x:v>0</x:v>
      </x:c>
      <x:c r="R1144" t="str">
        <x:v>AT&amp;T Stadium</x:v>
      </x:c>
      <x:c r="S1144" t="str">
        <x:v>NBC</x:v>
      </x:c>
      <x:c r="T1144" t="str">
        <x:v>DAL -3</x:v>
      </x:c>
      <x:c r="U1144" s="70" t="n">
        <x:v>-3</x:v>
      </x:c>
      <x:c r="V1144" s="70" t="n">
        <x:v>51.5</x:v>
      </x:c>
      <x:c r="W1144" t="str">
        <x:v>DraftKings</x:v>
      </x:c>
      <x:c r="X1144" t="str">
        <x:v>https://www.espn.com/nfl/game/_/gameId/401873154</x:v>
      </x:c>
    </x:row>
    <x:row r="1145">
      <x:c r="A1145" t="str">
        <x:v>NFL</x:v>
      </x:c>
      <x:c r="B1145" t="n">
        <x:v>16</x:v>
      </x:c>
      <x:c r="C1145" s="68" t="n">
        <x:v>46385.052083333336</x:v>
      </x:c>
      <x:c r="D1145" s="71" t="str">
        <x:v>pre</x:v>
      </x:c>
      <x:c r="E1145" s="72" t="b">
        <x:v>0</x:v>
      </x:c>
      <x:c r="F1145" t="str">
        <x:v>New York Giants</x:v>
      </x:c>
      <x:c r="G1145" t="str">
        <x:v>NYG</x:v>
      </x:c>
      <x:c r="H1145" s="69" t="n">
        <x:v>0</x:v>
      </x:c>
      <x:c r="I1145" t="str">
        <x:v>1-0</x:v>
      </x:c>
      <x:c r="J1145" t="str">
        <x:f>IF(E1145&lt;&gt;TRUE,"",IF(H1145&gt;M1145,"W",IF(H1145&lt;M1145,"L","T")))</x:f>
      </x:c>
      <x:c r="K1145" t="str">
        <x:v>Detroit Lions</x:v>
      </x:c>
      <x:c r="L1145" t="str">
        <x:v>DET</x:v>
      </x:c>
      <x:c r="M1145" s="69" t="n">
        <x:v>0</x:v>
      </x:c>
      <x:c r="N1145" t="str">
        <x:v>1-1</x:v>
      </x:c>
      <x:c r="O1145" t="str">
        <x:f>IF(E1145&lt;&gt;TRUE,"",IF(M1145&gt;H1145,"W",IF(M1145&lt;H1145,"L","T")))</x:f>
      </x:c>
      <x:c r="P1145" s="66" t="b">
        <x:v>0</x:v>
      </x:c>
      <x:c r="Q1145" s="66" t="b">
        <x:v>0</x:v>
      </x:c>
      <x:c r="R1145" t="str">
        <x:v>Ford Field</x:v>
      </x:c>
      <x:c r="S1145" t="str">
        <x:v>ESPN</x:v>
      </x:c>
      <x:c r="T1145" t="str">
        <x:v>DET -4.5</x:v>
      </x:c>
      <x:c r="U1145" s="70" t="n">
        <x:v>-4.5</x:v>
      </x:c>
      <x:c r="V1145" s="70" t="n">
        <x:v>49.5</x:v>
      </x:c>
      <x:c r="W1145" t="str">
        <x:v>DraftKings</x:v>
      </x:c>
      <x:c r="X1145" t="str">
        <x:v>https://www.espn.com/nfl/game/_/gameId/401873155</x:v>
      </x:c>
    </x:row>
    <x:row r="1146">
      <x:c r="A1146" t="str">
        <x:v>NFL</x:v>
      </x:c>
      <x:c r="B1146" t="n">
        <x:v>17</x:v>
      </x:c>
      <x:c r="C1146" s="68" t="n">
        <x:v>46388.052083333336</x:v>
      </x:c>
      <x:c r="D1146" s="71" t="str">
        <x:v>pre</x:v>
      </x:c>
      <x:c r="E1146" s="72" t="b">
        <x:v>0</x:v>
      </x:c>
      <x:c r="F1146" t="str">
        <x:v>Baltimore Ravens</x:v>
      </x:c>
      <x:c r="G1146" t="str">
        <x:v>BAL</x:v>
      </x:c>
      <x:c r="H1146" s="69" t="n">
        <x:v>0</x:v>
      </x:c>
      <x:c r="I1146" t="str">
        <x:v>1-1</x:v>
      </x:c>
      <x:c r="J1146" t="str">
        <x:f>IF(E1146&lt;&gt;TRUE,"",IF(H1146&gt;M1146,"W",IF(H1146&lt;M1146,"L","T")))</x:f>
      </x:c>
      <x:c r="K1146" t="str">
        <x:v>Cincinnati Bengals</x:v>
      </x:c>
      <x:c r="L1146" t="str">
        <x:v>CIN</x:v>
      </x:c>
      <x:c r="M1146" s="69" t="n">
        <x:v>0</x:v>
      </x:c>
      <x:c r="N1146" t="str">
        <x:v>2-0</x:v>
      </x:c>
      <x:c r="O1146" t="str">
        <x:f>IF(E1146&lt;&gt;TRUE,"",IF(M1146&gt;H1146,"W",IF(M1146&lt;H1146,"L","T")))</x:f>
      </x:c>
      <x:c r="P1146" s="66" t="b">
        <x:v>0</x:v>
      </x:c>
      <x:c r="Q1146" s="66" t="b">
        <x:v>0</x:v>
      </x:c>
      <x:c r="R1146" t="str">
        <x:v>Paycor Stadium</x:v>
      </x:c>
      <x:c r="S1146" t="str">
        <x:v>Prime Video</x:v>
      </x:c>
      <x:c r="T1146" t="str">
        <x:v>CIN -2.5</x:v>
      </x:c>
      <x:c r="U1146" s="70" t="n">
        <x:v>-2.5</x:v>
      </x:c>
      <x:c r="V1146" s="70" t="n">
        <x:v>51.5</x:v>
      </x:c>
      <x:c r="W1146" t="str">
        <x:v>DraftKings</x:v>
      </x:c>
      <x:c r="X1146" t="str">
        <x:v>https://www.espn.com/nfl/game/_/gameId/401873156</x:v>
      </x:c>
    </x:row>
    <x:row r="1147">
      <x:c r="A1147" t="str">
        <x:v>NFL</x:v>
      </x:c>
      <x:c r="B1147" t="n">
        <x:v>17</x:v>
      </x:c>
      <x:c r="C1147" s="68" t="n">
        <x:v>46390.208333333336</x:v>
      </x:c>
      <x:c r="D1147" s="71" t="str">
        <x:v>pre</x:v>
      </x:c>
      <x:c r="E1147" s="72" t="b">
        <x:v>0</x:v>
      </x:c>
      <x:c r="F1147" t="str">
        <x:v>Denver Broncos</x:v>
      </x:c>
      <x:c r="G1147" t="str">
        <x:v>DEN</x:v>
      </x:c>
      <x:c r="H1147" s="69" t="n">
        <x:v>0</x:v>
      </x:c>
      <x:c r="I1147" t="str">
        <x:v>1-1</x:v>
      </x:c>
      <x:c r="J1147" t="str">
        <x:f>IF(E1147&lt;&gt;TRUE,"",IF(H1147&gt;M1147,"W",IF(H1147&lt;M1147,"L","T")))</x:f>
      </x:c>
      <x:c r="K1147" t="str">
        <x:v>New England Patriots</x:v>
      </x:c>
      <x:c r="L1147" t="str">
        <x:v>NE</x:v>
      </x:c>
      <x:c r="M1147" s="69" t="n">
        <x:v>0</x:v>
      </x:c>
      <x:c r="N1147" t="str">
        <x:v>1-1</x:v>
      </x:c>
      <x:c r="O1147" t="str">
        <x:f>IF(E1147&lt;&gt;TRUE,"",IF(M1147&gt;H1147,"W",IF(M1147&lt;H1147,"L","T")))</x:f>
      </x:c>
      <x:c r="P1147" s="66" t="b">
        <x:v>0</x:v>
      </x:c>
      <x:c r="Q1147" s="66" t="b">
        <x:v>0</x:v>
      </x:c>
      <x:c r="R1147" t="str">
        <x:v>Gillette Stadium</x:v>
      </x:c>
      <x:c r="S1147" t="str"/>
      <x:c r="T1147" t="str">
        <x:v>NE -2.5</x:v>
      </x:c>
      <x:c r="U1147" s="70" t="n">
        <x:v>-2.5</x:v>
      </x:c>
      <x:c r="V1147" s="70" t="n">
        <x:v>42.5</x:v>
      </x:c>
      <x:c r="W1147" t="str">
        <x:v>DraftKings</x:v>
      </x:c>
      <x:c r="X1147" t="str">
        <x:v>https://www.espn.com/nfl/game/_/gameId/401873157</x:v>
      </x:c>
    </x:row>
    <x:row r="1148">
      <x:c r="A1148" t="str">
        <x:v>NFL</x:v>
      </x:c>
      <x:c r="B1148" t="n">
        <x:v>17</x:v>
      </x:c>
      <x:c r="C1148" s="68" t="n">
        <x:v>46390.208333333336</x:v>
      </x:c>
      <x:c r="D1148" s="71" t="str">
        <x:v>pre</x:v>
      </x:c>
      <x:c r="E1148" s="72" t="b">
        <x:v>0</x:v>
      </x:c>
      <x:c r="F1148" t="str">
        <x:v>Kansas City Chiefs</x:v>
      </x:c>
      <x:c r="G1148" t="str">
        <x:v>KC</x:v>
      </x:c>
      <x:c r="H1148" s="69" t="n">
        <x:v>0</x:v>
      </x:c>
      <x:c r="I1148" t="str">
        <x:v>2-0</x:v>
      </x:c>
      <x:c r="J1148" t="str">
        <x:f>IF(E1148&lt;&gt;TRUE,"",IF(H1148&gt;M1148,"W",IF(H1148&lt;M1148,"L","T")))</x:f>
      </x:c>
      <x:c r="K1148" t="str">
        <x:v>Los Angeles Chargers</x:v>
      </x:c>
      <x:c r="L1148" t="str">
        <x:v>LAC</x:v>
      </x:c>
      <x:c r="M1148" s="69" t="n">
        <x:v>0</x:v>
      </x:c>
      <x:c r="N1148" t="str">
        <x:v>0-2</x:v>
      </x:c>
      <x:c r="O1148" t="str">
        <x:f>IF(E1148&lt;&gt;TRUE,"",IF(M1148&gt;H1148,"W",IF(M1148&lt;H1148,"L","T")))</x:f>
      </x:c>
      <x:c r="P1148" s="66" t="b">
        <x:v>0</x:v>
      </x:c>
      <x:c r="Q1148" s="66" t="b">
        <x:v>0</x:v>
      </x:c>
      <x:c r="R1148" t="str">
        <x:v>SoFi Stadium</x:v>
      </x:c>
      <x:c r="S1148" t="str"/>
      <x:c r="T1148" t="str">
        <x:v>LAC -1.5</x:v>
      </x:c>
      <x:c r="U1148" s="70" t="n">
        <x:v>-1.5</x:v>
      </x:c>
      <x:c r="V1148" s="70" t="n">
        <x:v>45.5</x:v>
      </x:c>
      <x:c r="W1148" t="str">
        <x:v>DraftKings</x:v>
      </x:c>
      <x:c r="X1148" t="str">
        <x:v>https://www.espn.com/nfl/game/_/gameId/401873158</x:v>
      </x:c>
    </x:row>
    <x:row r="1149">
      <x:c r="A1149" t="str">
        <x:v>NFL</x:v>
      </x:c>
      <x:c r="B1149" t="n">
        <x:v>17</x:v>
      </x:c>
      <x:c r="C1149" s="68" t="n">
        <x:v>46390.208333333336</x:v>
      </x:c>
      <x:c r="D1149" s="71" t="str">
        <x:v>pre</x:v>
      </x:c>
      <x:c r="E1149" s="72" t="b">
        <x:v>0</x:v>
      </x:c>
      <x:c r="F1149" t="str">
        <x:v>Los Angeles Rams</x:v>
      </x:c>
      <x:c r="G1149" t="str">
        <x:v>LAR</x:v>
      </x:c>
      <x:c r="H1149" s="69" t="n">
        <x:v>0</x:v>
      </x:c>
      <x:c r="I1149" t="str">
        <x:v>0-1</x:v>
      </x:c>
      <x:c r="J1149" t="str">
        <x:f>IF(E1149&lt;&gt;TRUE,"",IF(H1149&gt;M1149,"W",IF(H1149&lt;M1149,"L","T")))</x:f>
      </x:c>
      <x:c r="K1149" t="str">
        <x:v>Tampa Bay Buccaneers</x:v>
      </x:c>
      <x:c r="L1149" t="str">
        <x:v>TB</x:v>
      </x:c>
      <x:c r="M1149" s="69" t="n">
        <x:v>0</x:v>
      </x:c>
      <x:c r="N1149" t="str">
        <x:v>0-2</x:v>
      </x:c>
      <x:c r="O1149" t="str">
        <x:f>IF(E1149&lt;&gt;TRUE,"",IF(M1149&gt;H1149,"W",IF(M1149&lt;H1149,"L","T")))</x:f>
      </x:c>
      <x:c r="P1149" s="66" t="b">
        <x:v>0</x:v>
      </x:c>
      <x:c r="Q1149" s="66" t="b">
        <x:v>0</x:v>
      </x:c>
      <x:c r="R1149" t="str">
        <x:v>Raymond James Stadium</x:v>
      </x:c>
      <x:c r="S1149" t="str"/>
      <x:c r="T1149" t="str">
        <x:v>LAR -4.5</x:v>
      </x:c>
      <x:c r="U1149" s="70" t="n">
        <x:v>4.5</x:v>
      </x:c>
      <x:c r="V1149" s="70" t="n">
        <x:v>48.5</x:v>
      </x:c>
      <x:c r="W1149" t="str">
        <x:v>DraftKings</x:v>
      </x:c>
      <x:c r="X1149" t="str">
        <x:v>https://www.espn.com/nfl/game/_/gameId/401873159</x:v>
      </x:c>
    </x:row>
    <x:row r="1150">
      <x:c r="A1150" t="str">
        <x:v>NFL</x:v>
      </x:c>
      <x:c r="B1150" t="n">
        <x:v>17</x:v>
      </x:c>
      <x:c r="C1150" s="68" t="n">
        <x:v>46390.208333333336</x:v>
      </x:c>
      <x:c r="D1150" s="71" t="str">
        <x:v>pre</x:v>
      </x:c>
      <x:c r="E1150" s="72" t="b">
        <x:v>0</x:v>
      </x:c>
      <x:c r="F1150" t="str">
        <x:v>Washington Commanders</x:v>
      </x:c>
      <x:c r="G1150" t="str">
        <x:v>WSH</x:v>
      </x:c>
      <x:c r="H1150" s="69" t="n">
        <x:v>0</x:v>
      </x:c>
      <x:c r="I1150" t="str">
        <x:v>0-2</x:v>
      </x:c>
      <x:c r="J1150" t="str">
        <x:f>IF(E1150&lt;&gt;TRUE,"",IF(H1150&gt;M1150,"W",IF(H1150&lt;M1150,"L","T")))</x:f>
      </x:c>
      <x:c r="K1150" t="str">
        <x:v>Jacksonville Jaguars</x:v>
      </x:c>
      <x:c r="L1150" t="str">
        <x:v>JAX</x:v>
      </x:c>
      <x:c r="M1150" s="69" t="n">
        <x:v>0</x:v>
      </x:c>
      <x:c r="N1150" t="str">
        <x:v>1-1</x:v>
      </x:c>
      <x:c r="O1150" t="str">
        <x:f>IF(E1150&lt;&gt;TRUE,"",IF(M1150&gt;H1150,"W",IF(M1150&lt;H1150,"L","T")))</x:f>
      </x:c>
      <x:c r="P1150" s="66" t="b">
        <x:v>0</x:v>
      </x:c>
      <x:c r="Q1150" s="66" t="b">
        <x:v>0</x:v>
      </x:c>
      <x:c r="R1150" t="str">
        <x:v>EverBank Stadium</x:v>
      </x:c>
      <x:c r="S1150" t="str"/>
      <x:c r="T1150" t="str">
        <x:v>JAX -3.5</x:v>
      </x:c>
      <x:c r="U1150" s="70" t="n">
        <x:v>-3.5</x:v>
      </x:c>
      <x:c r="V1150" s="70" t="n">
        <x:v>48.5</x:v>
      </x:c>
      <x:c r="W1150" t="str">
        <x:v>DraftKings</x:v>
      </x:c>
      <x:c r="X1150" t="str">
        <x:v>https://www.espn.com/nfl/game/_/gameId/401873160</x:v>
      </x:c>
    </x:row>
    <x:row r="1151">
      <x:c r="A1151" t="str">
        <x:v>NFL</x:v>
      </x:c>
      <x:c r="B1151" t="n">
        <x:v>17</x:v>
      </x:c>
      <x:c r="C1151" s="68" t="n">
        <x:v>46390.75</x:v>
      </x:c>
      <x:c r="D1151" s="71" t="str">
        <x:v>pre</x:v>
      </x:c>
      <x:c r="E1151" s="72" t="b">
        <x:v>0</x:v>
      </x:c>
      <x:c r="F1151" t="str">
        <x:v>Buffalo Bills</x:v>
      </x:c>
      <x:c r="G1151" t="str">
        <x:v>BUF</x:v>
      </x:c>
      <x:c r="H1151" s="69" t="n">
        <x:v>0</x:v>
      </x:c>
      <x:c r="I1151" t="str">
        <x:v>2-0</x:v>
      </x:c>
      <x:c r="J1151" t="str">
        <x:f>IF(E1151&lt;&gt;TRUE,"",IF(H1151&gt;M1151,"W",IF(H1151&lt;M1151,"L","T")))</x:f>
      </x:c>
      <x:c r="K1151" t="str">
        <x:v>Miami Dolphins</x:v>
      </x:c>
      <x:c r="L1151" t="str">
        <x:v>MIA</x:v>
      </x:c>
      <x:c r="M1151" s="69" t="n">
        <x:v>0</x:v>
      </x:c>
      <x:c r="N1151" t="str">
        <x:v>0-2</x:v>
      </x:c>
      <x:c r="O1151" t="str">
        <x:f>IF(E1151&lt;&gt;TRUE,"",IF(M1151&gt;H1151,"W",IF(M1151&lt;H1151,"L","T")))</x:f>
      </x:c>
      <x:c r="P1151" s="66" t="b">
        <x:v>0</x:v>
      </x:c>
      <x:c r="Q1151" s="66" t="b">
        <x:v>0</x:v>
      </x:c>
      <x:c r="R1151" t="str">
        <x:v>Hard Rock Stadium</x:v>
      </x:c>
      <x:c r="S1151" t="str">
        <x:v>CBS</x:v>
      </x:c>
      <x:c r="T1151" t="str">
        <x:v>BUF -7.5</x:v>
      </x:c>
      <x:c r="U1151" s="70" t="n">
        <x:v>7.5</x:v>
      </x:c>
      <x:c r="V1151" s="70" t="n">
        <x:v>47.5</x:v>
      </x:c>
      <x:c r="W1151" t="str">
        <x:v>DraftKings</x:v>
      </x:c>
      <x:c r="X1151" t="str">
        <x:v>https://www.espn.com/nfl/game/_/gameId/401873161</x:v>
      </x:c>
    </x:row>
    <x:row r="1152">
      <x:c r="A1152" t="str">
        <x:v>NFL</x:v>
      </x:c>
      <x:c r="B1152" t="n">
        <x:v>17</x:v>
      </x:c>
      <x:c r="C1152" s="68" t="n">
        <x:v>46390.75</x:v>
      </x:c>
      <x:c r="D1152" s="71" t="str">
        <x:v>pre</x:v>
      </x:c>
      <x:c r="E1152" s="72" t="b">
        <x:v>0</x:v>
      </x:c>
      <x:c r="F1152" t="str">
        <x:v>Indianapolis Colts</x:v>
      </x:c>
      <x:c r="G1152" t="str">
        <x:v>IND</x:v>
      </x:c>
      <x:c r="H1152" s="69" t="n">
        <x:v>0</x:v>
      </x:c>
      <x:c r="I1152" t="str">
        <x:v>0-2</x:v>
      </x:c>
      <x:c r="J1152" t="str">
        <x:f>IF(E1152&lt;&gt;TRUE,"",IF(H1152&gt;M1152,"W",IF(H1152&lt;M1152,"L","T")))</x:f>
      </x:c>
      <x:c r="K1152" t="str">
        <x:v>Cleveland Browns</x:v>
      </x:c>
      <x:c r="L1152" t="str">
        <x:v>CLE</x:v>
      </x:c>
      <x:c r="M1152" s="69" t="n">
        <x:v>0</x:v>
      </x:c>
      <x:c r="N1152" t="str">
        <x:v>1-1</x:v>
      </x:c>
      <x:c r="O1152" t="str">
        <x:f>IF(E1152&lt;&gt;TRUE,"",IF(M1152&gt;H1152,"W",IF(M1152&lt;H1152,"L","T")))</x:f>
      </x:c>
      <x:c r="P1152" s="66" t="b">
        <x:v>0</x:v>
      </x:c>
      <x:c r="Q1152" s="66" t="b">
        <x:v>0</x:v>
      </x:c>
      <x:c r="R1152" t="str">
        <x:v>Huntington Bank Field</x:v>
      </x:c>
      <x:c r="S1152" t="str">
        <x:v>FOX</x:v>
      </x:c>
      <x:c r="T1152" t="str">
        <x:v>IND -2.5</x:v>
      </x:c>
      <x:c r="U1152" s="70" t="n">
        <x:v>2.5</x:v>
      </x:c>
      <x:c r="V1152" s="70" t="n">
        <x:v>43.5</x:v>
      </x:c>
      <x:c r="W1152" t="str">
        <x:v>DraftKings</x:v>
      </x:c>
      <x:c r="X1152" t="str">
        <x:v>https://www.espn.com/nfl/game/_/gameId/401873162</x:v>
      </x:c>
    </x:row>
    <x:row r="1153">
      <x:c r="A1153" t="str">
        <x:v>NFL</x:v>
      </x:c>
      <x:c r="B1153" t="n">
        <x:v>17</x:v>
      </x:c>
      <x:c r="C1153" s="68" t="n">
        <x:v>46390.75</x:v>
      </x:c>
      <x:c r="D1153" s="71" t="str">
        <x:v>pre</x:v>
      </x:c>
      <x:c r="E1153" s="72" t="b">
        <x:v>0</x:v>
      </x:c>
      <x:c r="F1153" t="str">
        <x:v>Minnesota Vikings</x:v>
      </x:c>
      <x:c r="G1153" t="str">
        <x:v>MIN</x:v>
      </x:c>
      <x:c r="H1153" s="69" t="n">
        <x:v>0</x:v>
      </x:c>
      <x:c r="I1153" t="str">
        <x:v>2-0</x:v>
      </x:c>
      <x:c r="J1153" t="str">
        <x:f>IF(E1153&lt;&gt;TRUE,"",IF(H1153&gt;M1153,"W",IF(H1153&lt;M1153,"L","T")))</x:f>
      </x:c>
      <x:c r="K1153" t="str">
        <x:v>New York Jets</x:v>
      </x:c>
      <x:c r="L1153" t="str">
        <x:v>NYJ</x:v>
      </x:c>
      <x:c r="M1153" s="69" t="n">
        <x:v>0</x:v>
      </x:c>
      <x:c r="N1153" t="str">
        <x:v>1-1</x:v>
      </x:c>
      <x:c r="O1153" t="str">
        <x:f>IF(E1153&lt;&gt;TRUE,"",IF(M1153&gt;H1153,"W",IF(M1153&lt;H1153,"L","T")))</x:f>
      </x:c>
      <x:c r="P1153" s="66" t="b">
        <x:v>0</x:v>
      </x:c>
      <x:c r="Q1153" s="66" t="b">
        <x:v>0</x:v>
      </x:c>
      <x:c r="R1153" t="str">
        <x:v>MetLife Stadium</x:v>
      </x:c>
      <x:c r="S1153" t="str">
        <x:v>CBS</x:v>
      </x:c>
      <x:c r="T1153" t="str">
        <x:v>MIN -3.5</x:v>
      </x:c>
      <x:c r="U1153" s="70" t="n">
        <x:v>3.5</x:v>
      </x:c>
      <x:c r="V1153" s="70" t="n">
        <x:v>39.5</x:v>
      </x:c>
      <x:c r="W1153" t="str">
        <x:v>DraftKings</x:v>
      </x:c>
      <x:c r="X1153" t="str">
        <x:v>https://www.espn.com/nfl/game/_/gameId/401873163</x:v>
      </x:c>
    </x:row>
    <x:row r="1154">
      <x:c r="A1154" t="str">
        <x:v>NFL</x:v>
      </x:c>
      <x:c r="B1154" t="n">
        <x:v>17</x:v>
      </x:c>
      <x:c r="C1154" s="68" t="n">
        <x:v>46390.75</x:v>
      </x:c>
      <x:c r="D1154" s="71" t="str">
        <x:v>pre</x:v>
      </x:c>
      <x:c r="E1154" s="72" t="b">
        <x:v>0</x:v>
      </x:c>
      <x:c r="F1154" t="str">
        <x:v>New Orleans Saints</x:v>
      </x:c>
      <x:c r="G1154" t="str">
        <x:v>NO</x:v>
      </x:c>
      <x:c r="H1154" s="69" t="n">
        <x:v>0</x:v>
      </x:c>
      <x:c r="I1154" t="str">
        <x:v>1-1</x:v>
      </x:c>
      <x:c r="J1154" t="str">
        <x:f>IF(E1154&lt;&gt;TRUE,"",IF(H1154&gt;M1154,"W",IF(H1154&lt;M1154,"L","T")))</x:f>
      </x:c>
      <x:c r="K1154" t="str">
        <x:v>Atlanta Falcons</x:v>
      </x:c>
      <x:c r="L1154" t="str">
        <x:v>ATL</x:v>
      </x:c>
      <x:c r="M1154" s="69" t="n">
        <x:v>0</x:v>
      </x:c>
      <x:c r="N1154" t="str">
        <x:v>0-2</x:v>
      </x:c>
      <x:c r="O1154" t="str">
        <x:f>IF(E1154&lt;&gt;TRUE,"",IF(M1154&gt;H1154,"W",IF(M1154&lt;H1154,"L","T")))</x:f>
      </x:c>
      <x:c r="P1154" s="66" t="b">
        <x:v>0</x:v>
      </x:c>
      <x:c r="Q1154" s="66" t="b">
        <x:v>0</x:v>
      </x:c>
      <x:c r="R1154" t="str">
        <x:v>Mercedes-Benz Stadium</x:v>
      </x:c>
      <x:c r="S1154" t="str">
        <x:v>FOX</x:v>
      </x:c>
      <x:c r="T1154" t="str">
        <x:v>ATL -1.5</x:v>
      </x:c>
      <x:c r="U1154" s="70" t="n">
        <x:v>-1.5</x:v>
      </x:c>
      <x:c r="V1154" s="70" t="n">
        <x:v>44.5</x:v>
      </x:c>
      <x:c r="W1154" t="str">
        <x:v>DraftKings</x:v>
      </x:c>
      <x:c r="X1154" t="str">
        <x:v>https://www.espn.com/nfl/game/_/gameId/401873164</x:v>
      </x:c>
    </x:row>
    <x:row r="1155">
      <x:c r="A1155" t="str">
        <x:v>NFL</x:v>
      </x:c>
      <x:c r="B1155" t="n">
        <x:v>17</x:v>
      </x:c>
      <x:c r="C1155" s="68" t="n">
        <x:v>46390.75</x:v>
      </x:c>
      <x:c r="D1155" s="71" t="str">
        <x:v>pre</x:v>
      </x:c>
      <x:c r="E1155" s="72" t="b">
        <x:v>0</x:v>
      </x:c>
      <x:c r="F1155" t="str">
        <x:v>New York Giants</x:v>
      </x:c>
      <x:c r="G1155" t="str">
        <x:v>NYG</x:v>
      </x:c>
      <x:c r="H1155" s="69" t="n">
        <x:v>0</x:v>
      </x:c>
      <x:c r="I1155" t="str">
        <x:v>1-0</x:v>
      </x:c>
      <x:c r="J1155" t="str">
        <x:f>IF(E1155&lt;&gt;TRUE,"",IF(H1155&gt;M1155,"W",IF(H1155&lt;M1155,"L","T")))</x:f>
      </x:c>
      <x:c r="K1155" t="str">
        <x:v>Dallas Cowboys</x:v>
      </x:c>
      <x:c r="L1155" t="str">
        <x:v>DAL</x:v>
      </x:c>
      <x:c r="M1155" s="69" t="n">
        <x:v>0</x:v>
      </x:c>
      <x:c r="N1155" t="str">
        <x:v>1-1</x:v>
      </x:c>
      <x:c r="O1155" t="str">
        <x:f>IF(E1155&lt;&gt;TRUE,"",IF(M1155&gt;H1155,"W",IF(M1155&lt;H1155,"L","T")))</x:f>
      </x:c>
      <x:c r="P1155" s="66" t="b">
        <x:v>0</x:v>
      </x:c>
      <x:c r="Q1155" s="66" t="b">
        <x:v>0</x:v>
      </x:c>
      <x:c r="R1155" t="str">
        <x:v>AT&amp;T Stadium</x:v>
      </x:c>
      <x:c r="S1155" t="str">
        <x:v>FOX</x:v>
      </x:c>
      <x:c r="T1155" t="str">
        <x:v>DAL -4.5</x:v>
      </x:c>
      <x:c r="U1155" s="70" t="n">
        <x:v>-4.5</x:v>
      </x:c>
      <x:c r="V1155" s="70" t="n">
        <x:v>49.5</x:v>
      </x:c>
      <x:c r="W1155" t="str">
        <x:v>DraftKings</x:v>
      </x:c>
      <x:c r="X1155" t="str">
        <x:v>https://www.espn.com/nfl/game/_/gameId/401873165</x:v>
      </x:c>
    </x:row>
    <x:row r="1156">
      <x:c r="A1156" t="str">
        <x:v>NFL</x:v>
      </x:c>
      <x:c r="B1156" t="n">
        <x:v>17</x:v>
      </x:c>
      <x:c r="C1156" s="68" t="n">
        <x:v>46390.75</x:v>
      </x:c>
      <x:c r="D1156" s="71" t="str">
        <x:v>pre</x:v>
      </x:c>
      <x:c r="E1156" s="72" t="b">
        <x:v>0</x:v>
      </x:c>
      <x:c r="F1156" t="str">
        <x:v>Pittsburgh Steelers</x:v>
      </x:c>
      <x:c r="G1156" t="str">
        <x:v>PIT</x:v>
      </x:c>
      <x:c r="H1156" s="69" t="n">
        <x:v>0</x:v>
      </x:c>
      <x:c r="I1156" t="str">
        <x:v>1-1</x:v>
      </x:c>
      <x:c r="J1156" t="str">
        <x:f>IF(E1156&lt;&gt;TRUE,"",IF(H1156&gt;M1156,"W",IF(H1156&lt;M1156,"L","T")))</x:f>
      </x:c>
      <x:c r="K1156" t="str">
        <x:v>Tennessee Titans</x:v>
      </x:c>
      <x:c r="L1156" t="str">
        <x:v>TEN</x:v>
      </x:c>
      <x:c r="M1156" s="69" t="n">
        <x:v>0</x:v>
      </x:c>
      <x:c r="N1156" t="str">
        <x:v>0-2</x:v>
      </x:c>
      <x:c r="O1156" t="str">
        <x:f>IF(E1156&lt;&gt;TRUE,"",IF(M1156&gt;H1156,"W",IF(M1156&lt;H1156,"L","T")))</x:f>
      </x:c>
      <x:c r="P1156" s="66" t="b">
        <x:v>0</x:v>
      </x:c>
      <x:c r="Q1156" s="66" t="b">
        <x:v>0</x:v>
      </x:c>
      <x:c r="R1156" t="str">
        <x:v>Nissan Stadium</x:v>
      </x:c>
      <x:c r="S1156" t="str">
        <x:v>CBS</x:v>
      </x:c>
      <x:c r="T1156" t="str">
        <x:v>PIT -1.5</x:v>
      </x:c>
      <x:c r="U1156" s="70" t="n">
        <x:v>1.5</x:v>
      </x:c>
      <x:c r="V1156" s="70" t="n">
        <x:v>42.5</x:v>
      </x:c>
      <x:c r="W1156" t="str">
        <x:v>DraftKings</x:v>
      </x:c>
      <x:c r="X1156" t="str">
        <x:v>https://www.espn.com/nfl/game/_/gameId/401873166</x:v>
      </x:c>
    </x:row>
    <x:row r="1157">
      <x:c r="A1157" t="str">
        <x:v>NFL</x:v>
      </x:c>
      <x:c r="B1157" t="n">
        <x:v>17</x:v>
      </x:c>
      <x:c r="C1157" s="68" t="n">
        <x:v>46390.75</x:v>
      </x:c>
      <x:c r="D1157" s="71" t="str">
        <x:v>pre</x:v>
      </x:c>
      <x:c r="E1157" s="72" t="b">
        <x:v>0</x:v>
      </x:c>
      <x:c r="F1157" t="str">
        <x:v>Seattle Seahawks</x:v>
      </x:c>
      <x:c r="G1157" t="str">
        <x:v>SEA</x:v>
      </x:c>
      <x:c r="H1157" s="69" t="n">
        <x:v>0</x:v>
      </x:c>
      <x:c r="I1157" t="str">
        <x:v>2-0</x:v>
      </x:c>
      <x:c r="J1157" t="str">
        <x:f>IF(E1157&lt;&gt;TRUE,"",IF(H1157&gt;M1157,"W",IF(H1157&lt;M1157,"L","T")))</x:f>
      </x:c>
      <x:c r="K1157" t="str">
        <x:v>Carolina Panthers</x:v>
      </x:c>
      <x:c r="L1157" t="str">
        <x:v>CAR</x:v>
      </x:c>
      <x:c r="M1157" s="69" t="n">
        <x:v>0</x:v>
      </x:c>
      <x:c r="N1157" t="str">
        <x:v>1-1</x:v>
      </x:c>
      <x:c r="O1157" t="str">
        <x:f>IF(E1157&lt;&gt;TRUE,"",IF(M1157&gt;H1157,"W",IF(M1157&lt;H1157,"L","T")))</x:f>
      </x:c>
      <x:c r="P1157" s="66" t="b">
        <x:v>0</x:v>
      </x:c>
      <x:c r="Q1157" s="66" t="b">
        <x:v>0</x:v>
      </x:c>
      <x:c r="R1157" t="str">
        <x:v>Bank of America Stadium</x:v>
      </x:c>
      <x:c r="S1157" t="str">
        <x:v>FOX</x:v>
      </x:c>
      <x:c r="T1157" t="str">
        <x:v>SEA -5.5</x:v>
      </x:c>
      <x:c r="U1157" s="70" t="n">
        <x:v>5.5</x:v>
      </x:c>
      <x:c r="V1157" s="70" t="n">
        <x:v>42.5</x:v>
      </x:c>
      <x:c r="W1157" t="str">
        <x:v>DraftKings</x:v>
      </x:c>
      <x:c r="X1157" t="str">
        <x:v>https://www.espn.com/nfl/game/_/gameId/401873167</x:v>
      </x:c>
    </x:row>
    <x:row r="1158">
      <x:c r="A1158" t="str">
        <x:v>NFL</x:v>
      </x:c>
      <x:c r="B1158" t="n">
        <x:v>17</x:v>
      </x:c>
      <x:c r="C1158" s="68" t="n">
        <x:v>46390.87847222222</x:v>
      </x:c>
      <x:c r="D1158" s="71" t="str">
        <x:v>pre</x:v>
      </x:c>
      <x:c r="E1158" s="72" t="b">
        <x:v>0</x:v>
      </x:c>
      <x:c r="F1158" t="str">
        <x:v>Las Vegas Raiders</x:v>
      </x:c>
      <x:c r="G1158" t="str">
        <x:v>LV</x:v>
      </x:c>
      <x:c r="H1158" s="69" t="n">
        <x:v>0</x:v>
      </x:c>
      <x:c r="I1158" t="str">
        <x:v>2-0</x:v>
      </x:c>
      <x:c r="J1158" t="str">
        <x:f>IF(E1158&lt;&gt;TRUE,"",IF(H1158&gt;M1158,"W",IF(H1158&lt;M1158,"L","T")))</x:f>
      </x:c>
      <x:c r="K1158" t="str">
        <x:v>Arizona Cardinals</x:v>
      </x:c>
      <x:c r="L1158" t="str">
        <x:v>ARI</x:v>
      </x:c>
      <x:c r="M1158" s="69" t="n">
        <x:v>0</x:v>
      </x:c>
      <x:c r="N1158" t="str">
        <x:v>1-1</x:v>
      </x:c>
      <x:c r="O1158" t="str">
        <x:f>IF(E1158&lt;&gt;TRUE,"",IF(M1158&gt;H1158,"W",IF(M1158&lt;H1158,"L","T")))</x:f>
      </x:c>
      <x:c r="P1158" s="66" t="b">
        <x:v>0</x:v>
      </x:c>
      <x:c r="Q1158" s="66" t="b">
        <x:v>0</x:v>
      </x:c>
      <x:c r="R1158" t="str">
        <x:v>State Farm Stadium</x:v>
      </x:c>
      <x:c r="S1158" t="str">
        <x:v>CBS</x:v>
      </x:c>
      <x:c r="T1158" t="str">
        <x:v>LV -1.5</x:v>
      </x:c>
      <x:c r="U1158" s="70" t="n">
        <x:v>1.5</x:v>
      </x:c>
      <x:c r="V1158" s="70" t="n">
        <x:v>42.5</x:v>
      </x:c>
      <x:c r="W1158" t="str">
        <x:v>DraftKings</x:v>
      </x:c>
      <x:c r="X1158" t="str">
        <x:v>https://www.espn.com/nfl/game/_/gameId/401873168</x:v>
      </x:c>
    </x:row>
    <x:row r="1159">
      <x:c r="A1159" t="str">
        <x:v>NFL</x:v>
      </x:c>
      <x:c r="B1159" t="n">
        <x:v>17</x:v>
      </x:c>
      <x:c r="C1159" s="68" t="n">
        <x:v>46390.89236111111</x:v>
      </x:c>
      <x:c r="D1159" s="71" t="str">
        <x:v>pre</x:v>
      </x:c>
      <x:c r="E1159" s="72" t="b">
        <x:v>0</x:v>
      </x:c>
      <x:c r="F1159" t="str">
        <x:v>Detroit Lions</x:v>
      </x:c>
      <x:c r="G1159" t="str">
        <x:v>DET</x:v>
      </x:c>
      <x:c r="H1159" s="69" t="n">
        <x:v>0</x:v>
      </x:c>
      <x:c r="I1159" t="str">
        <x:v>1-1</x:v>
      </x:c>
      <x:c r="J1159" t="str">
        <x:f>IF(E1159&lt;&gt;TRUE,"",IF(H1159&gt;M1159,"W",IF(H1159&lt;M1159,"L","T")))</x:f>
      </x:c>
      <x:c r="K1159" t="str">
        <x:v>Chicago Bears</x:v>
      </x:c>
      <x:c r="L1159" t="str">
        <x:v>CHI</x:v>
      </x:c>
      <x:c r="M1159" s="69" t="n">
        <x:v>0</x:v>
      </x:c>
      <x:c r="N1159" t="str">
        <x:v>1-1</x:v>
      </x:c>
      <x:c r="O1159" t="str">
        <x:f>IF(E1159&lt;&gt;TRUE,"",IF(M1159&gt;H1159,"W",IF(M1159&lt;H1159,"L","T")))</x:f>
      </x:c>
      <x:c r="P1159" s="66" t="b">
        <x:v>0</x:v>
      </x:c>
      <x:c r="Q1159" s="66" t="b">
        <x:v>0</x:v>
      </x:c>
      <x:c r="R1159" t="str">
        <x:v>Soldier Field</x:v>
      </x:c>
      <x:c r="S1159" t="str">
        <x:v>FOX</x:v>
      </x:c>
      <x:c r="T1159" t="str">
        <x:v>CHI -1.5</x:v>
      </x:c>
      <x:c r="U1159" s="70" t="n">
        <x:v>-1.5</x:v>
      </x:c>
      <x:c r="V1159" s="70" t="n">
        <x:v>49.5</x:v>
      </x:c>
      <x:c r="W1159" t="str">
        <x:v>DraftKings</x:v>
      </x:c>
      <x:c r="X1159" t="str">
        <x:v>https://www.espn.com/nfl/game/_/gameId/401873169</x:v>
      </x:c>
    </x:row>
    <x:row r="1160">
      <x:c r="A1160" t="str">
        <x:v>NFL</x:v>
      </x:c>
      <x:c r="B1160" t="n">
        <x:v>17</x:v>
      </x:c>
      <x:c r="C1160" s="68" t="n">
        <x:v>46391.055555555555</x:v>
      </x:c>
      <x:c r="D1160" s="71" t="str">
        <x:v>pre</x:v>
      </x:c>
      <x:c r="E1160" s="72" t="b">
        <x:v>0</x:v>
      </x:c>
      <x:c r="F1160" t="str">
        <x:v>Philadelphia Eagles</x:v>
      </x:c>
      <x:c r="G1160" t="str">
        <x:v>PHI</x:v>
      </x:c>
      <x:c r="H1160" s="69" t="n">
        <x:v>0</x:v>
      </x:c>
      <x:c r="I1160" t="str">
        <x:v>2-0</x:v>
      </x:c>
      <x:c r="J1160" t="str">
        <x:f>IF(E1160&lt;&gt;TRUE,"",IF(H1160&gt;M1160,"W",IF(H1160&lt;M1160,"L","T")))</x:f>
      </x:c>
      <x:c r="K1160" t="str">
        <x:v>San Francisco 49ers</x:v>
      </x:c>
      <x:c r="L1160" t="str">
        <x:v>SF</x:v>
      </x:c>
      <x:c r="M1160" s="69" t="n">
        <x:v>0</x:v>
      </x:c>
      <x:c r="N1160" t="str">
        <x:v>2-0</x:v>
      </x:c>
      <x:c r="O1160" t="str">
        <x:f>IF(E1160&lt;&gt;TRUE,"",IF(M1160&gt;H1160,"W",IF(M1160&lt;H1160,"L","T")))</x:f>
      </x:c>
      <x:c r="P1160" s="66" t="b">
        <x:v>0</x:v>
      </x:c>
      <x:c r="Q1160" s="66" t="b">
        <x:v>0</x:v>
      </x:c>
      <x:c r="R1160" t="str">
        <x:v>Levi's Stadium</x:v>
      </x:c>
      <x:c r="S1160" t="str">
        <x:v>NBC</x:v>
      </x:c>
      <x:c r="T1160" t="str">
        <x:v>SF -1.5</x:v>
      </x:c>
      <x:c r="U1160" s="70" t="n">
        <x:v>-1.5</x:v>
      </x:c>
      <x:c r="V1160" s="70" t="n">
        <x:v>45.5</x:v>
      </x:c>
      <x:c r="W1160" t="str">
        <x:v>DraftKings</x:v>
      </x:c>
      <x:c r="X1160" t="str">
        <x:v>https://www.espn.com/nfl/game/_/gameId/401873170</x:v>
      </x:c>
    </x:row>
    <x:row r="1161">
      <x:c r="A1161" t="str">
        <x:v>NFL</x:v>
      </x:c>
      <x:c r="B1161" t="n">
        <x:v>17</x:v>
      </x:c>
      <x:c r="C1161" s="68" t="n">
        <x:v>46392.052083333336</x:v>
      </x:c>
      <x:c r="D1161" s="71" t="str">
        <x:v>pre</x:v>
      </x:c>
      <x:c r="E1161" s="72" t="b">
        <x:v>0</x:v>
      </x:c>
      <x:c r="F1161" t="str">
        <x:v>Houston Texans</x:v>
      </x:c>
      <x:c r="G1161" t="str">
        <x:v>HOU</x:v>
      </x:c>
      <x:c r="H1161" s="69" t="n">
        <x:v>0</x:v>
      </x:c>
      <x:c r="I1161" t="str">
        <x:v>0-2</x:v>
      </x:c>
      <x:c r="J1161" t="str">
        <x:f>IF(E1161&lt;&gt;TRUE,"",IF(H1161&gt;M1161,"W",IF(H1161&lt;M1161,"L","T")))</x:f>
      </x:c>
      <x:c r="K1161" t="str">
        <x:v>Green Bay Packers</x:v>
      </x:c>
      <x:c r="L1161" t="str">
        <x:v>GB</x:v>
      </x:c>
      <x:c r="M1161" s="69" t="n">
        <x:v>0</x:v>
      </x:c>
      <x:c r="N1161" t="str">
        <x:v>1-1</x:v>
      </x:c>
      <x:c r="O1161" t="str">
        <x:f>IF(E1161&lt;&gt;TRUE,"",IF(M1161&gt;H1161,"W",IF(M1161&lt;H1161,"L","T")))</x:f>
      </x:c>
      <x:c r="P1161" s="66" t="b">
        <x:v>0</x:v>
      </x:c>
      <x:c r="Q1161" s="66" t="b">
        <x:v>0</x:v>
      </x:c>
      <x:c r="R1161" t="str">
        <x:v>Lambeau Field</x:v>
      </x:c>
      <x:c r="S1161" t="str">
        <x:v>ESPN</x:v>
      </x:c>
      <x:c r="T1161" t="str">
        <x:v>GB -2.5</x:v>
      </x:c>
      <x:c r="U1161" s="70" t="n">
        <x:v>-2.5</x:v>
      </x:c>
      <x:c r="V1161" s="70" t="n">
        <x:v>42.5</x:v>
      </x:c>
      <x:c r="W1161" t="str">
        <x:v>DraftKings</x:v>
      </x:c>
      <x:c r="X1161" t="str">
        <x:v>https://www.espn.com/nfl/game/_/gameId/401873171</x:v>
      </x:c>
    </x:row>
    <x:row r="1162">
      <x:c r="A1162" t="str">
        <x:v>NFL</x:v>
      </x:c>
      <x:c r="B1162" t="n">
        <x:v>18</x:v>
      </x:c>
      <x:c r="C1162" s="68" t="n">
        <x:v>46397.208333333336</x:v>
      </x:c>
      <x:c r="D1162" s="71" t="str">
        <x:v>pre</x:v>
      </x:c>
      <x:c r="E1162" s="72" t="b">
        <x:v>0</x:v>
      </x:c>
      <x:c r="F1162" t="str">
        <x:v>Atlanta Falcons</x:v>
      </x:c>
      <x:c r="G1162" t="str">
        <x:v>ATL</x:v>
      </x:c>
      <x:c r="H1162" s="69" t="n">
        <x:v>0</x:v>
      </x:c>
      <x:c r="I1162" t="str">
        <x:v>0-2</x:v>
      </x:c>
      <x:c r="J1162" t="str">
        <x:f>IF(E1162&lt;&gt;TRUE,"",IF(H1162&gt;M1162,"W",IF(H1162&lt;M1162,"L","T")))</x:f>
      </x:c>
      <x:c r="K1162" t="str">
        <x:v>Carolina Panthers</x:v>
      </x:c>
      <x:c r="L1162" t="str">
        <x:v>CAR</x:v>
      </x:c>
      <x:c r="M1162" s="69" t="n">
        <x:v>0</x:v>
      </x:c>
      <x:c r="N1162" t="str">
        <x:v>1-1</x:v>
      </x:c>
      <x:c r="O1162" t="str">
        <x:f>IF(E1162&lt;&gt;TRUE,"",IF(M1162&gt;H1162,"W",IF(M1162&lt;H1162,"L","T")))</x:f>
      </x:c>
      <x:c r="P1162" s="66" t="b">
        <x:v>0</x:v>
      </x:c>
      <x:c r="Q1162" s="66" t="b">
        <x:v>0</x:v>
      </x:c>
      <x:c r="R1162" t="str">
        <x:v>Bank of America Stadium</x:v>
      </x:c>
      <x:c r="S1162" t="str"/>
      <x:c r="T1162" t="str">
        <x:v>CAR -2.5</x:v>
      </x:c>
      <x:c r="U1162" s="70" t="n">
        <x:v>-2.5</x:v>
      </x:c>
      <x:c r="V1162" s="70" t="n">
        <x:v>41.5</x:v>
      </x:c>
      <x:c r="W1162" t="str">
        <x:v>DraftKings</x:v>
      </x:c>
      <x:c r="X1162" t="str">
        <x:v>https://www.espn.com/nfl/game/_/gameId/401873172</x:v>
      </x:c>
    </x:row>
    <x:row r="1163">
      <x:c r="A1163" t="str">
        <x:v>NFL</x:v>
      </x:c>
      <x:c r="B1163" t="n">
        <x:v>18</x:v>
      </x:c>
      <x:c r="C1163" s="68" t="n">
        <x:v>46397.208333333336</x:v>
      </x:c>
      <x:c r="D1163" s="71" t="str">
        <x:v>pre</x:v>
      </x:c>
      <x:c r="E1163" s="72" t="b">
        <x:v>0</x:v>
      </x:c>
      <x:c r="F1163" t="str">
        <x:v>Chicago Bears</x:v>
      </x:c>
      <x:c r="G1163" t="str">
        <x:v>CHI</x:v>
      </x:c>
      <x:c r="H1163" s="69" t="n">
        <x:v>0</x:v>
      </x:c>
      <x:c r="I1163" t="str">
        <x:v>1-1</x:v>
      </x:c>
      <x:c r="J1163" t="str">
        <x:f>IF(E1163&lt;&gt;TRUE,"",IF(H1163&gt;M1163,"W",IF(H1163&lt;M1163,"L","T")))</x:f>
      </x:c>
      <x:c r="K1163" t="str">
        <x:v>Minnesota Vikings</x:v>
      </x:c>
      <x:c r="L1163" t="str">
        <x:v>MIN</x:v>
      </x:c>
      <x:c r="M1163" s="69" t="n">
        <x:v>0</x:v>
      </x:c>
      <x:c r="N1163" t="str">
        <x:v>2-0</x:v>
      </x:c>
      <x:c r="O1163" t="str">
        <x:f>IF(E1163&lt;&gt;TRUE,"",IF(M1163&gt;H1163,"W",IF(M1163&lt;H1163,"L","T")))</x:f>
      </x:c>
      <x:c r="P1163" s="66" t="b">
        <x:v>0</x:v>
      </x:c>
      <x:c r="Q1163" s="66" t="b">
        <x:v>0</x:v>
      </x:c>
      <x:c r="R1163" t="str">
        <x:v>U.S. Bank Stadium</x:v>
      </x:c>
      <x:c r="S1163" t="str"/>
      <x:c r="T1163" t="str">
        <x:v>MIN -1.5</x:v>
      </x:c>
      <x:c r="U1163" s="70" t="n">
        <x:v>-1.5</x:v>
      </x:c>
      <x:c r="V1163" s="70" t="n">
        <x:v>43.5</x:v>
      </x:c>
      <x:c r="W1163" t="str">
        <x:v>DraftKings</x:v>
      </x:c>
      <x:c r="X1163" t="str">
        <x:v>https://www.espn.com/nfl/game/_/gameId/401873173</x:v>
      </x:c>
    </x:row>
    <x:row r="1164">
      <x:c r="A1164" t="str">
        <x:v>NFL</x:v>
      </x:c>
      <x:c r="B1164" t="n">
        <x:v>18</x:v>
      </x:c>
      <x:c r="C1164" s="68" t="n">
        <x:v>46397.208333333336</x:v>
      </x:c>
      <x:c r="D1164" s="71" t="str">
        <x:v>pre</x:v>
      </x:c>
      <x:c r="E1164" s="72" t="b">
        <x:v>0</x:v>
      </x:c>
      <x:c r="F1164" t="str">
        <x:v>Cleveland Browns</x:v>
      </x:c>
      <x:c r="G1164" t="str">
        <x:v>CLE</x:v>
      </x:c>
      <x:c r="H1164" s="69" t="n">
        <x:v>0</x:v>
      </x:c>
      <x:c r="I1164" t="str">
        <x:v>1-1</x:v>
      </x:c>
      <x:c r="J1164" t="str">
        <x:f>IF(E1164&lt;&gt;TRUE,"",IF(H1164&gt;M1164,"W",IF(H1164&lt;M1164,"L","T")))</x:f>
      </x:c>
      <x:c r="K1164" t="str">
        <x:v>Cincinnati Bengals</x:v>
      </x:c>
      <x:c r="L1164" t="str">
        <x:v>CIN</x:v>
      </x:c>
      <x:c r="M1164" s="69" t="n">
        <x:v>0</x:v>
      </x:c>
      <x:c r="N1164" t="str">
        <x:v>2-0</x:v>
      </x:c>
      <x:c r="O1164" t="str">
        <x:f>IF(E1164&lt;&gt;TRUE,"",IF(M1164&gt;H1164,"W",IF(M1164&lt;H1164,"L","T")))</x:f>
      </x:c>
      <x:c r="P1164" s="66" t="b">
        <x:v>0</x:v>
      </x:c>
      <x:c r="Q1164" s="66" t="b">
        <x:v>0</x:v>
      </x:c>
      <x:c r="R1164" t="str">
        <x:v>Paycor Stadium</x:v>
      </x:c>
      <x:c r="S1164" t="str"/>
      <x:c r="T1164" t="str">
        <x:v>CIN -7.5</x:v>
      </x:c>
      <x:c r="U1164" s="70" t="n">
        <x:v>-7.5</x:v>
      </x:c>
      <x:c r="V1164" s="70" t="n">
        <x:v>43.5</x:v>
      </x:c>
      <x:c r="W1164" t="str">
        <x:v>DraftKings</x:v>
      </x:c>
      <x:c r="X1164" t="str">
        <x:v>https://www.espn.com/nfl/game/_/gameId/401873174</x:v>
      </x:c>
    </x:row>
    <x:row r="1165">
      <x:c r="A1165" t="str">
        <x:v>NFL</x:v>
      </x:c>
      <x:c r="B1165" t="n">
        <x:v>18</x:v>
      </x:c>
      <x:c r="C1165" s="68" t="n">
        <x:v>46397.208333333336</x:v>
      </x:c>
      <x:c r="D1165" s="71" t="str">
        <x:v>pre</x:v>
      </x:c>
      <x:c r="E1165" s="72" t="b">
        <x:v>0</x:v>
      </x:c>
      <x:c r="F1165" t="str">
        <x:v>Dallas Cowboys</x:v>
      </x:c>
      <x:c r="G1165" t="str">
        <x:v>DAL</x:v>
      </x:c>
      <x:c r="H1165" s="69" t="n">
        <x:v>0</x:v>
      </x:c>
      <x:c r="I1165" t="str">
        <x:v>1-1</x:v>
      </x:c>
      <x:c r="J1165" t="str">
        <x:f>IF(E1165&lt;&gt;TRUE,"",IF(H1165&gt;M1165,"W",IF(H1165&lt;M1165,"L","T")))</x:f>
      </x:c>
      <x:c r="K1165" t="str">
        <x:v>Washington Commanders</x:v>
      </x:c>
      <x:c r="L1165" t="str">
        <x:v>WSH</x:v>
      </x:c>
      <x:c r="M1165" s="69" t="n">
        <x:v>0</x:v>
      </x:c>
      <x:c r="N1165" t="str">
        <x:v>0-2</x:v>
      </x:c>
      <x:c r="O1165" t="str">
        <x:f>IF(E1165&lt;&gt;TRUE,"",IF(M1165&gt;H1165,"W",IF(M1165&lt;H1165,"L","T")))</x:f>
      </x:c>
      <x:c r="P1165" s="66" t="b">
        <x:v>0</x:v>
      </x:c>
      <x:c r="Q1165" s="66" t="b">
        <x:v>0</x:v>
      </x:c>
      <x:c r="R1165" t="str">
        <x:v>Northwest Stadium</x:v>
      </x:c>
      <x:c r="S1165" t="str"/>
      <x:c r="T1165" t="str">
        <x:v>DAL -1.5</x:v>
      </x:c>
      <x:c r="U1165" s="70" t="n">
        <x:v>1.5</x:v>
      </x:c>
      <x:c r="V1165" s="70" t="n">
        <x:v>49.5</x:v>
      </x:c>
      <x:c r="W1165" t="str">
        <x:v>DraftKings</x:v>
      </x:c>
      <x:c r="X1165" t="str">
        <x:v>https://www.espn.com/nfl/game/_/gameId/401873175</x:v>
      </x:c>
    </x:row>
    <x:row r="1166">
      <x:c r="A1166" t="str">
        <x:v>NFL</x:v>
      </x:c>
      <x:c r="B1166" t="n">
        <x:v>18</x:v>
      </x:c>
      <x:c r="C1166" s="68" t="n">
        <x:v>46397.208333333336</x:v>
      </x:c>
      <x:c r="D1166" s="71" t="str">
        <x:v>pre</x:v>
      </x:c>
      <x:c r="E1166" s="72" t="b">
        <x:v>0</x:v>
      </x:c>
      <x:c r="F1166" t="str">
        <x:v>Detroit Lions</x:v>
      </x:c>
      <x:c r="G1166" t="str">
        <x:v>DET</x:v>
      </x:c>
      <x:c r="H1166" s="69" t="n">
        <x:v>0</x:v>
      </x:c>
      <x:c r="I1166" t="str">
        <x:v>1-1</x:v>
      </x:c>
      <x:c r="J1166" t="str">
        <x:f>IF(E1166&lt;&gt;TRUE,"",IF(H1166&gt;M1166,"W",IF(H1166&lt;M1166,"L","T")))</x:f>
      </x:c>
      <x:c r="K1166" t="str">
        <x:v>Green Bay Packers</x:v>
      </x:c>
      <x:c r="L1166" t="str">
        <x:v>GB</x:v>
      </x:c>
      <x:c r="M1166" s="69" t="n">
        <x:v>0</x:v>
      </x:c>
      <x:c r="N1166" t="str">
        <x:v>1-1</x:v>
      </x:c>
      <x:c r="O1166" t="str">
        <x:f>IF(E1166&lt;&gt;TRUE,"",IF(M1166&gt;H1166,"W",IF(M1166&lt;H1166,"L","T")))</x:f>
      </x:c>
      <x:c r="P1166" s="66" t="b">
        <x:v>0</x:v>
      </x:c>
      <x:c r="Q1166" s="66" t="b">
        <x:v>0</x:v>
      </x:c>
      <x:c r="R1166" t="str">
        <x:v>Lambeau Field</x:v>
      </x:c>
      <x:c r="S1166" t="str"/>
      <x:c r="T1166" t="str">
        <x:v>GB -2.5</x:v>
      </x:c>
      <x:c r="U1166" s="70" t="n">
        <x:v>-2.5</x:v>
      </x:c>
      <x:c r="V1166" s="70" t="n">
        <x:v>47.5</x:v>
      </x:c>
      <x:c r="W1166" t="str">
        <x:v>DraftKings</x:v>
      </x:c>
      <x:c r="X1166" t="str">
        <x:v>https://www.espn.com/nfl/game/_/gameId/401873176</x:v>
      </x:c>
    </x:row>
    <x:row r="1167">
      <x:c r="A1167" t="str">
        <x:v>NFL</x:v>
      </x:c>
      <x:c r="B1167" t="n">
        <x:v>18</x:v>
      </x:c>
      <x:c r="C1167" s="68" t="n">
        <x:v>46397.208333333336</x:v>
      </x:c>
      <x:c r="D1167" s="71" t="str">
        <x:v>pre</x:v>
      </x:c>
      <x:c r="E1167" s="72" t="b">
        <x:v>0</x:v>
      </x:c>
      <x:c r="F1167" t="str">
        <x:v>Jacksonville Jaguars</x:v>
      </x:c>
      <x:c r="G1167" t="str">
        <x:v>JAX</x:v>
      </x:c>
      <x:c r="H1167" s="69" t="n">
        <x:v>0</x:v>
      </x:c>
      <x:c r="I1167" t="str">
        <x:v>1-1</x:v>
      </x:c>
      <x:c r="J1167" t="str">
        <x:f>IF(E1167&lt;&gt;TRUE,"",IF(H1167&gt;M1167,"W",IF(H1167&lt;M1167,"L","T")))</x:f>
      </x:c>
      <x:c r="K1167" t="str">
        <x:v>Indianapolis Colts</x:v>
      </x:c>
      <x:c r="L1167" t="str">
        <x:v>IND</x:v>
      </x:c>
      <x:c r="M1167" s="69" t="n">
        <x:v>0</x:v>
      </x:c>
      <x:c r="N1167" t="str">
        <x:v>0-2</x:v>
      </x:c>
      <x:c r="O1167" t="str">
        <x:f>IF(E1167&lt;&gt;TRUE,"",IF(M1167&gt;H1167,"W",IF(M1167&lt;H1167,"L","T")))</x:f>
      </x:c>
      <x:c r="P1167" s="66" t="b">
        <x:v>0</x:v>
      </x:c>
      <x:c r="Q1167" s="66" t="b">
        <x:v>0</x:v>
      </x:c>
      <x:c r="R1167" t="str">
        <x:v>Lucas Oil Stadium</x:v>
      </x:c>
      <x:c r="S1167" t="str"/>
      <x:c r="T1167" t="str">
        <x:v>IND -1.5</x:v>
      </x:c>
      <x:c r="U1167" s="70" t="n">
        <x:v>-1.5</x:v>
      </x:c>
      <x:c r="V1167" s="70" t="n">
        <x:v>46.5</x:v>
      </x:c>
      <x:c r="W1167" t="str">
        <x:v>DraftKings</x:v>
      </x:c>
      <x:c r="X1167" t="str">
        <x:v>https://www.espn.com/nfl/game/_/gameId/401873177</x:v>
      </x:c>
    </x:row>
    <x:row r="1168">
      <x:c r="A1168" t="str">
        <x:v>NFL</x:v>
      </x:c>
      <x:c r="B1168" t="n">
        <x:v>18</x:v>
      </x:c>
      <x:c r="C1168" s="68" t="n">
        <x:v>46397.208333333336</x:v>
      </x:c>
      <x:c r="D1168" s="71" t="str">
        <x:v>pre</x:v>
      </x:c>
      <x:c r="E1168" s="72" t="b">
        <x:v>0</x:v>
      </x:c>
      <x:c r="F1168" t="str">
        <x:v>Las Vegas Raiders</x:v>
      </x:c>
      <x:c r="G1168" t="str">
        <x:v>LV</x:v>
      </x:c>
      <x:c r="H1168" s="69" t="n">
        <x:v>0</x:v>
      </x:c>
      <x:c r="I1168" t="str">
        <x:v>2-0</x:v>
      </x:c>
      <x:c r="J1168" t="str">
        <x:f>IF(E1168&lt;&gt;TRUE,"",IF(H1168&gt;M1168,"W",IF(H1168&lt;M1168,"L","T")))</x:f>
      </x:c>
      <x:c r="K1168" t="str">
        <x:v>Kansas City Chiefs</x:v>
      </x:c>
      <x:c r="L1168" t="str">
        <x:v>KC</x:v>
      </x:c>
      <x:c r="M1168" s="69" t="n">
        <x:v>0</x:v>
      </x:c>
      <x:c r="N1168" t="str">
        <x:v>2-0</x:v>
      </x:c>
      <x:c r="O1168" t="str">
        <x:f>IF(E1168&lt;&gt;TRUE,"",IF(M1168&gt;H1168,"W",IF(M1168&lt;H1168,"L","T")))</x:f>
      </x:c>
      <x:c r="P1168" s="66" t="b">
        <x:v>0</x:v>
      </x:c>
      <x:c r="Q1168" s="66" t="b">
        <x:v>0</x:v>
      </x:c>
      <x:c r="R1168" t="str">
        <x:v>Arrowhead Stadium</x:v>
      </x:c>
      <x:c r="S1168" t="str"/>
      <x:c r="T1168" t="str">
        <x:v>KC -8.5</x:v>
      </x:c>
      <x:c r="U1168" s="70" t="n">
        <x:v>-8.5</x:v>
      </x:c>
      <x:c r="V1168" s="70" t="n">
        <x:v>40.5</x:v>
      </x:c>
      <x:c r="W1168" t="str">
        <x:v>DraftKings</x:v>
      </x:c>
      <x:c r="X1168" t="str">
        <x:v>https://www.espn.com/nfl/game/_/gameId/401873178</x:v>
      </x:c>
    </x:row>
    <x:row r="1169">
      <x:c r="A1169" t="str">
        <x:v>NFL</x:v>
      </x:c>
      <x:c r="B1169" t="n">
        <x:v>18</x:v>
      </x:c>
      <x:c r="C1169" s="68" t="n">
        <x:v>46397.208333333336</x:v>
      </x:c>
      <x:c r="D1169" s="71" t="str">
        <x:v>pre</x:v>
      </x:c>
      <x:c r="E1169" s="72" t="b">
        <x:v>0</x:v>
      </x:c>
      <x:c r="F1169" t="str">
        <x:v>Los Angeles Chargers</x:v>
      </x:c>
      <x:c r="G1169" t="str">
        <x:v>LAC</x:v>
      </x:c>
      <x:c r="H1169" s="69" t="n">
        <x:v>0</x:v>
      </x:c>
      <x:c r="I1169" t="str">
        <x:v>0-2</x:v>
      </x:c>
      <x:c r="J1169" t="str">
        <x:f>IF(E1169&lt;&gt;TRUE,"",IF(H1169&gt;M1169,"W",IF(H1169&lt;M1169,"L","T")))</x:f>
      </x:c>
      <x:c r="K1169" t="str">
        <x:v>Denver Broncos</x:v>
      </x:c>
      <x:c r="L1169" t="str">
        <x:v>DEN</x:v>
      </x:c>
      <x:c r="M1169" s="69" t="n">
        <x:v>0</x:v>
      </x:c>
      <x:c r="N1169" t="str">
        <x:v>1-1</x:v>
      </x:c>
      <x:c r="O1169" t="str">
        <x:f>IF(E1169&lt;&gt;TRUE,"",IF(M1169&gt;H1169,"W",IF(M1169&lt;H1169,"L","T")))</x:f>
      </x:c>
      <x:c r="P1169" s="66" t="b">
        <x:v>0</x:v>
      </x:c>
      <x:c r="Q1169" s="66" t="b">
        <x:v>0</x:v>
      </x:c>
      <x:c r="R1169" t="str">
        <x:v>Empower Field at Mile High</x:v>
      </x:c>
      <x:c r="S1169" t="str"/>
      <x:c r="T1169" t="str">
        <x:v>DEN -1.5</x:v>
      </x:c>
      <x:c r="U1169" s="70" t="n">
        <x:v>-1.5</x:v>
      </x:c>
      <x:c r="V1169" s="70" t="n">
        <x:v>41.5</x:v>
      </x:c>
      <x:c r="W1169" t="str">
        <x:v>DraftKings</x:v>
      </x:c>
      <x:c r="X1169" t="str">
        <x:v>https://www.espn.com/nfl/game/_/gameId/401873179</x:v>
      </x:c>
    </x:row>
    <x:row r="1170">
      <x:c r="A1170" t="str">
        <x:v>NFL</x:v>
      </x:c>
      <x:c r="B1170" t="n">
        <x:v>18</x:v>
      </x:c>
      <x:c r="C1170" s="68" t="n">
        <x:v>46397.208333333336</x:v>
      </x:c>
      <x:c r="D1170" s="71" t="str">
        <x:v>pre</x:v>
      </x:c>
      <x:c r="E1170" s="72" t="b">
        <x:v>0</x:v>
      </x:c>
      <x:c r="F1170" t="str">
        <x:v>Miami Dolphins</x:v>
      </x:c>
      <x:c r="G1170" t="str">
        <x:v>MIA</x:v>
      </x:c>
      <x:c r="H1170" s="69" t="n">
        <x:v>0</x:v>
      </x:c>
      <x:c r="I1170" t="str">
        <x:v>0-2</x:v>
      </x:c>
      <x:c r="J1170" t="str">
        <x:f>IF(E1170&lt;&gt;TRUE,"",IF(H1170&gt;M1170,"W",IF(H1170&lt;M1170,"L","T")))</x:f>
      </x:c>
      <x:c r="K1170" t="str">
        <x:v>New England Patriots</x:v>
      </x:c>
      <x:c r="L1170" t="str">
        <x:v>NE</x:v>
      </x:c>
      <x:c r="M1170" s="69" t="n">
        <x:v>0</x:v>
      </x:c>
      <x:c r="N1170" t="str">
        <x:v>1-1</x:v>
      </x:c>
      <x:c r="O1170" t="str">
        <x:f>IF(E1170&lt;&gt;TRUE,"",IF(M1170&gt;H1170,"W",IF(M1170&lt;H1170,"L","T")))</x:f>
      </x:c>
      <x:c r="P1170" s="66" t="b">
        <x:v>0</x:v>
      </x:c>
      <x:c r="Q1170" s="66" t="b">
        <x:v>0</x:v>
      </x:c>
      <x:c r="R1170" t="str">
        <x:v>Gillette Stadium</x:v>
      </x:c>
      <x:c r="S1170" t="str"/>
      <x:c r="T1170" t="str">
        <x:v>NE -10.5</x:v>
      </x:c>
      <x:c r="U1170" s="70" t="n">
        <x:v>-10.5</x:v>
      </x:c>
      <x:c r="V1170" s="70" t="n">
        <x:v>42.5</x:v>
      </x:c>
      <x:c r="W1170" t="str">
        <x:v>DraftKings</x:v>
      </x:c>
      <x:c r="X1170" t="str">
        <x:v>https://www.espn.com/nfl/game/_/gameId/401873180</x:v>
      </x:c>
    </x:row>
    <x:row r="1171">
      <x:c r="A1171" t="str">
        <x:v>NFL</x:v>
      </x:c>
      <x:c r="B1171" t="n">
        <x:v>18</x:v>
      </x:c>
      <x:c r="C1171" s="68" t="n">
        <x:v>46397.208333333336</x:v>
      </x:c>
      <x:c r="D1171" s="71" t="str">
        <x:v>pre</x:v>
      </x:c>
      <x:c r="E1171" s="72" t="b">
        <x:v>0</x:v>
      </x:c>
      <x:c r="F1171" t="str">
        <x:v>New York Jets</x:v>
      </x:c>
      <x:c r="G1171" t="str">
        <x:v>NYJ</x:v>
      </x:c>
      <x:c r="H1171" s="69" t="n">
        <x:v>0</x:v>
      </x:c>
      <x:c r="I1171" t="str">
        <x:v>1-1</x:v>
      </x:c>
      <x:c r="J1171" t="str">
        <x:f>IF(E1171&lt;&gt;TRUE,"",IF(H1171&gt;M1171,"W",IF(H1171&lt;M1171,"L","T")))</x:f>
      </x:c>
      <x:c r="K1171" t="str">
        <x:v>Buffalo Bills</x:v>
      </x:c>
      <x:c r="L1171" t="str">
        <x:v>BUF</x:v>
      </x:c>
      <x:c r="M1171" s="69" t="n">
        <x:v>0</x:v>
      </x:c>
      <x:c r="N1171" t="str">
        <x:v>2-0</x:v>
      </x:c>
      <x:c r="O1171" t="str">
        <x:f>IF(E1171&lt;&gt;TRUE,"",IF(M1171&gt;H1171,"W",IF(M1171&lt;H1171,"L","T")))</x:f>
      </x:c>
      <x:c r="P1171" s="66" t="b">
        <x:v>0</x:v>
      </x:c>
      <x:c r="Q1171" s="66" t="b">
        <x:v>0</x:v>
      </x:c>
      <x:c r="R1171" t="str">
        <x:v>Highmark Stadium</x:v>
      </x:c>
      <x:c r="S1171" t="str"/>
      <x:c r="T1171" t="str">
        <x:v>BUF -10</x:v>
      </x:c>
      <x:c r="U1171" s="70" t="n">
        <x:v>-10</x:v>
      </x:c>
      <x:c r="V1171" s="70" t="n">
        <x:v>43.5</x:v>
      </x:c>
      <x:c r="W1171" t="str">
        <x:v>DraftKings</x:v>
      </x:c>
      <x:c r="X1171" t="str">
        <x:v>https://www.espn.com/nfl/game/_/gameId/401873181</x:v>
      </x:c>
    </x:row>
    <x:row r="1172">
      <x:c r="A1172" t="str">
        <x:v>NFL</x:v>
      </x:c>
      <x:c r="B1172" t="n">
        <x:v>18</x:v>
      </x:c>
      <x:c r="C1172" s="68" t="n">
        <x:v>46397.208333333336</x:v>
      </x:c>
      <x:c r="D1172" s="71" t="str">
        <x:v>pre</x:v>
      </x:c>
      <x:c r="E1172" s="72" t="b">
        <x:v>0</x:v>
      </x:c>
      <x:c r="F1172" t="str">
        <x:v>Philadelphia Eagles</x:v>
      </x:c>
      <x:c r="G1172" t="str">
        <x:v>PHI</x:v>
      </x:c>
      <x:c r="H1172" s="69" t="n">
        <x:v>0</x:v>
      </x:c>
      <x:c r="I1172" t="str">
        <x:v>2-0</x:v>
      </x:c>
      <x:c r="J1172" t="str">
        <x:f>IF(E1172&lt;&gt;TRUE,"",IF(H1172&gt;M1172,"W",IF(H1172&lt;M1172,"L","T")))</x:f>
      </x:c>
      <x:c r="K1172" t="str">
        <x:v>New York Giants</x:v>
      </x:c>
      <x:c r="L1172" t="str">
        <x:v>NYG</x:v>
      </x:c>
      <x:c r="M1172" s="69" t="n">
        <x:v>0</x:v>
      </x:c>
      <x:c r="N1172" t="str">
        <x:v>1-0</x:v>
      </x:c>
      <x:c r="O1172" t="str">
        <x:f>IF(E1172&lt;&gt;TRUE,"",IF(M1172&gt;H1172,"W",IF(M1172&lt;H1172,"L","T")))</x:f>
      </x:c>
      <x:c r="P1172" s="66" t="b">
        <x:v>0</x:v>
      </x:c>
      <x:c r="Q1172" s="66" t="b">
        <x:v>0</x:v>
      </x:c>
      <x:c r="R1172" t="str">
        <x:v>MetLife Stadium</x:v>
      </x:c>
      <x:c r="S1172" t="str"/>
      <x:c r="T1172" t="str">
        <x:v>PHI -3</x:v>
      </x:c>
      <x:c r="U1172" s="70" t="n">
        <x:v>3</x:v>
      </x:c>
      <x:c r="V1172" s="70" t="n">
        <x:v>41.5</x:v>
      </x:c>
      <x:c r="W1172" t="str">
        <x:v>DraftKings</x:v>
      </x:c>
      <x:c r="X1172" t="str">
        <x:v>https://www.espn.com/nfl/game/_/gameId/401873182</x:v>
      </x:c>
    </x:row>
    <x:row r="1173">
      <x:c r="A1173" t="str">
        <x:v>NFL</x:v>
      </x:c>
      <x:c r="B1173" t="n">
        <x:v>18</x:v>
      </x:c>
      <x:c r="C1173" s="68" t="n">
        <x:v>46397.208333333336</x:v>
      </x:c>
      <x:c r="D1173" s="71" t="str">
        <x:v>pre</x:v>
      </x:c>
      <x:c r="E1173" s="72" t="b">
        <x:v>0</x:v>
      </x:c>
      <x:c r="F1173" t="str">
        <x:v>Pittsburgh Steelers</x:v>
      </x:c>
      <x:c r="G1173" t="str">
        <x:v>PIT</x:v>
      </x:c>
      <x:c r="H1173" s="69" t="n">
        <x:v>0</x:v>
      </x:c>
      <x:c r="I1173" t="str">
        <x:v>1-1</x:v>
      </x:c>
      <x:c r="J1173" t="str">
        <x:f>IF(E1173&lt;&gt;TRUE,"",IF(H1173&gt;M1173,"W",IF(H1173&lt;M1173,"L","T")))</x:f>
      </x:c>
      <x:c r="K1173" t="str">
        <x:v>Baltimore Ravens</x:v>
      </x:c>
      <x:c r="L1173" t="str">
        <x:v>BAL</x:v>
      </x:c>
      <x:c r="M1173" s="69" t="n">
        <x:v>0</x:v>
      </x:c>
      <x:c r="N1173" t="str">
        <x:v>1-1</x:v>
      </x:c>
      <x:c r="O1173" t="str">
        <x:f>IF(E1173&lt;&gt;TRUE,"",IF(M1173&gt;H1173,"W",IF(M1173&lt;H1173,"L","T")))</x:f>
      </x:c>
      <x:c r="P1173" s="66" t="b">
        <x:v>0</x:v>
      </x:c>
      <x:c r="Q1173" s="66" t="b">
        <x:v>0</x:v>
      </x:c>
      <x:c r="R1173" t="str">
        <x:v>M&amp;T Bank Stadium</x:v>
      </x:c>
      <x:c r="S1173" t="str"/>
      <x:c r="T1173" t="str">
        <x:v>BAL -5.5</x:v>
      </x:c>
      <x:c r="U1173" s="70" t="n">
        <x:v>-5.5</x:v>
      </x:c>
      <x:c r="V1173" s="70" t="n">
        <x:v>43.5</x:v>
      </x:c>
      <x:c r="W1173" t="str">
        <x:v>DraftKings</x:v>
      </x:c>
      <x:c r="X1173" t="str">
        <x:v>https://www.espn.com/nfl/game/_/gameId/401873183</x:v>
      </x:c>
    </x:row>
    <x:row r="1174">
      <x:c r="A1174" t="str">
        <x:v>NFL</x:v>
      </x:c>
      <x:c r="B1174" t="n">
        <x:v>18</x:v>
      </x:c>
      <x:c r="C1174" s="68" t="n">
        <x:v>46397.208333333336</x:v>
      </x:c>
      <x:c r="D1174" s="71" t="str">
        <x:v>pre</x:v>
      </x:c>
      <x:c r="E1174" s="72" t="b">
        <x:v>0</x:v>
      </x:c>
      <x:c r="F1174" t="str">
        <x:v>San Francisco 49ers</x:v>
      </x:c>
      <x:c r="G1174" t="str">
        <x:v>SF</x:v>
      </x:c>
      <x:c r="H1174" s="69" t="n">
        <x:v>0</x:v>
      </x:c>
      <x:c r="I1174" t="str">
        <x:v>2-0</x:v>
      </x:c>
      <x:c r="J1174" t="str">
        <x:f>IF(E1174&lt;&gt;TRUE,"",IF(H1174&gt;M1174,"W",IF(H1174&lt;M1174,"L","T")))</x:f>
      </x:c>
      <x:c r="K1174" t="str">
        <x:v>Arizona Cardinals</x:v>
      </x:c>
      <x:c r="L1174" t="str">
        <x:v>ARI</x:v>
      </x:c>
      <x:c r="M1174" s="69" t="n">
        <x:v>0</x:v>
      </x:c>
      <x:c r="N1174" t="str">
        <x:v>1-1</x:v>
      </x:c>
      <x:c r="O1174" t="str">
        <x:f>IF(E1174&lt;&gt;TRUE,"",IF(M1174&gt;H1174,"W",IF(M1174&lt;H1174,"L","T")))</x:f>
      </x:c>
      <x:c r="P1174" s="66" t="b">
        <x:v>0</x:v>
      </x:c>
      <x:c r="Q1174" s="66" t="b">
        <x:v>0</x:v>
      </x:c>
      <x:c r="R1174" t="str">
        <x:v>State Farm Stadium</x:v>
      </x:c>
      <x:c r="S1174" t="str"/>
      <x:c r="T1174" t="str">
        <x:v>SF -8.5</x:v>
      </x:c>
      <x:c r="U1174" s="70" t="n">
        <x:v>8.5</x:v>
      </x:c>
      <x:c r="V1174" s="70" t="n">
        <x:v>44.5</x:v>
      </x:c>
      <x:c r="W1174" t="str">
        <x:v>DraftKings</x:v>
      </x:c>
      <x:c r="X1174" t="str">
        <x:v>https://www.espn.com/nfl/game/_/gameId/401873184</x:v>
      </x:c>
    </x:row>
    <x:row r="1175">
      <x:c r="A1175" t="str">
        <x:v>NFL</x:v>
      </x:c>
      <x:c r="B1175" t="n">
        <x:v>18</x:v>
      </x:c>
      <x:c r="C1175" s="68" t="n">
        <x:v>46397.208333333336</x:v>
      </x:c>
      <x:c r="D1175" s="71" t="str">
        <x:v>pre</x:v>
      </x:c>
      <x:c r="E1175" s="72" t="b">
        <x:v>0</x:v>
      </x:c>
      <x:c r="F1175" t="str">
        <x:v>Seattle Seahawks</x:v>
      </x:c>
      <x:c r="G1175" t="str">
        <x:v>SEA</x:v>
      </x:c>
      <x:c r="H1175" s="69" t="n">
        <x:v>0</x:v>
      </x:c>
      <x:c r="I1175" t="str">
        <x:v>2-0</x:v>
      </x:c>
      <x:c r="J1175" t="str">
        <x:f>IF(E1175&lt;&gt;TRUE,"",IF(H1175&gt;M1175,"W",IF(H1175&lt;M1175,"L","T")))</x:f>
      </x:c>
      <x:c r="K1175" t="str">
        <x:v>Los Angeles Rams</x:v>
      </x:c>
      <x:c r="L1175" t="str">
        <x:v>LAR</x:v>
      </x:c>
      <x:c r="M1175" s="69" t="n">
        <x:v>0</x:v>
      </x:c>
      <x:c r="N1175" t="str">
        <x:v>0-1</x:v>
      </x:c>
      <x:c r="O1175" t="str">
        <x:f>IF(E1175&lt;&gt;TRUE,"",IF(M1175&gt;H1175,"W",IF(M1175&lt;H1175,"L","T")))</x:f>
      </x:c>
      <x:c r="P1175" s="66" t="b">
        <x:v>0</x:v>
      </x:c>
      <x:c r="Q1175" s="66" t="b">
        <x:v>0</x:v>
      </x:c>
      <x:c r="R1175" t="str">
        <x:v>SoFi Stadium</x:v>
      </x:c>
      <x:c r="S1175" t="str"/>
      <x:c r="T1175" t="str">
        <x:v>LAR -3</x:v>
      </x:c>
      <x:c r="U1175" s="70" t="n">
        <x:v>-3</x:v>
      </x:c>
      <x:c r="V1175" s="70" t="n">
        <x:v>44.5</x:v>
      </x:c>
      <x:c r="W1175" t="str">
        <x:v>DraftKings</x:v>
      </x:c>
      <x:c r="X1175" t="str">
        <x:v>https://www.espn.com/nfl/game/_/gameId/401873185</x:v>
      </x:c>
    </x:row>
    <x:row r="1176">
      <x:c r="A1176" t="str">
        <x:v>NFL</x:v>
      </x:c>
      <x:c r="B1176" t="n">
        <x:v>18</x:v>
      </x:c>
      <x:c r="C1176" s="68" t="n">
        <x:v>46397.208333333336</x:v>
      </x:c>
      <x:c r="D1176" s="71" t="str">
        <x:v>pre</x:v>
      </x:c>
      <x:c r="E1176" s="72" t="b">
        <x:v>0</x:v>
      </x:c>
      <x:c r="F1176" t="str">
        <x:v>Tampa Bay Buccaneers</x:v>
      </x:c>
      <x:c r="G1176" t="str">
        <x:v>TB</x:v>
      </x:c>
      <x:c r="H1176" s="69" t="n">
        <x:v>0</x:v>
      </x:c>
      <x:c r="I1176" t="str">
        <x:v>0-2</x:v>
      </x:c>
      <x:c r="J1176" t="str">
        <x:f>IF(E1176&lt;&gt;TRUE,"",IF(H1176&gt;M1176,"W",IF(H1176&lt;M1176,"L","T")))</x:f>
      </x:c>
      <x:c r="K1176" t="str">
        <x:v>New Orleans Saints</x:v>
      </x:c>
      <x:c r="L1176" t="str">
        <x:v>NO</x:v>
      </x:c>
      <x:c r="M1176" s="69" t="n">
        <x:v>0</x:v>
      </x:c>
      <x:c r="N1176" t="str">
        <x:v>1-1</x:v>
      </x:c>
      <x:c r="O1176" t="str">
        <x:f>IF(E1176&lt;&gt;TRUE,"",IF(M1176&gt;H1176,"W",IF(M1176&lt;H1176,"L","T")))</x:f>
      </x:c>
      <x:c r="P1176" s="66" t="b">
        <x:v>0</x:v>
      </x:c>
      <x:c r="Q1176" s="66" t="b">
        <x:v>0</x:v>
      </x:c>
      <x:c r="R1176" t="str">
        <x:v>Caesars Superdome</x:v>
      </x:c>
      <x:c r="S1176" t="str"/>
      <x:c r="T1176" t="str">
        <x:v>TB -1.5</x:v>
      </x:c>
      <x:c r="U1176" s="70" t="n">
        <x:v>1.5</x:v>
      </x:c>
      <x:c r="V1176" s="70" t="n">
        <x:v>43.5</x:v>
      </x:c>
      <x:c r="W1176" t="str">
        <x:v>DraftKings</x:v>
      </x:c>
      <x:c r="X1176" t="str">
        <x:v>https://www.espn.com/nfl/game/_/gameId/401873186</x:v>
      </x:c>
    </x:row>
    <x:row r="1177">
      <x:c r="A1177" t="str">
        <x:v>NFL</x:v>
      </x:c>
      <x:c r="B1177" t="n">
        <x:v>18</x:v>
      </x:c>
      <x:c r="C1177" s="68" t="n">
        <x:v>46397.208333333336</x:v>
      </x:c>
      <x:c r="D1177" s="71" t="str">
        <x:v>pre</x:v>
      </x:c>
      <x:c r="E1177" s="72" t="b">
        <x:v>0</x:v>
      </x:c>
      <x:c r="F1177" t="str">
        <x:v>Tennessee Titans</x:v>
      </x:c>
      <x:c r="G1177" t="str">
        <x:v>TEN</x:v>
      </x:c>
      <x:c r="H1177" s="69" t="n">
        <x:v>0</x:v>
      </x:c>
      <x:c r="I1177" t="str">
        <x:v>0-2</x:v>
      </x:c>
      <x:c r="J1177" t="str">
        <x:f>IF(E1177&lt;&gt;TRUE,"",IF(H1177&gt;M1177,"W",IF(H1177&lt;M1177,"L","T")))</x:f>
      </x:c>
      <x:c r="K1177" t="str">
        <x:v>Houston Texans</x:v>
      </x:c>
      <x:c r="L1177" t="str">
        <x:v>HOU</x:v>
      </x:c>
      <x:c r="M1177" s="69" t="n">
        <x:v>0</x:v>
      </x:c>
      <x:c r="N1177" t="str">
        <x:v>0-2</x:v>
      </x:c>
      <x:c r="O1177" t="str">
        <x:f>IF(E1177&lt;&gt;TRUE,"",IF(M1177&gt;H1177,"W",IF(M1177&lt;H1177,"L","T")))</x:f>
      </x:c>
      <x:c r="P1177" s="66" t="b">
        <x:v>0</x:v>
      </x:c>
      <x:c r="Q1177" s="66" t="b">
        <x:v>0</x:v>
      </x:c>
      <x:c r="R1177" t="str">
        <x:v>Reliant Stadium</x:v>
      </x:c>
      <x:c r="S1177" t="str"/>
      <x:c r="T1177" t="str">
        <x:v>HOU -7</x:v>
      </x:c>
      <x:c r="U1177" s="70" t="n">
        <x:v>-7</x:v>
      </x:c>
      <x:c r="V1177" s="70" t="n">
        <x:v>39.5</x:v>
      </x:c>
      <x:c r="W1177" t="str">
        <x:v>DraftKings</x:v>
      </x:c>
      <x:c r="X1177" t="str">
        <x:v>https://www.espn.com/nfl/game/_/gameId/401873187</x:v>
      </x:c>
    </x:row>
  </x:sheetData>
  <x:mergeCells>
    <x:mergeCell ref="A1:X1"/>
    <x:mergeCell ref="A2:X2"/>
  </x:mergeCells>
  <x:pageMargins left="0.7" right="0.7" top="0.75" bottom="0.75" header="0.3" footer="0.3"/>
  <x:tableParts count="1">
    <x:tablePart xmlns:r="http://schemas.openxmlformats.org/officeDocument/2006/relationships" r:id="R668fecc0da5e4994"/>
  </x:tableParts>
</x:worksheet>
</file>

<file path=xl/worksheets/sheet3.xml><?xml version="1.0" encoding="utf-8"?>
<x:worksheet xmlns:x="http://schemas.openxmlformats.org/spreadsheetml/2006/main">
  <x:sheetPr>
    <x:tabColor rgb="FF3B82F6"/>
  </x:sheetPr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</x:cols>
  <x:sheetData>
    <x:row r="1" ht="34" customHeight="1">
      <x:c r="A1" s="3" t="str">
        <x:v>TEAM RECORDS + MARKET COVERAGE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Straight-up records derive from every completed score. Market coverage shows whether ATS/total claims are supportable; it is not itself an ATS record.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34" customHeight="1">
      <x:c r="A3" s="67" t="str">
        <x:v>League</x:v>
      </x:c>
      <x:c r="B3" s="67" t="str">
        <x:v>Team</x:v>
      </x:c>
      <x:c r="C3" s="67" t="str">
        <x:v>Abbr</x:v>
      </x:c>
      <x:c r="D3" s="67" t="str">
        <x:v>Games</x:v>
      </x:c>
      <x:c r="E3" s="67" t="str">
        <x:v>Wins</x:v>
      </x:c>
      <x:c r="F3" s="67" t="str">
        <x:v>Losses</x:v>
      </x:c>
      <x:c r="G3" s="67" t="str">
        <x:v>Ties</x:v>
      </x:c>
      <x:c r="H3" s="67" t="str">
        <x:v>Points For</x:v>
      </x:c>
      <x:c r="I3" s="67" t="str">
        <x:v>Points Against</x:v>
      </x:c>
      <x:c r="J3" s="67" t="str">
        <x:v>ESPN Record</x:v>
      </x:c>
      <x:c r="K3" s="67" t="str">
        <x:v>Games With Line</x:v>
      </x:c>
      <x:c r="L3" s="67" t="str">
        <x:v>Line Coverage</x:v>
      </x:c>
      <x:c r="M3" s="67" t="str">
        <x:v>ATS Trend Eligible</x:v>
      </x:c>
    </x:row>
    <x:row r="4">
      <x:c r="A4" t="str">
        <x:v>CFB</x:v>
      </x:c>
      <x:c r="B4" t="str">
        <x:v>Abilene Christian Wildcats</x:v>
      </x:c>
      <x:c r="C4" t="str">
        <x:v>ACU</x:v>
      </x:c>
      <x:c r="D4" t="n">
        <x:f>COUNTIFS(Games!$A$4:$A$1177,$A4,Games!$D$4:$D$1177,"post",Games!$G$4:$G$1177,$C4)+COUNTIFS(Games!$A$4:$A$1177,$A4,Games!$D$4:$D$1177,"post",Games!$L$4:$L$1177,$C4)</x:f>
        <x:v>1</x:v>
      </x:c>
      <x:c r="E4" t="n">
        <x:f>COUNTIFS(Games!$A$4:$A$1177,$A4,Games!$G$4:$G$1177,$C4,Games!$J$4:$J$1177,"W")+COUNTIFS(Games!$A$4:$A$1177,$A4,Games!$L$4:$L$1177,$C4,Games!$O$4:$O$1177,"W")</x:f>
        <x:v>0</x:v>
      </x:c>
      <x:c r="F4" t="n">
        <x:f>COUNTIFS(Games!$A$4:$A$1177,$A4,Games!$G$4:$G$1177,$C4,Games!$J$4:$J$1177,"L")+COUNTIFS(Games!$A$4:$A$1177,$A4,Games!$L$4:$L$1177,$C4,Games!$O$4:$O$1177,"L")</x:f>
        <x:v>1</x:v>
      </x:c>
      <x:c r="G4" t="n">
        <x:f>COUNTIFS(Games!$A$4:$A$1177,$A4,Games!$G$4:$G$1177,$C4,Games!$J$4:$J$1177,"T")+COUNTIFS(Games!$A$4:$A$1177,$A4,Games!$L$4:$L$1177,$C4,Games!$O$4:$O$1177,"T")</x:f>
        <x:v>0</x:v>
      </x:c>
      <x:c r="H4" t="n">
        <x:f>SUMIFS(Games!$H$4:$H$1177,Games!$A$4:$A$1177,$A4,Games!$D$4:$D$1177,"post",Games!$G$4:$G$1177,$C4)+SUMIFS(Games!$M$4:$M$1177,Games!$A$4:$A$1177,$A4,Games!$D$4:$D$1177,"post",Games!$L$4:$L$1177,$C4)</x:f>
        <x:v>10</x:v>
      </x:c>
      <x:c r="I4" t="n">
        <x:f>SUMIFS(Games!$M$4:$M$1177,Games!$A$4:$A$1177,$A4,Games!$D$4:$D$1177,"post",Games!$G$4:$G$1177,$C4)+SUMIFS(Games!$H$4:$H$1177,Games!$A$4:$A$1177,$A4,Games!$D$4:$D$1177,"post",Games!$L$4:$L$1177,$C4)</x:f>
        <x:v>33</x:v>
      </x:c>
      <x:c r="J4" t="str">
        <x:f>E4&amp;"-"&amp;F4&amp;IF(G4&gt;0,"-"&amp;G4,"")</x:f>
        <x:v>0-1</x:v>
      </x:c>
      <x:c r="K4" t="n">
        <x:f>COUNTIFS(Games!$A$4:$A$1177,$A4,Games!$D$4:$D$1177,"post",Games!$G$4:$G$1177,$C4,Games!$T$4:$T$1177,"&lt;&gt;")+COUNTIFS(Games!$A$4:$A$1177,$A4,Games!$D$4:$D$1177,"post",Games!$L$4:$L$1177,$C4,Games!$T$4:$T$1177,"&lt;&gt;")</x:f>
        <x:v>0</x:v>
      </x:c>
      <x:c r="L4" s="80" t="n">
        <x:f>IF(D4=0,0,K4/D4)</x:f>
        <x:v>0</x:v>
      </x:c>
      <x:c r="M4" t="str">
        <x:f>IF(AND(D4&gt;=2,K4&gt;=2,L4&gt;=75%),"YES","NO")</x:f>
        <x:v>NO</x:v>
      </x:c>
    </x:row>
    <x:row r="5">
      <x:c r="A5" t="str">
        <x:v>CFB</x:v>
      </x:c>
      <x:c r="B5" t="str">
        <x:v>Air Force Falcons</x:v>
      </x:c>
      <x:c r="C5" t="str">
        <x:v>AFA</x:v>
      </x:c>
      <x:c r="D5" t="n">
        <x:f>COUNTIFS(Games!$A$4:$A$1177,$A5,Games!$D$4:$D$1177,"post",Games!$G$4:$G$1177,$C5)+COUNTIFS(Games!$A$4:$A$1177,$A5,Games!$D$4:$D$1177,"post",Games!$L$4:$L$1177,$C5)</x:f>
        <x:v>2</x:v>
      </x:c>
      <x:c r="E5" t="n">
        <x:f>COUNTIFS(Games!$A$4:$A$1177,$A5,Games!$G$4:$G$1177,$C5,Games!$J$4:$J$1177,"W")+COUNTIFS(Games!$A$4:$A$1177,$A5,Games!$L$4:$L$1177,$C5,Games!$O$4:$O$1177,"W")</x:f>
        <x:v>1</x:v>
      </x:c>
      <x:c r="F5" t="n">
        <x:f>COUNTIFS(Games!$A$4:$A$1177,$A5,Games!$G$4:$G$1177,$C5,Games!$J$4:$J$1177,"L")+COUNTIFS(Games!$A$4:$A$1177,$A5,Games!$L$4:$L$1177,$C5,Games!$O$4:$O$1177,"L")</x:f>
        <x:v>1</x:v>
      </x:c>
      <x:c r="G5" t="n">
        <x:f>COUNTIFS(Games!$A$4:$A$1177,$A5,Games!$G$4:$G$1177,$C5,Games!$J$4:$J$1177,"T")+COUNTIFS(Games!$A$4:$A$1177,$A5,Games!$L$4:$L$1177,$C5,Games!$O$4:$O$1177,"T")</x:f>
        <x:v>0</x:v>
      </x:c>
      <x:c r="H5" t="n">
        <x:f>SUMIFS(Games!$H$4:$H$1177,Games!$A$4:$A$1177,$A5,Games!$D$4:$D$1177,"post",Games!$G$4:$G$1177,$C5)+SUMIFS(Games!$M$4:$M$1177,Games!$A$4:$A$1177,$A5,Games!$D$4:$D$1177,"post",Games!$L$4:$L$1177,$C5)</x:f>
        <x:v>66</x:v>
      </x:c>
      <x:c r="I5" t="n">
        <x:f>SUMIFS(Games!$M$4:$M$1177,Games!$A$4:$A$1177,$A5,Games!$D$4:$D$1177,"post",Games!$G$4:$G$1177,$C5)+SUMIFS(Games!$H$4:$H$1177,Games!$A$4:$A$1177,$A5,Games!$D$4:$D$1177,"post",Games!$L$4:$L$1177,$C5)</x:f>
        <x:v>38</x:v>
      </x:c>
      <x:c r="J5" t="str">
        <x:f>E5&amp;"-"&amp;F5&amp;IF(G5&gt;0,"-"&amp;G5,"")</x:f>
        <x:v>1-1</x:v>
      </x:c>
      <x:c r="K5" t="n">
        <x:f>COUNTIFS(Games!$A$4:$A$1177,$A5,Games!$D$4:$D$1177,"post",Games!$G$4:$G$1177,$C5,Games!$T$4:$T$1177,"&lt;&gt;")+COUNTIFS(Games!$A$4:$A$1177,$A5,Games!$D$4:$D$1177,"post",Games!$L$4:$L$1177,$C5,Games!$T$4:$T$1177,"&lt;&gt;")</x:f>
        <x:v>0</x:v>
      </x:c>
      <x:c r="L5" s="80" t="n">
        <x:f>IF(D5=0,0,K5/D5)</x:f>
        <x:v>0</x:v>
      </x:c>
      <x:c r="M5" t="str">
        <x:f>IF(AND(D5&gt;=2,K5&gt;=2,L5&gt;=75%),"YES","NO")</x:f>
        <x:v>NO</x:v>
      </x:c>
    </x:row>
    <x:row r="6">
      <x:c r="A6" t="str">
        <x:v>CFB</x:v>
      </x:c>
      <x:c r="B6" t="str">
        <x:v>Akron Zips</x:v>
      </x:c>
      <x:c r="C6" t="str">
        <x:v>AKR</x:v>
      </x:c>
      <x:c r="D6" t="n">
        <x:f>COUNTIFS(Games!$A$4:$A$1177,$A6,Games!$D$4:$D$1177,"post",Games!$G$4:$G$1177,$C6)+COUNTIFS(Games!$A$4:$A$1177,$A6,Games!$D$4:$D$1177,"post",Games!$L$4:$L$1177,$C6)</x:f>
        <x:v>3</x:v>
      </x:c>
      <x:c r="E6" t="n">
        <x:f>COUNTIFS(Games!$A$4:$A$1177,$A6,Games!$G$4:$G$1177,$C6,Games!$J$4:$J$1177,"W")+COUNTIFS(Games!$A$4:$A$1177,$A6,Games!$L$4:$L$1177,$C6,Games!$O$4:$O$1177,"W")</x:f>
        <x:v>1</x:v>
      </x:c>
      <x:c r="F6" t="n">
        <x:f>COUNTIFS(Games!$A$4:$A$1177,$A6,Games!$G$4:$G$1177,$C6,Games!$J$4:$J$1177,"L")+COUNTIFS(Games!$A$4:$A$1177,$A6,Games!$L$4:$L$1177,$C6,Games!$O$4:$O$1177,"L")</x:f>
        <x:v>2</x:v>
      </x:c>
      <x:c r="G6" t="n">
        <x:f>COUNTIFS(Games!$A$4:$A$1177,$A6,Games!$G$4:$G$1177,$C6,Games!$J$4:$J$1177,"T")+COUNTIFS(Games!$A$4:$A$1177,$A6,Games!$L$4:$L$1177,$C6,Games!$O$4:$O$1177,"T")</x:f>
        <x:v>0</x:v>
      </x:c>
      <x:c r="H6" t="n">
        <x:f>SUMIFS(Games!$H$4:$H$1177,Games!$A$4:$A$1177,$A6,Games!$D$4:$D$1177,"post",Games!$G$4:$G$1177,$C6)+SUMIFS(Games!$M$4:$M$1177,Games!$A$4:$A$1177,$A6,Games!$D$4:$D$1177,"post",Games!$L$4:$L$1177,$C6)</x:f>
        <x:v>68</x:v>
      </x:c>
      <x:c r="I6" t="n">
        <x:f>SUMIFS(Games!$M$4:$M$1177,Games!$A$4:$A$1177,$A6,Games!$D$4:$D$1177,"post",Games!$G$4:$G$1177,$C6)+SUMIFS(Games!$H$4:$H$1177,Games!$A$4:$A$1177,$A6,Games!$D$4:$D$1177,"post",Games!$L$4:$L$1177,$C6)</x:f>
        <x:v>89</x:v>
      </x:c>
      <x:c r="J6" t="str">
        <x:f>E6&amp;"-"&amp;F6&amp;IF(G6&gt;0,"-"&amp;G6,"")</x:f>
        <x:v>1-2</x:v>
      </x:c>
      <x:c r="K6" t="n">
        <x:f>COUNTIFS(Games!$A$4:$A$1177,$A6,Games!$D$4:$D$1177,"post",Games!$G$4:$G$1177,$C6,Games!$T$4:$T$1177,"&lt;&gt;")+COUNTIFS(Games!$A$4:$A$1177,$A6,Games!$D$4:$D$1177,"post",Games!$L$4:$L$1177,$C6,Games!$T$4:$T$1177,"&lt;&gt;")</x:f>
        <x:v>0</x:v>
      </x:c>
      <x:c r="L6" s="80" t="n">
        <x:f>IF(D6=0,0,K6/D6)</x:f>
        <x:v>0</x:v>
      </x:c>
      <x:c r="M6" t="str">
        <x:f>IF(AND(D6&gt;=2,K6&gt;=2,L6&gt;=75%),"YES","NO")</x:f>
        <x:v>NO</x:v>
      </x:c>
    </x:row>
    <x:row r="7">
      <x:c r="A7" t="str">
        <x:v>CFB</x:v>
      </x:c>
      <x:c r="B7" t="str">
        <x:v>Alabama Crimson Tide</x:v>
      </x:c>
      <x:c r="C7" t="str">
        <x:v>ALA</x:v>
      </x:c>
      <x:c r="D7" t="n">
        <x:f>COUNTIFS(Games!$A$4:$A$1177,$A7,Games!$D$4:$D$1177,"post",Games!$G$4:$G$1177,$C7)+COUNTIFS(Games!$A$4:$A$1177,$A7,Games!$D$4:$D$1177,"post",Games!$L$4:$L$1177,$C7)</x:f>
        <x:v>3</x:v>
      </x:c>
      <x:c r="E7" t="n">
        <x:f>COUNTIFS(Games!$A$4:$A$1177,$A7,Games!$G$4:$G$1177,$C7,Games!$J$4:$J$1177,"W")+COUNTIFS(Games!$A$4:$A$1177,$A7,Games!$L$4:$L$1177,$C7,Games!$O$4:$O$1177,"W")</x:f>
        <x:v>3</x:v>
      </x:c>
      <x:c r="F7" t="n">
        <x:f>COUNTIFS(Games!$A$4:$A$1177,$A7,Games!$G$4:$G$1177,$C7,Games!$J$4:$J$1177,"L")+COUNTIFS(Games!$A$4:$A$1177,$A7,Games!$L$4:$L$1177,$C7,Games!$O$4:$O$1177,"L")</x:f>
        <x:v>0</x:v>
      </x:c>
      <x:c r="G7" t="n">
        <x:f>COUNTIFS(Games!$A$4:$A$1177,$A7,Games!$G$4:$G$1177,$C7,Games!$J$4:$J$1177,"T")+COUNTIFS(Games!$A$4:$A$1177,$A7,Games!$L$4:$L$1177,$C7,Games!$O$4:$O$1177,"T")</x:f>
        <x:v>0</x:v>
      </x:c>
      <x:c r="H7" t="n">
        <x:f>SUMIFS(Games!$H$4:$H$1177,Games!$A$4:$A$1177,$A7,Games!$D$4:$D$1177,"post",Games!$G$4:$G$1177,$C7)+SUMIFS(Games!$M$4:$M$1177,Games!$A$4:$A$1177,$A7,Games!$D$4:$D$1177,"post",Games!$L$4:$L$1177,$C7)</x:f>
        <x:v>143</x:v>
      </x:c>
      <x:c r="I7" t="n">
        <x:f>SUMIFS(Games!$M$4:$M$1177,Games!$A$4:$A$1177,$A7,Games!$D$4:$D$1177,"post",Games!$G$4:$G$1177,$C7)+SUMIFS(Games!$H$4:$H$1177,Games!$A$4:$A$1177,$A7,Games!$D$4:$D$1177,"post",Games!$L$4:$L$1177,$C7)</x:f>
        <x:v>63</x:v>
      </x:c>
      <x:c r="J7" t="str">
        <x:f>E7&amp;"-"&amp;F7&amp;IF(G7&gt;0,"-"&amp;G7,"")</x:f>
        <x:v>3-0</x:v>
      </x:c>
      <x:c r="K7" t="n">
        <x:f>COUNTIFS(Games!$A$4:$A$1177,$A7,Games!$D$4:$D$1177,"post",Games!$G$4:$G$1177,$C7,Games!$T$4:$T$1177,"&lt;&gt;")+COUNTIFS(Games!$A$4:$A$1177,$A7,Games!$D$4:$D$1177,"post",Games!$L$4:$L$1177,$C7,Games!$T$4:$T$1177,"&lt;&gt;")</x:f>
        <x:v>0</x:v>
      </x:c>
      <x:c r="L7" s="80" t="n">
        <x:f>IF(D7=0,0,K7/D7)</x:f>
        <x:v>0</x:v>
      </x:c>
      <x:c r="M7" t="str">
        <x:f>IF(AND(D7&gt;=2,K7&gt;=2,L7&gt;=75%),"YES","NO")</x:f>
        <x:v>NO</x:v>
      </x:c>
    </x:row>
    <x:row r="8">
      <x:c r="A8" t="str">
        <x:v>CFB</x:v>
      </x:c>
      <x:c r="B8" t="str">
        <x:v>Alabama State Hornets</x:v>
      </x:c>
      <x:c r="C8" t="str">
        <x:v>ALST</x:v>
      </x:c>
      <x:c r="D8" t="n">
        <x:f>COUNTIFS(Games!$A$4:$A$1177,$A8,Games!$D$4:$D$1177,"post",Games!$G$4:$G$1177,$C8)+COUNTIFS(Games!$A$4:$A$1177,$A8,Games!$D$4:$D$1177,"post",Games!$L$4:$L$1177,$C8)</x:f>
        <x:v>1</x:v>
      </x:c>
      <x:c r="E8" t="n">
        <x:f>COUNTIFS(Games!$A$4:$A$1177,$A8,Games!$G$4:$G$1177,$C8,Games!$J$4:$J$1177,"W")+COUNTIFS(Games!$A$4:$A$1177,$A8,Games!$L$4:$L$1177,$C8,Games!$O$4:$O$1177,"W")</x:f>
        <x:v>0</x:v>
      </x:c>
      <x:c r="F8" t="n">
        <x:f>COUNTIFS(Games!$A$4:$A$1177,$A8,Games!$G$4:$G$1177,$C8,Games!$J$4:$J$1177,"L")+COUNTIFS(Games!$A$4:$A$1177,$A8,Games!$L$4:$L$1177,$C8,Games!$O$4:$O$1177,"L")</x:f>
        <x:v>1</x:v>
      </x:c>
      <x:c r="G8" t="n">
        <x:f>COUNTIFS(Games!$A$4:$A$1177,$A8,Games!$G$4:$G$1177,$C8,Games!$J$4:$J$1177,"T")+COUNTIFS(Games!$A$4:$A$1177,$A8,Games!$L$4:$L$1177,$C8,Games!$O$4:$O$1177,"T")</x:f>
        <x:v>0</x:v>
      </x:c>
      <x:c r="H8" t="n">
        <x:f>SUMIFS(Games!$H$4:$H$1177,Games!$A$4:$A$1177,$A8,Games!$D$4:$D$1177,"post",Games!$G$4:$G$1177,$C8)+SUMIFS(Games!$M$4:$M$1177,Games!$A$4:$A$1177,$A8,Games!$D$4:$D$1177,"post",Games!$L$4:$L$1177,$C8)</x:f>
        <x:v>17</x:v>
      </x:c>
      <x:c r="I8" t="n">
        <x:f>SUMIFS(Games!$M$4:$M$1177,Games!$A$4:$A$1177,$A8,Games!$D$4:$D$1177,"post",Games!$G$4:$G$1177,$C8)+SUMIFS(Games!$H$4:$H$1177,Games!$A$4:$A$1177,$A8,Games!$D$4:$D$1177,"post",Games!$L$4:$L$1177,$C8)</x:f>
        <x:v>34</x:v>
      </x:c>
      <x:c r="J8" t="str">
        <x:f>E8&amp;"-"&amp;F8&amp;IF(G8&gt;0,"-"&amp;G8,"")</x:f>
        <x:v>0-1</x:v>
      </x:c>
      <x:c r="K8" t="n">
        <x:f>COUNTIFS(Games!$A$4:$A$1177,$A8,Games!$D$4:$D$1177,"post",Games!$G$4:$G$1177,$C8,Games!$T$4:$T$1177,"&lt;&gt;")+COUNTIFS(Games!$A$4:$A$1177,$A8,Games!$D$4:$D$1177,"post",Games!$L$4:$L$1177,$C8,Games!$T$4:$T$1177,"&lt;&gt;")</x:f>
        <x:v>0</x:v>
      </x:c>
      <x:c r="L8" s="80" t="n">
        <x:f>IF(D8=0,0,K8/D8)</x:f>
        <x:v>0</x:v>
      </x:c>
      <x:c r="M8" t="str">
        <x:f>IF(AND(D8&gt;=2,K8&gt;=2,L8&gt;=75%),"YES","NO")</x:f>
        <x:v>NO</x:v>
      </x:c>
    </x:row>
    <x:row r="9">
      <x:c r="A9" t="str">
        <x:v>CFB</x:v>
      </x:c>
      <x:c r="B9" t="str">
        <x:v>Alcorn State Braves</x:v>
      </x:c>
      <x:c r="C9" t="str">
        <x:v>ALCN</x:v>
      </x:c>
      <x:c r="D9" t="n">
        <x:f>COUNTIFS(Games!$A$4:$A$1177,$A9,Games!$D$4:$D$1177,"post",Games!$G$4:$G$1177,$C9)+COUNTIFS(Games!$A$4:$A$1177,$A9,Games!$D$4:$D$1177,"post",Games!$L$4:$L$1177,$C9)</x:f>
        <x:v>1</x:v>
      </x:c>
      <x:c r="E9" t="n">
        <x:f>COUNTIFS(Games!$A$4:$A$1177,$A9,Games!$G$4:$G$1177,$C9,Games!$J$4:$J$1177,"W")+COUNTIFS(Games!$A$4:$A$1177,$A9,Games!$L$4:$L$1177,$C9,Games!$O$4:$O$1177,"W")</x:f>
        <x:v>0</x:v>
      </x:c>
      <x:c r="F9" t="n">
        <x:f>COUNTIFS(Games!$A$4:$A$1177,$A9,Games!$G$4:$G$1177,$C9,Games!$J$4:$J$1177,"L")+COUNTIFS(Games!$A$4:$A$1177,$A9,Games!$L$4:$L$1177,$C9,Games!$O$4:$O$1177,"L")</x:f>
        <x:v>1</x:v>
      </x:c>
      <x:c r="G9" t="n">
        <x:f>COUNTIFS(Games!$A$4:$A$1177,$A9,Games!$G$4:$G$1177,$C9,Games!$J$4:$J$1177,"T")+COUNTIFS(Games!$A$4:$A$1177,$A9,Games!$L$4:$L$1177,$C9,Games!$O$4:$O$1177,"T")</x:f>
        <x:v>0</x:v>
      </x:c>
      <x:c r="H9" t="n">
        <x:f>SUMIFS(Games!$H$4:$H$1177,Games!$A$4:$A$1177,$A9,Games!$D$4:$D$1177,"post",Games!$G$4:$G$1177,$C9)+SUMIFS(Games!$M$4:$M$1177,Games!$A$4:$A$1177,$A9,Games!$D$4:$D$1177,"post",Games!$L$4:$L$1177,$C9)</x:f>
        <x:v>3</x:v>
      </x:c>
      <x:c r="I9" t="n">
        <x:f>SUMIFS(Games!$M$4:$M$1177,Games!$A$4:$A$1177,$A9,Games!$D$4:$D$1177,"post",Games!$G$4:$G$1177,$C9)+SUMIFS(Games!$H$4:$H$1177,Games!$A$4:$A$1177,$A9,Games!$D$4:$D$1177,"post",Games!$L$4:$L$1177,$C9)</x:f>
        <x:v>49</x:v>
      </x:c>
      <x:c r="J9" t="str">
        <x:f>E9&amp;"-"&amp;F9&amp;IF(G9&gt;0,"-"&amp;G9,"")</x:f>
        <x:v>0-1</x:v>
      </x:c>
      <x:c r="K9" t="n">
        <x:f>COUNTIFS(Games!$A$4:$A$1177,$A9,Games!$D$4:$D$1177,"post",Games!$G$4:$G$1177,$C9,Games!$T$4:$T$1177,"&lt;&gt;")+COUNTIFS(Games!$A$4:$A$1177,$A9,Games!$D$4:$D$1177,"post",Games!$L$4:$L$1177,$C9,Games!$T$4:$T$1177,"&lt;&gt;")</x:f>
        <x:v>0</x:v>
      </x:c>
      <x:c r="L9" s="80" t="n">
        <x:f>IF(D9=0,0,K9/D9)</x:f>
        <x:v>0</x:v>
      </x:c>
      <x:c r="M9" t="str">
        <x:f>IF(AND(D9&gt;=2,K9&gt;=2,L9&gt;=75%),"YES","NO")</x:f>
        <x:v>NO</x:v>
      </x:c>
    </x:row>
    <x:row r="10">
      <x:c r="A10" t="str">
        <x:v>CFB</x:v>
      </x:c>
      <x:c r="B10" t="str">
        <x:v>App State Mountaineers</x:v>
      </x:c>
      <x:c r="C10" t="str">
        <x:v>APP</x:v>
      </x:c>
      <x:c r="D10" t="n">
        <x:f>COUNTIFS(Games!$A$4:$A$1177,$A10,Games!$D$4:$D$1177,"post",Games!$G$4:$G$1177,$C10)+COUNTIFS(Games!$A$4:$A$1177,$A10,Games!$D$4:$D$1177,"post",Games!$L$4:$L$1177,$C10)</x:f>
        <x:v>3</x:v>
      </x:c>
      <x:c r="E10" t="n">
        <x:f>COUNTIFS(Games!$A$4:$A$1177,$A10,Games!$G$4:$G$1177,$C10,Games!$J$4:$J$1177,"W")+COUNTIFS(Games!$A$4:$A$1177,$A10,Games!$L$4:$L$1177,$C10,Games!$O$4:$O$1177,"W")</x:f>
        <x:v>3</x:v>
      </x:c>
      <x:c r="F10" t="n">
        <x:f>COUNTIFS(Games!$A$4:$A$1177,$A10,Games!$G$4:$G$1177,$C10,Games!$J$4:$J$1177,"L")+COUNTIFS(Games!$A$4:$A$1177,$A10,Games!$L$4:$L$1177,$C10,Games!$O$4:$O$1177,"L")</x:f>
        <x:v>0</x:v>
      </x:c>
      <x:c r="G10" t="n">
        <x:f>COUNTIFS(Games!$A$4:$A$1177,$A10,Games!$G$4:$G$1177,$C10,Games!$J$4:$J$1177,"T")+COUNTIFS(Games!$A$4:$A$1177,$A10,Games!$L$4:$L$1177,$C10,Games!$O$4:$O$1177,"T")</x:f>
        <x:v>0</x:v>
      </x:c>
      <x:c r="H10" t="n">
        <x:f>SUMIFS(Games!$H$4:$H$1177,Games!$A$4:$A$1177,$A10,Games!$D$4:$D$1177,"post",Games!$G$4:$G$1177,$C10)+SUMIFS(Games!$M$4:$M$1177,Games!$A$4:$A$1177,$A10,Games!$D$4:$D$1177,"post",Games!$L$4:$L$1177,$C10)</x:f>
        <x:v>108</x:v>
      </x:c>
      <x:c r="I10" t="n">
        <x:f>SUMIFS(Games!$M$4:$M$1177,Games!$A$4:$A$1177,$A10,Games!$D$4:$D$1177,"post",Games!$G$4:$G$1177,$C10)+SUMIFS(Games!$H$4:$H$1177,Games!$A$4:$A$1177,$A10,Games!$D$4:$D$1177,"post",Games!$L$4:$L$1177,$C10)</x:f>
        <x:v>48</x:v>
      </x:c>
      <x:c r="J10" t="str">
        <x:f>E10&amp;"-"&amp;F10&amp;IF(G10&gt;0,"-"&amp;G10,"")</x:f>
        <x:v>3-0</x:v>
      </x:c>
      <x:c r="K10" t="n">
        <x:f>COUNTIFS(Games!$A$4:$A$1177,$A10,Games!$D$4:$D$1177,"post",Games!$G$4:$G$1177,$C10,Games!$T$4:$T$1177,"&lt;&gt;")+COUNTIFS(Games!$A$4:$A$1177,$A10,Games!$D$4:$D$1177,"post",Games!$L$4:$L$1177,$C10,Games!$T$4:$T$1177,"&lt;&gt;")</x:f>
        <x:v>0</x:v>
      </x:c>
      <x:c r="L10" s="80" t="n">
        <x:f>IF(D10=0,0,K10/D10)</x:f>
        <x:v>0</x:v>
      </x:c>
      <x:c r="M10" t="str">
        <x:f>IF(AND(D10&gt;=2,K10&gt;=2,L10&gt;=75%),"YES","NO")</x:f>
        <x:v>NO</x:v>
      </x:c>
    </x:row>
    <x:row r="11">
      <x:c r="A11" t="str">
        <x:v>CFB</x:v>
      </x:c>
      <x:c r="B11" t="str">
        <x:v>Arizona State Sun Devils</x:v>
      </x:c>
      <x:c r="C11" t="str">
        <x:v>ASU</x:v>
      </x:c>
      <x:c r="D11" t="n">
        <x:f>COUNTIFS(Games!$A$4:$A$1177,$A11,Games!$D$4:$D$1177,"post",Games!$G$4:$G$1177,$C11)+COUNTIFS(Games!$A$4:$A$1177,$A11,Games!$D$4:$D$1177,"post",Games!$L$4:$L$1177,$C11)</x:f>
        <x:v>3</x:v>
      </x:c>
      <x:c r="E11" t="n">
        <x:f>COUNTIFS(Games!$A$4:$A$1177,$A11,Games!$G$4:$G$1177,$C11,Games!$J$4:$J$1177,"W")+COUNTIFS(Games!$A$4:$A$1177,$A11,Games!$L$4:$L$1177,$C11,Games!$O$4:$O$1177,"W")</x:f>
        <x:v>2</x:v>
      </x:c>
      <x:c r="F11" t="n">
        <x:f>COUNTIFS(Games!$A$4:$A$1177,$A11,Games!$G$4:$G$1177,$C11,Games!$J$4:$J$1177,"L")+COUNTIFS(Games!$A$4:$A$1177,$A11,Games!$L$4:$L$1177,$C11,Games!$O$4:$O$1177,"L")</x:f>
        <x:v>1</x:v>
      </x:c>
      <x:c r="G11" t="n">
        <x:f>COUNTIFS(Games!$A$4:$A$1177,$A11,Games!$G$4:$G$1177,$C11,Games!$J$4:$J$1177,"T")+COUNTIFS(Games!$A$4:$A$1177,$A11,Games!$L$4:$L$1177,$C11,Games!$O$4:$O$1177,"T")</x:f>
        <x:v>0</x:v>
      </x:c>
      <x:c r="H11" t="n">
        <x:f>SUMIFS(Games!$H$4:$H$1177,Games!$A$4:$A$1177,$A11,Games!$D$4:$D$1177,"post",Games!$G$4:$G$1177,$C11)+SUMIFS(Games!$M$4:$M$1177,Games!$A$4:$A$1177,$A11,Games!$D$4:$D$1177,"post",Games!$L$4:$L$1177,$C11)</x:f>
        <x:v>114</x:v>
      </x:c>
      <x:c r="I11" t="n">
        <x:f>SUMIFS(Games!$M$4:$M$1177,Games!$A$4:$A$1177,$A11,Games!$D$4:$D$1177,"post",Games!$G$4:$G$1177,$C11)+SUMIFS(Games!$H$4:$H$1177,Games!$A$4:$A$1177,$A11,Games!$D$4:$D$1177,"post",Games!$L$4:$L$1177,$C11)</x:f>
        <x:v>72</x:v>
      </x:c>
      <x:c r="J11" t="str">
        <x:f>E11&amp;"-"&amp;F11&amp;IF(G11&gt;0,"-"&amp;G11,"")</x:f>
        <x:v>2-1</x:v>
      </x:c>
      <x:c r="K11" t="n">
        <x:f>COUNTIFS(Games!$A$4:$A$1177,$A11,Games!$D$4:$D$1177,"post",Games!$G$4:$G$1177,$C11,Games!$T$4:$T$1177,"&lt;&gt;")+COUNTIFS(Games!$A$4:$A$1177,$A11,Games!$D$4:$D$1177,"post",Games!$L$4:$L$1177,$C11,Games!$T$4:$T$1177,"&lt;&gt;")</x:f>
        <x:v>0</x:v>
      </x:c>
      <x:c r="L11" s="80" t="n">
        <x:f>IF(D11=0,0,K11/D11)</x:f>
        <x:v>0</x:v>
      </x:c>
      <x:c r="M11" t="str">
        <x:f>IF(AND(D11&gt;=2,K11&gt;=2,L11&gt;=75%),"YES","NO")</x:f>
        <x:v>NO</x:v>
      </x:c>
    </x:row>
    <x:row r="12">
      <x:c r="A12" t="str">
        <x:v>CFB</x:v>
      </x:c>
      <x:c r="B12" t="str">
        <x:v>Arizona Wildcats</x:v>
      </x:c>
      <x:c r="C12" t="str">
        <x:v>ARIZ</x:v>
      </x:c>
      <x:c r="D12" t="n">
        <x:f>COUNTIFS(Games!$A$4:$A$1177,$A12,Games!$D$4:$D$1177,"post",Games!$G$4:$G$1177,$C12)+COUNTIFS(Games!$A$4:$A$1177,$A12,Games!$D$4:$D$1177,"post",Games!$L$4:$L$1177,$C12)</x:f>
        <x:v>3</x:v>
      </x:c>
      <x:c r="E12" t="n">
        <x:f>COUNTIFS(Games!$A$4:$A$1177,$A12,Games!$G$4:$G$1177,$C12,Games!$J$4:$J$1177,"W")+COUNTIFS(Games!$A$4:$A$1177,$A12,Games!$L$4:$L$1177,$C12,Games!$O$4:$O$1177,"W")</x:f>
        <x:v>2</x:v>
      </x:c>
      <x:c r="F12" t="n">
        <x:f>COUNTIFS(Games!$A$4:$A$1177,$A12,Games!$G$4:$G$1177,$C12,Games!$J$4:$J$1177,"L")+COUNTIFS(Games!$A$4:$A$1177,$A12,Games!$L$4:$L$1177,$C12,Games!$O$4:$O$1177,"L")</x:f>
        <x:v>1</x:v>
      </x:c>
      <x:c r="G12" t="n">
        <x:f>COUNTIFS(Games!$A$4:$A$1177,$A12,Games!$G$4:$G$1177,$C12,Games!$J$4:$J$1177,"T")+COUNTIFS(Games!$A$4:$A$1177,$A12,Games!$L$4:$L$1177,$C12,Games!$O$4:$O$1177,"T")</x:f>
        <x:v>0</x:v>
      </x:c>
      <x:c r="H12" t="n">
        <x:f>SUMIFS(Games!$H$4:$H$1177,Games!$A$4:$A$1177,$A12,Games!$D$4:$D$1177,"post",Games!$G$4:$G$1177,$C12)+SUMIFS(Games!$M$4:$M$1177,Games!$A$4:$A$1177,$A12,Games!$D$4:$D$1177,"post",Games!$L$4:$L$1177,$C12)</x:f>
        <x:v>94</x:v>
      </x:c>
      <x:c r="I12" t="n">
        <x:f>SUMIFS(Games!$M$4:$M$1177,Games!$A$4:$A$1177,$A12,Games!$D$4:$D$1177,"post",Games!$G$4:$G$1177,$C12)+SUMIFS(Games!$H$4:$H$1177,Games!$A$4:$A$1177,$A12,Games!$D$4:$D$1177,"post",Games!$L$4:$L$1177,$C12)</x:f>
        <x:v>52</x:v>
      </x:c>
      <x:c r="J12" t="str">
        <x:f>E12&amp;"-"&amp;F12&amp;IF(G12&gt;0,"-"&amp;G12,"")</x:f>
        <x:v>2-1</x:v>
      </x:c>
      <x:c r="K12" t="n">
        <x:f>COUNTIFS(Games!$A$4:$A$1177,$A12,Games!$D$4:$D$1177,"post",Games!$G$4:$G$1177,$C12,Games!$T$4:$T$1177,"&lt;&gt;")+COUNTIFS(Games!$A$4:$A$1177,$A12,Games!$D$4:$D$1177,"post",Games!$L$4:$L$1177,$C12,Games!$T$4:$T$1177,"&lt;&gt;")</x:f>
        <x:v>0</x:v>
      </x:c>
      <x:c r="L12" s="80" t="n">
        <x:f>IF(D12=0,0,K12/D12)</x:f>
        <x:v>0</x:v>
      </x:c>
      <x:c r="M12" t="str">
        <x:f>IF(AND(D12&gt;=2,K12&gt;=2,L12&gt;=75%),"YES","NO")</x:f>
        <x:v>NO</x:v>
      </x:c>
    </x:row>
    <x:row r="13">
      <x:c r="A13" t="str">
        <x:v>CFB</x:v>
      </x:c>
      <x:c r="B13" t="str">
        <x:v>Arkansas Razorbacks</x:v>
      </x:c>
      <x:c r="C13" t="str">
        <x:v>ARK</x:v>
      </x:c>
      <x:c r="D13" t="n">
        <x:f>COUNTIFS(Games!$A$4:$A$1177,$A13,Games!$D$4:$D$1177,"post",Games!$G$4:$G$1177,$C13)+COUNTIFS(Games!$A$4:$A$1177,$A13,Games!$D$4:$D$1177,"post",Games!$L$4:$L$1177,$C13)</x:f>
        <x:v>3</x:v>
      </x:c>
      <x:c r="E13" t="n">
        <x:f>COUNTIFS(Games!$A$4:$A$1177,$A13,Games!$G$4:$G$1177,$C13,Games!$J$4:$J$1177,"W")+COUNTIFS(Games!$A$4:$A$1177,$A13,Games!$L$4:$L$1177,$C13,Games!$O$4:$O$1177,"W")</x:f>
        <x:v>1</x:v>
      </x:c>
      <x:c r="F13" t="n">
        <x:f>COUNTIFS(Games!$A$4:$A$1177,$A13,Games!$G$4:$G$1177,$C13,Games!$J$4:$J$1177,"L")+COUNTIFS(Games!$A$4:$A$1177,$A13,Games!$L$4:$L$1177,$C13,Games!$O$4:$O$1177,"L")</x:f>
        <x:v>2</x:v>
      </x:c>
      <x:c r="G13" t="n">
        <x:f>COUNTIFS(Games!$A$4:$A$1177,$A13,Games!$G$4:$G$1177,$C13,Games!$J$4:$J$1177,"T")+COUNTIFS(Games!$A$4:$A$1177,$A13,Games!$L$4:$L$1177,$C13,Games!$O$4:$O$1177,"T")</x:f>
        <x:v>0</x:v>
      </x:c>
      <x:c r="H13" t="n">
        <x:f>SUMIFS(Games!$H$4:$H$1177,Games!$A$4:$A$1177,$A13,Games!$D$4:$D$1177,"post",Games!$G$4:$G$1177,$C13)+SUMIFS(Games!$M$4:$M$1177,Games!$A$4:$A$1177,$A13,Games!$D$4:$D$1177,"post",Games!$L$4:$L$1177,$C13)</x:f>
        <x:v>58</x:v>
      </x:c>
      <x:c r="I13" t="n">
        <x:f>SUMIFS(Games!$M$4:$M$1177,Games!$A$4:$A$1177,$A13,Games!$D$4:$D$1177,"post",Games!$G$4:$G$1177,$C13)+SUMIFS(Games!$H$4:$H$1177,Games!$A$4:$A$1177,$A13,Games!$D$4:$D$1177,"post",Games!$L$4:$L$1177,$C13)</x:f>
        <x:v>102</x:v>
      </x:c>
      <x:c r="J13" t="str">
        <x:f>E13&amp;"-"&amp;F13&amp;IF(G13&gt;0,"-"&amp;G13,"")</x:f>
        <x:v>1-2</x:v>
      </x:c>
      <x:c r="K13" t="n">
        <x:f>COUNTIFS(Games!$A$4:$A$1177,$A13,Games!$D$4:$D$1177,"post",Games!$G$4:$G$1177,$C13,Games!$T$4:$T$1177,"&lt;&gt;")+COUNTIFS(Games!$A$4:$A$1177,$A13,Games!$D$4:$D$1177,"post",Games!$L$4:$L$1177,$C13,Games!$T$4:$T$1177,"&lt;&gt;")</x:f>
        <x:v>0</x:v>
      </x:c>
      <x:c r="L13" s="80" t="n">
        <x:f>IF(D13=0,0,K13/D13)</x:f>
        <x:v>0</x:v>
      </x:c>
      <x:c r="M13" t="str">
        <x:f>IF(AND(D13&gt;=2,K13&gt;=2,L13&gt;=75%),"YES","NO")</x:f>
        <x:v>NO</x:v>
      </x:c>
    </x:row>
    <x:row r="14">
      <x:c r="A14" t="str">
        <x:v>CFB</x:v>
      </x:c>
      <x:c r="B14" t="str">
        <x:v>Arkansas State Red Wolves</x:v>
      </x:c>
      <x:c r="C14" t="str">
        <x:v>ARST</x:v>
      </x:c>
      <x:c r="D14" t="n">
        <x:f>COUNTIFS(Games!$A$4:$A$1177,$A14,Games!$D$4:$D$1177,"post",Games!$G$4:$G$1177,$C14)+COUNTIFS(Games!$A$4:$A$1177,$A14,Games!$D$4:$D$1177,"post",Games!$L$4:$L$1177,$C14)</x:f>
        <x:v>3</x:v>
      </x:c>
      <x:c r="E14" t="n">
        <x:f>COUNTIFS(Games!$A$4:$A$1177,$A14,Games!$G$4:$G$1177,$C14,Games!$J$4:$J$1177,"W")+COUNTIFS(Games!$A$4:$A$1177,$A14,Games!$L$4:$L$1177,$C14,Games!$O$4:$O$1177,"W")</x:f>
        <x:v>1</x:v>
      </x:c>
      <x:c r="F14" t="n">
        <x:f>COUNTIFS(Games!$A$4:$A$1177,$A14,Games!$G$4:$G$1177,$C14,Games!$J$4:$J$1177,"L")+COUNTIFS(Games!$A$4:$A$1177,$A14,Games!$L$4:$L$1177,$C14,Games!$O$4:$O$1177,"L")</x:f>
        <x:v>2</x:v>
      </x:c>
      <x:c r="G14" t="n">
        <x:f>COUNTIFS(Games!$A$4:$A$1177,$A14,Games!$G$4:$G$1177,$C14,Games!$J$4:$J$1177,"T")+COUNTIFS(Games!$A$4:$A$1177,$A14,Games!$L$4:$L$1177,$C14,Games!$O$4:$O$1177,"T")</x:f>
        <x:v>0</x:v>
      </x:c>
      <x:c r="H14" t="n">
        <x:f>SUMIFS(Games!$H$4:$H$1177,Games!$A$4:$A$1177,$A14,Games!$D$4:$D$1177,"post",Games!$G$4:$G$1177,$C14)+SUMIFS(Games!$M$4:$M$1177,Games!$A$4:$A$1177,$A14,Games!$D$4:$D$1177,"post",Games!$L$4:$L$1177,$C14)</x:f>
        <x:v>83</x:v>
      </x:c>
      <x:c r="I14" t="n">
        <x:f>SUMIFS(Games!$M$4:$M$1177,Games!$A$4:$A$1177,$A14,Games!$D$4:$D$1177,"post",Games!$G$4:$G$1177,$C14)+SUMIFS(Games!$H$4:$H$1177,Games!$A$4:$A$1177,$A14,Games!$D$4:$D$1177,"post",Games!$L$4:$L$1177,$C14)</x:f>
        <x:v>80</x:v>
      </x:c>
      <x:c r="J14" t="str">
        <x:f>E14&amp;"-"&amp;F14&amp;IF(G14&gt;0,"-"&amp;G14,"")</x:f>
        <x:v>1-2</x:v>
      </x:c>
      <x:c r="K14" t="n">
        <x:f>COUNTIFS(Games!$A$4:$A$1177,$A14,Games!$D$4:$D$1177,"post",Games!$G$4:$G$1177,$C14,Games!$T$4:$T$1177,"&lt;&gt;")+COUNTIFS(Games!$A$4:$A$1177,$A14,Games!$D$4:$D$1177,"post",Games!$L$4:$L$1177,$C14,Games!$T$4:$T$1177,"&lt;&gt;")</x:f>
        <x:v>0</x:v>
      </x:c>
      <x:c r="L14" s="80" t="n">
        <x:f>IF(D14=0,0,K14/D14)</x:f>
        <x:v>0</x:v>
      </x:c>
      <x:c r="M14" t="str">
        <x:f>IF(AND(D14&gt;=2,K14&gt;=2,L14&gt;=75%),"YES","NO")</x:f>
        <x:v>NO</x:v>
      </x:c>
    </x:row>
    <x:row r="15">
      <x:c r="A15" t="str">
        <x:v>CFB</x:v>
      </x:c>
      <x:c r="B15" t="str">
        <x:v>Arkansas-Pine Bluff Golden Lions</x:v>
      </x:c>
      <x:c r="C15" t="str">
        <x:v>UAPB</x:v>
      </x:c>
      <x:c r="D15" t="n">
        <x:f>COUNTIFS(Games!$A$4:$A$1177,$A15,Games!$D$4:$D$1177,"post",Games!$G$4:$G$1177,$C15)+COUNTIFS(Games!$A$4:$A$1177,$A15,Games!$D$4:$D$1177,"post",Games!$L$4:$L$1177,$C15)</x:f>
        <x:v>1</x:v>
      </x:c>
      <x:c r="E15" t="n">
        <x:f>COUNTIFS(Games!$A$4:$A$1177,$A15,Games!$G$4:$G$1177,$C15,Games!$J$4:$J$1177,"W")+COUNTIFS(Games!$A$4:$A$1177,$A15,Games!$L$4:$L$1177,$C15,Games!$O$4:$O$1177,"W")</x:f>
        <x:v>0</x:v>
      </x:c>
      <x:c r="F15" t="n">
        <x:f>COUNTIFS(Games!$A$4:$A$1177,$A15,Games!$G$4:$G$1177,$C15,Games!$J$4:$J$1177,"L")+COUNTIFS(Games!$A$4:$A$1177,$A15,Games!$L$4:$L$1177,$C15,Games!$O$4:$O$1177,"L")</x:f>
        <x:v>1</x:v>
      </x:c>
      <x:c r="G15" t="n">
        <x:f>COUNTIFS(Games!$A$4:$A$1177,$A15,Games!$G$4:$G$1177,$C15,Games!$J$4:$J$1177,"T")+COUNTIFS(Games!$A$4:$A$1177,$A15,Games!$L$4:$L$1177,$C15,Games!$O$4:$O$1177,"T")</x:f>
        <x:v>0</x:v>
      </x:c>
      <x:c r="H15" t="n">
        <x:f>SUMIFS(Games!$H$4:$H$1177,Games!$A$4:$A$1177,$A15,Games!$D$4:$D$1177,"post",Games!$G$4:$G$1177,$C15)+SUMIFS(Games!$M$4:$M$1177,Games!$A$4:$A$1177,$A15,Games!$D$4:$D$1177,"post",Games!$L$4:$L$1177,$C15)</x:f>
        <x:v>14</x:v>
      </x:c>
      <x:c r="I15" t="n">
        <x:f>SUMIFS(Games!$M$4:$M$1177,Games!$A$4:$A$1177,$A15,Games!$D$4:$D$1177,"post",Games!$G$4:$G$1177,$C15)+SUMIFS(Games!$H$4:$H$1177,Games!$A$4:$A$1177,$A15,Games!$D$4:$D$1177,"post",Games!$L$4:$L$1177,$C15)</x:f>
        <x:v>54</x:v>
      </x:c>
      <x:c r="J15" t="str">
        <x:f>E15&amp;"-"&amp;F15&amp;IF(G15&gt;0,"-"&amp;G15,"")</x:f>
        <x:v>0-1</x:v>
      </x:c>
      <x:c r="K15" t="n">
        <x:f>COUNTIFS(Games!$A$4:$A$1177,$A15,Games!$D$4:$D$1177,"post",Games!$G$4:$G$1177,$C15,Games!$T$4:$T$1177,"&lt;&gt;")+COUNTIFS(Games!$A$4:$A$1177,$A15,Games!$D$4:$D$1177,"post",Games!$L$4:$L$1177,$C15,Games!$T$4:$T$1177,"&lt;&gt;")</x:f>
        <x:v>0</x:v>
      </x:c>
      <x:c r="L15" s="80" t="n">
        <x:f>IF(D15=0,0,K15/D15)</x:f>
        <x:v>0</x:v>
      </x:c>
      <x:c r="M15" t="str">
        <x:f>IF(AND(D15&gt;=2,K15&gt;=2,L15&gt;=75%),"YES","NO")</x:f>
        <x:v>NO</x:v>
      </x:c>
    </x:row>
    <x:row r="16">
      <x:c r="A16" t="str">
        <x:v>CFB</x:v>
      </x:c>
      <x:c r="B16" t="str">
        <x:v>Army Black Knights</x:v>
      </x:c>
      <x:c r="C16" t="str">
        <x:v>ARMY</x:v>
      </x:c>
      <x:c r="D16" t="n">
        <x:f>COUNTIFS(Games!$A$4:$A$1177,$A16,Games!$D$4:$D$1177,"post",Games!$G$4:$G$1177,$C16)+COUNTIFS(Games!$A$4:$A$1177,$A16,Games!$D$4:$D$1177,"post",Games!$L$4:$L$1177,$C16)</x:f>
        <x:v>2</x:v>
      </x:c>
      <x:c r="E16" t="n">
        <x:f>COUNTIFS(Games!$A$4:$A$1177,$A16,Games!$G$4:$G$1177,$C16,Games!$J$4:$J$1177,"W")+COUNTIFS(Games!$A$4:$A$1177,$A16,Games!$L$4:$L$1177,$C16,Games!$O$4:$O$1177,"W")</x:f>
        <x:v>1</x:v>
      </x:c>
      <x:c r="F16" t="n">
        <x:f>COUNTIFS(Games!$A$4:$A$1177,$A16,Games!$G$4:$G$1177,$C16,Games!$J$4:$J$1177,"L")+COUNTIFS(Games!$A$4:$A$1177,$A16,Games!$L$4:$L$1177,$C16,Games!$O$4:$O$1177,"L")</x:f>
        <x:v>1</x:v>
      </x:c>
      <x:c r="G16" t="n">
        <x:f>COUNTIFS(Games!$A$4:$A$1177,$A16,Games!$G$4:$G$1177,$C16,Games!$J$4:$J$1177,"T")+COUNTIFS(Games!$A$4:$A$1177,$A16,Games!$L$4:$L$1177,$C16,Games!$O$4:$O$1177,"T")</x:f>
        <x:v>0</x:v>
      </x:c>
      <x:c r="H16" t="n">
        <x:f>SUMIFS(Games!$H$4:$H$1177,Games!$A$4:$A$1177,$A16,Games!$D$4:$D$1177,"post",Games!$G$4:$G$1177,$C16)+SUMIFS(Games!$M$4:$M$1177,Games!$A$4:$A$1177,$A16,Games!$D$4:$D$1177,"post",Games!$L$4:$L$1177,$C16)</x:f>
        <x:v>83</x:v>
      </x:c>
      <x:c r="I16" t="n">
        <x:f>SUMIFS(Games!$M$4:$M$1177,Games!$A$4:$A$1177,$A16,Games!$D$4:$D$1177,"post",Games!$G$4:$G$1177,$C16)+SUMIFS(Games!$H$4:$H$1177,Games!$A$4:$A$1177,$A16,Games!$D$4:$D$1177,"post",Games!$L$4:$L$1177,$C16)</x:f>
        <x:v>31</x:v>
      </x:c>
      <x:c r="J16" t="str">
        <x:f>E16&amp;"-"&amp;F16&amp;IF(G16&gt;0,"-"&amp;G16,"")</x:f>
        <x:v>1-1</x:v>
      </x:c>
      <x:c r="K16" t="n">
        <x:f>COUNTIFS(Games!$A$4:$A$1177,$A16,Games!$D$4:$D$1177,"post",Games!$G$4:$G$1177,$C16,Games!$T$4:$T$1177,"&lt;&gt;")+COUNTIFS(Games!$A$4:$A$1177,$A16,Games!$D$4:$D$1177,"post",Games!$L$4:$L$1177,$C16,Games!$T$4:$T$1177,"&lt;&gt;")</x:f>
        <x:v>0</x:v>
      </x:c>
      <x:c r="L16" s="80" t="n">
        <x:f>IF(D16=0,0,K16/D16)</x:f>
        <x:v>0</x:v>
      </x:c>
      <x:c r="M16" t="str">
        <x:f>IF(AND(D16&gt;=2,K16&gt;=2,L16&gt;=75%),"YES","NO")</x:f>
        <x:v>NO</x:v>
      </x:c>
    </x:row>
    <x:row r="17">
      <x:c r="A17" t="str">
        <x:v>CFB</x:v>
      </x:c>
      <x:c r="B17" t="str">
        <x:v>Auburn Tigers</x:v>
      </x:c>
      <x:c r="C17" t="str">
        <x:v>AUB</x:v>
      </x:c>
      <x:c r="D17" t="n">
        <x:f>COUNTIFS(Games!$A$4:$A$1177,$A17,Games!$D$4:$D$1177,"post",Games!$G$4:$G$1177,$C17)+COUNTIFS(Games!$A$4:$A$1177,$A17,Games!$D$4:$D$1177,"post",Games!$L$4:$L$1177,$C17)</x:f>
        <x:v>3</x:v>
      </x:c>
      <x:c r="E17" t="n">
        <x:f>COUNTIFS(Games!$A$4:$A$1177,$A17,Games!$G$4:$G$1177,$C17,Games!$J$4:$J$1177,"W")+COUNTIFS(Games!$A$4:$A$1177,$A17,Games!$L$4:$L$1177,$C17,Games!$O$4:$O$1177,"W")</x:f>
        <x:v>2</x:v>
      </x:c>
      <x:c r="F17" t="n">
        <x:f>COUNTIFS(Games!$A$4:$A$1177,$A17,Games!$G$4:$G$1177,$C17,Games!$J$4:$J$1177,"L")+COUNTIFS(Games!$A$4:$A$1177,$A17,Games!$L$4:$L$1177,$C17,Games!$O$4:$O$1177,"L")</x:f>
        <x:v>1</x:v>
      </x:c>
      <x:c r="G17" t="n">
        <x:f>COUNTIFS(Games!$A$4:$A$1177,$A17,Games!$G$4:$G$1177,$C17,Games!$J$4:$J$1177,"T")+COUNTIFS(Games!$A$4:$A$1177,$A17,Games!$L$4:$L$1177,$C17,Games!$O$4:$O$1177,"T")</x:f>
        <x:v>0</x:v>
      </x:c>
      <x:c r="H17" t="n">
        <x:f>SUMIFS(Games!$H$4:$H$1177,Games!$A$4:$A$1177,$A17,Games!$D$4:$D$1177,"post",Games!$G$4:$G$1177,$C17)+SUMIFS(Games!$M$4:$M$1177,Games!$A$4:$A$1177,$A17,Games!$D$4:$D$1177,"post",Games!$L$4:$L$1177,$C17)</x:f>
        <x:v>99</x:v>
      </x:c>
      <x:c r="I17" t="n">
        <x:f>SUMIFS(Games!$M$4:$M$1177,Games!$A$4:$A$1177,$A17,Games!$D$4:$D$1177,"post",Games!$G$4:$G$1177,$C17)+SUMIFS(Games!$H$4:$H$1177,Games!$A$4:$A$1177,$A17,Games!$D$4:$D$1177,"post",Games!$L$4:$L$1177,$C17)</x:f>
        <x:v>68</x:v>
      </x:c>
      <x:c r="J17" t="str">
        <x:f>E17&amp;"-"&amp;F17&amp;IF(G17&gt;0,"-"&amp;G17,"")</x:f>
        <x:v>2-1</x:v>
      </x:c>
      <x:c r="K17" t="n">
        <x:f>COUNTIFS(Games!$A$4:$A$1177,$A17,Games!$D$4:$D$1177,"post",Games!$G$4:$G$1177,$C17,Games!$T$4:$T$1177,"&lt;&gt;")+COUNTIFS(Games!$A$4:$A$1177,$A17,Games!$D$4:$D$1177,"post",Games!$L$4:$L$1177,$C17,Games!$T$4:$T$1177,"&lt;&gt;")</x:f>
        <x:v>0</x:v>
      </x:c>
      <x:c r="L17" s="80" t="n">
        <x:f>IF(D17=0,0,K17/D17)</x:f>
        <x:v>0</x:v>
      </x:c>
      <x:c r="M17" t="str">
        <x:f>IF(AND(D17&gt;=2,K17&gt;=2,L17&gt;=75%),"YES","NO")</x:f>
        <x:v>NO</x:v>
      </x:c>
    </x:row>
    <x:row r="18">
      <x:c r="A18" t="str">
        <x:v>CFB</x:v>
      </x:c>
      <x:c r="B18" t="str">
        <x:v>Austin Peay Governors</x:v>
      </x:c>
      <x:c r="C18" t="str">
        <x:v>APSU</x:v>
      </x:c>
      <x:c r="D18" t="n">
        <x:f>COUNTIFS(Games!$A$4:$A$1177,$A18,Games!$D$4:$D$1177,"post",Games!$G$4:$G$1177,$C18)+COUNTIFS(Games!$A$4:$A$1177,$A18,Games!$D$4:$D$1177,"post",Games!$L$4:$L$1177,$C18)</x:f>
        <x:v>1</x:v>
      </x:c>
      <x:c r="E18" t="n">
        <x:f>COUNTIFS(Games!$A$4:$A$1177,$A18,Games!$G$4:$G$1177,$C18,Games!$J$4:$J$1177,"W")+COUNTIFS(Games!$A$4:$A$1177,$A18,Games!$L$4:$L$1177,$C18,Games!$O$4:$O$1177,"W")</x:f>
        <x:v>0</x:v>
      </x:c>
      <x:c r="F18" t="n">
        <x:f>COUNTIFS(Games!$A$4:$A$1177,$A18,Games!$G$4:$G$1177,$C18,Games!$J$4:$J$1177,"L")+COUNTIFS(Games!$A$4:$A$1177,$A18,Games!$L$4:$L$1177,$C18,Games!$O$4:$O$1177,"L")</x:f>
        <x:v>1</x:v>
      </x:c>
      <x:c r="G18" t="n">
        <x:f>COUNTIFS(Games!$A$4:$A$1177,$A18,Games!$G$4:$G$1177,$C18,Games!$J$4:$J$1177,"T")+COUNTIFS(Games!$A$4:$A$1177,$A18,Games!$L$4:$L$1177,$C18,Games!$O$4:$O$1177,"T")</x:f>
        <x:v>0</x:v>
      </x:c>
      <x:c r="H18" t="n">
        <x:f>SUMIFS(Games!$H$4:$H$1177,Games!$A$4:$A$1177,$A18,Games!$D$4:$D$1177,"post",Games!$G$4:$G$1177,$C18)+SUMIFS(Games!$M$4:$M$1177,Games!$A$4:$A$1177,$A18,Games!$D$4:$D$1177,"post",Games!$L$4:$L$1177,$C18)</x:f>
        <x:v>9</x:v>
      </x:c>
      <x:c r="I18" t="n">
        <x:f>SUMIFS(Games!$M$4:$M$1177,Games!$A$4:$A$1177,$A18,Games!$D$4:$D$1177,"post",Games!$G$4:$G$1177,$C18)+SUMIFS(Games!$H$4:$H$1177,Games!$A$4:$A$1177,$A18,Games!$D$4:$D$1177,"post",Games!$L$4:$L$1177,$C18)</x:f>
        <x:v>28</x:v>
      </x:c>
      <x:c r="J18" t="str">
        <x:f>E18&amp;"-"&amp;F18&amp;IF(G18&gt;0,"-"&amp;G18,"")</x:f>
        <x:v>0-1</x:v>
      </x:c>
      <x:c r="K18" t="n">
        <x:f>COUNTIFS(Games!$A$4:$A$1177,$A18,Games!$D$4:$D$1177,"post",Games!$G$4:$G$1177,$C18,Games!$T$4:$T$1177,"&lt;&gt;")+COUNTIFS(Games!$A$4:$A$1177,$A18,Games!$D$4:$D$1177,"post",Games!$L$4:$L$1177,$C18,Games!$T$4:$T$1177,"&lt;&gt;")</x:f>
        <x:v>0</x:v>
      </x:c>
      <x:c r="L18" s="80" t="n">
        <x:f>IF(D18=0,0,K18/D18)</x:f>
        <x:v>0</x:v>
      </x:c>
      <x:c r="M18" t="str">
        <x:f>IF(AND(D18&gt;=2,K18&gt;=2,L18&gt;=75%),"YES","NO")</x:f>
        <x:v>NO</x:v>
      </x:c>
    </x:row>
    <x:row r="19">
      <x:c r="A19" t="str">
        <x:v>CFB</x:v>
      </x:c>
      <x:c r="B19" t="str">
        <x:v>Ball State Cardinals</x:v>
      </x:c>
      <x:c r="C19" t="str">
        <x:v>BALL</x:v>
      </x:c>
      <x:c r="D19" t="n">
        <x:f>COUNTIFS(Games!$A$4:$A$1177,$A19,Games!$D$4:$D$1177,"post",Games!$G$4:$G$1177,$C19)+COUNTIFS(Games!$A$4:$A$1177,$A19,Games!$D$4:$D$1177,"post",Games!$L$4:$L$1177,$C19)</x:f>
        <x:v>3</x:v>
      </x:c>
      <x:c r="E19" t="n">
        <x:f>COUNTIFS(Games!$A$4:$A$1177,$A19,Games!$G$4:$G$1177,$C19,Games!$J$4:$J$1177,"W")+COUNTIFS(Games!$A$4:$A$1177,$A19,Games!$L$4:$L$1177,$C19,Games!$O$4:$O$1177,"W")</x:f>
        <x:v>1</x:v>
      </x:c>
      <x:c r="F19" t="n">
        <x:f>COUNTIFS(Games!$A$4:$A$1177,$A19,Games!$G$4:$G$1177,$C19,Games!$J$4:$J$1177,"L")+COUNTIFS(Games!$A$4:$A$1177,$A19,Games!$L$4:$L$1177,$C19,Games!$O$4:$O$1177,"L")</x:f>
        <x:v>2</x:v>
      </x:c>
      <x:c r="G19" t="n">
        <x:f>COUNTIFS(Games!$A$4:$A$1177,$A19,Games!$G$4:$G$1177,$C19,Games!$J$4:$J$1177,"T")+COUNTIFS(Games!$A$4:$A$1177,$A19,Games!$L$4:$L$1177,$C19,Games!$O$4:$O$1177,"T")</x:f>
        <x:v>0</x:v>
      </x:c>
      <x:c r="H19" t="n">
        <x:f>SUMIFS(Games!$H$4:$H$1177,Games!$A$4:$A$1177,$A19,Games!$D$4:$D$1177,"post",Games!$G$4:$G$1177,$C19)+SUMIFS(Games!$M$4:$M$1177,Games!$A$4:$A$1177,$A19,Games!$D$4:$D$1177,"post",Games!$L$4:$L$1177,$C19)</x:f>
        <x:v>59</x:v>
      </x:c>
      <x:c r="I19" t="n">
        <x:f>SUMIFS(Games!$M$4:$M$1177,Games!$A$4:$A$1177,$A19,Games!$D$4:$D$1177,"post",Games!$G$4:$G$1177,$C19)+SUMIFS(Games!$H$4:$H$1177,Games!$A$4:$A$1177,$A19,Games!$D$4:$D$1177,"post",Games!$L$4:$L$1177,$C19)</x:f>
        <x:v>124</x:v>
      </x:c>
      <x:c r="J19" t="str">
        <x:f>E19&amp;"-"&amp;F19&amp;IF(G19&gt;0,"-"&amp;G19,"")</x:f>
        <x:v>1-2</x:v>
      </x:c>
      <x:c r="K19" t="n">
        <x:f>COUNTIFS(Games!$A$4:$A$1177,$A19,Games!$D$4:$D$1177,"post",Games!$G$4:$G$1177,$C19,Games!$T$4:$T$1177,"&lt;&gt;")+COUNTIFS(Games!$A$4:$A$1177,$A19,Games!$D$4:$D$1177,"post",Games!$L$4:$L$1177,$C19,Games!$T$4:$T$1177,"&lt;&gt;")</x:f>
        <x:v>0</x:v>
      </x:c>
      <x:c r="L19" s="80" t="n">
        <x:f>IF(D19=0,0,K19/D19)</x:f>
        <x:v>0</x:v>
      </x:c>
      <x:c r="M19" t="str">
        <x:f>IF(AND(D19&gt;=2,K19&gt;=2,L19&gt;=75%),"YES","NO")</x:f>
        <x:v>NO</x:v>
      </x:c>
    </x:row>
    <x:row r="20">
      <x:c r="A20" t="str">
        <x:v>CFB</x:v>
      </x:c>
      <x:c r="B20" t="str">
        <x:v>Baylor Bears</x:v>
      </x:c>
      <x:c r="C20" t="str">
        <x:v>BAY</x:v>
      </x:c>
      <x:c r="D20" t="n">
        <x:f>COUNTIFS(Games!$A$4:$A$1177,$A20,Games!$D$4:$D$1177,"post",Games!$G$4:$G$1177,$C20)+COUNTIFS(Games!$A$4:$A$1177,$A20,Games!$D$4:$D$1177,"post",Games!$L$4:$L$1177,$C20)</x:f>
        <x:v>3</x:v>
      </x:c>
      <x:c r="E20" t="n">
        <x:f>COUNTIFS(Games!$A$4:$A$1177,$A20,Games!$G$4:$G$1177,$C20,Games!$J$4:$J$1177,"W")+COUNTIFS(Games!$A$4:$A$1177,$A20,Games!$L$4:$L$1177,$C20,Games!$O$4:$O$1177,"W")</x:f>
        <x:v>2</x:v>
      </x:c>
      <x:c r="F20" t="n">
        <x:f>COUNTIFS(Games!$A$4:$A$1177,$A20,Games!$G$4:$G$1177,$C20,Games!$J$4:$J$1177,"L")+COUNTIFS(Games!$A$4:$A$1177,$A20,Games!$L$4:$L$1177,$C20,Games!$O$4:$O$1177,"L")</x:f>
        <x:v>1</x:v>
      </x:c>
      <x:c r="G20" t="n">
        <x:f>COUNTIFS(Games!$A$4:$A$1177,$A20,Games!$G$4:$G$1177,$C20,Games!$J$4:$J$1177,"T")+COUNTIFS(Games!$A$4:$A$1177,$A20,Games!$L$4:$L$1177,$C20,Games!$O$4:$O$1177,"T")</x:f>
        <x:v>0</x:v>
      </x:c>
      <x:c r="H20" t="n">
        <x:f>SUMIFS(Games!$H$4:$H$1177,Games!$A$4:$A$1177,$A20,Games!$D$4:$D$1177,"post",Games!$G$4:$G$1177,$C20)+SUMIFS(Games!$M$4:$M$1177,Games!$A$4:$A$1177,$A20,Games!$D$4:$D$1177,"post",Games!$L$4:$L$1177,$C20)</x:f>
        <x:v>96</x:v>
      </x:c>
      <x:c r="I20" t="n">
        <x:f>SUMIFS(Games!$M$4:$M$1177,Games!$A$4:$A$1177,$A20,Games!$D$4:$D$1177,"post",Games!$G$4:$G$1177,$C20)+SUMIFS(Games!$H$4:$H$1177,Games!$A$4:$A$1177,$A20,Games!$D$4:$D$1177,"post",Games!$L$4:$L$1177,$C20)</x:f>
        <x:v>39</x:v>
      </x:c>
      <x:c r="J20" t="str">
        <x:f>E20&amp;"-"&amp;F20&amp;IF(G20&gt;0,"-"&amp;G20,"")</x:f>
        <x:v>2-1</x:v>
      </x:c>
      <x:c r="K20" t="n">
        <x:f>COUNTIFS(Games!$A$4:$A$1177,$A20,Games!$D$4:$D$1177,"post",Games!$G$4:$G$1177,$C20,Games!$T$4:$T$1177,"&lt;&gt;")+COUNTIFS(Games!$A$4:$A$1177,$A20,Games!$D$4:$D$1177,"post",Games!$L$4:$L$1177,$C20,Games!$T$4:$T$1177,"&lt;&gt;")</x:f>
        <x:v>0</x:v>
      </x:c>
      <x:c r="L20" s="80" t="n">
        <x:f>IF(D20=0,0,K20/D20)</x:f>
        <x:v>0</x:v>
      </x:c>
      <x:c r="M20" t="str">
        <x:f>IF(AND(D20&gt;=2,K20&gt;=2,L20&gt;=75%),"YES","NO")</x:f>
        <x:v>NO</x:v>
      </x:c>
    </x:row>
    <x:row r="21">
      <x:c r="A21" t="str">
        <x:v>CFB</x:v>
      </x:c>
      <x:c r="B21" t="str">
        <x:v>Bethune-Cookman Wildcats</x:v>
      </x:c>
      <x:c r="C21" t="str">
        <x:v>BCU</x:v>
      </x:c>
      <x:c r="D21" t="n">
        <x:f>COUNTIFS(Games!$A$4:$A$1177,$A21,Games!$D$4:$D$1177,"post",Games!$G$4:$G$1177,$C21)+COUNTIFS(Games!$A$4:$A$1177,$A21,Games!$D$4:$D$1177,"post",Games!$L$4:$L$1177,$C21)</x:f>
        <x:v>1</x:v>
      </x:c>
      <x:c r="E21" t="n">
        <x:f>COUNTIFS(Games!$A$4:$A$1177,$A21,Games!$G$4:$G$1177,$C21,Games!$J$4:$J$1177,"W")+COUNTIFS(Games!$A$4:$A$1177,$A21,Games!$L$4:$L$1177,$C21,Games!$O$4:$O$1177,"W")</x:f>
        <x:v>0</x:v>
      </x:c>
      <x:c r="F21" t="n">
        <x:f>COUNTIFS(Games!$A$4:$A$1177,$A21,Games!$G$4:$G$1177,$C21,Games!$J$4:$J$1177,"L")+COUNTIFS(Games!$A$4:$A$1177,$A21,Games!$L$4:$L$1177,$C21,Games!$O$4:$O$1177,"L")</x:f>
        <x:v>1</x:v>
      </x:c>
      <x:c r="G21" t="n">
        <x:f>COUNTIFS(Games!$A$4:$A$1177,$A21,Games!$G$4:$G$1177,$C21,Games!$J$4:$J$1177,"T")+COUNTIFS(Games!$A$4:$A$1177,$A21,Games!$L$4:$L$1177,$C21,Games!$O$4:$O$1177,"T")</x:f>
        <x:v>0</x:v>
      </x:c>
      <x:c r="H21" t="n">
        <x:f>SUMIFS(Games!$H$4:$H$1177,Games!$A$4:$A$1177,$A21,Games!$D$4:$D$1177,"post",Games!$G$4:$G$1177,$C21)+SUMIFS(Games!$M$4:$M$1177,Games!$A$4:$A$1177,$A21,Games!$D$4:$D$1177,"post",Games!$L$4:$L$1177,$C21)</x:f>
        <x:v>6</x:v>
      </x:c>
      <x:c r="I21" t="n">
        <x:f>SUMIFS(Games!$M$4:$M$1177,Games!$A$4:$A$1177,$A21,Games!$D$4:$D$1177,"post",Games!$G$4:$G$1177,$C21)+SUMIFS(Games!$H$4:$H$1177,Games!$A$4:$A$1177,$A21,Games!$D$4:$D$1177,"post",Games!$L$4:$L$1177,$C21)</x:f>
        <x:v>73</x:v>
      </x:c>
      <x:c r="J21" t="str">
        <x:f>E21&amp;"-"&amp;F21&amp;IF(G21&gt;0,"-"&amp;G21,"")</x:f>
        <x:v>0-1</x:v>
      </x:c>
      <x:c r="K21" t="n">
        <x:f>COUNTIFS(Games!$A$4:$A$1177,$A21,Games!$D$4:$D$1177,"post",Games!$G$4:$G$1177,$C21,Games!$T$4:$T$1177,"&lt;&gt;")+COUNTIFS(Games!$A$4:$A$1177,$A21,Games!$D$4:$D$1177,"post",Games!$L$4:$L$1177,$C21,Games!$T$4:$T$1177,"&lt;&gt;")</x:f>
        <x:v>0</x:v>
      </x:c>
      <x:c r="L21" s="80" t="n">
        <x:f>IF(D21=0,0,K21/D21)</x:f>
        <x:v>0</x:v>
      </x:c>
      <x:c r="M21" t="str">
        <x:f>IF(AND(D21&gt;=2,K21&gt;=2,L21&gt;=75%),"YES","NO")</x:f>
        <x:v>NO</x:v>
      </x:c>
    </x:row>
    <x:row r="22">
      <x:c r="A22" t="str">
        <x:v>CFB</x:v>
      </x:c>
      <x:c r="B22" t="str">
        <x:v>Boise State Broncos</x:v>
      </x:c>
      <x:c r="C22" t="str">
        <x:v>BOIS</x:v>
      </x:c>
      <x:c r="D22" t="n">
        <x:f>COUNTIFS(Games!$A$4:$A$1177,$A22,Games!$D$4:$D$1177,"post",Games!$G$4:$G$1177,$C22)+COUNTIFS(Games!$A$4:$A$1177,$A22,Games!$D$4:$D$1177,"post",Games!$L$4:$L$1177,$C22)</x:f>
        <x:v>3</x:v>
      </x:c>
      <x:c r="E22" t="n">
        <x:f>COUNTIFS(Games!$A$4:$A$1177,$A22,Games!$G$4:$G$1177,$C22,Games!$J$4:$J$1177,"W")+COUNTIFS(Games!$A$4:$A$1177,$A22,Games!$L$4:$L$1177,$C22,Games!$O$4:$O$1177,"W")</x:f>
        <x:v>2</x:v>
      </x:c>
      <x:c r="F22" t="n">
        <x:f>COUNTIFS(Games!$A$4:$A$1177,$A22,Games!$G$4:$G$1177,$C22,Games!$J$4:$J$1177,"L")+COUNTIFS(Games!$A$4:$A$1177,$A22,Games!$L$4:$L$1177,$C22,Games!$O$4:$O$1177,"L")</x:f>
        <x:v>1</x:v>
      </x:c>
      <x:c r="G22" t="n">
        <x:f>COUNTIFS(Games!$A$4:$A$1177,$A22,Games!$G$4:$G$1177,$C22,Games!$J$4:$J$1177,"T")+COUNTIFS(Games!$A$4:$A$1177,$A22,Games!$L$4:$L$1177,$C22,Games!$O$4:$O$1177,"T")</x:f>
        <x:v>0</x:v>
      </x:c>
      <x:c r="H22" t="n">
        <x:f>SUMIFS(Games!$H$4:$H$1177,Games!$A$4:$A$1177,$A22,Games!$D$4:$D$1177,"post",Games!$G$4:$G$1177,$C22)+SUMIFS(Games!$M$4:$M$1177,Games!$A$4:$A$1177,$A22,Games!$D$4:$D$1177,"post",Games!$L$4:$L$1177,$C22)</x:f>
        <x:v>103</x:v>
      </x:c>
      <x:c r="I22" t="n">
        <x:f>SUMIFS(Games!$M$4:$M$1177,Games!$A$4:$A$1177,$A22,Games!$D$4:$D$1177,"post",Games!$G$4:$G$1177,$C22)+SUMIFS(Games!$H$4:$H$1177,Games!$A$4:$A$1177,$A22,Games!$D$4:$D$1177,"post",Games!$L$4:$L$1177,$C22)</x:f>
        <x:v>78</x:v>
      </x:c>
      <x:c r="J22" t="str">
        <x:f>E22&amp;"-"&amp;F22&amp;IF(G22&gt;0,"-"&amp;G22,"")</x:f>
        <x:v>2-1</x:v>
      </x:c>
      <x:c r="K22" t="n">
        <x:f>COUNTIFS(Games!$A$4:$A$1177,$A22,Games!$D$4:$D$1177,"post",Games!$G$4:$G$1177,$C22,Games!$T$4:$T$1177,"&lt;&gt;")+COUNTIFS(Games!$A$4:$A$1177,$A22,Games!$D$4:$D$1177,"post",Games!$L$4:$L$1177,$C22,Games!$T$4:$T$1177,"&lt;&gt;")</x:f>
        <x:v>0</x:v>
      </x:c>
      <x:c r="L22" s="80" t="n">
        <x:f>IF(D22=0,0,K22/D22)</x:f>
        <x:v>0</x:v>
      </x:c>
      <x:c r="M22" t="str">
        <x:f>IF(AND(D22&gt;=2,K22&gt;=2,L22&gt;=75%),"YES","NO")</x:f>
        <x:v>NO</x:v>
      </x:c>
    </x:row>
    <x:row r="23">
      <x:c r="A23" t="str">
        <x:v>CFB</x:v>
      </x:c>
      <x:c r="B23" t="str">
        <x:v>Boston College Eagles</x:v>
      </x:c>
      <x:c r="C23" t="str">
        <x:v>BC</x:v>
      </x:c>
      <x:c r="D23" t="n">
        <x:f>COUNTIFS(Games!$A$4:$A$1177,$A23,Games!$D$4:$D$1177,"post",Games!$G$4:$G$1177,$C23)+COUNTIFS(Games!$A$4:$A$1177,$A23,Games!$D$4:$D$1177,"post",Games!$L$4:$L$1177,$C23)</x:f>
        <x:v>3</x:v>
      </x:c>
      <x:c r="E23" t="n">
        <x:f>COUNTIFS(Games!$A$4:$A$1177,$A23,Games!$G$4:$G$1177,$C23,Games!$J$4:$J$1177,"W")+COUNTIFS(Games!$A$4:$A$1177,$A23,Games!$L$4:$L$1177,$C23,Games!$O$4:$O$1177,"W")</x:f>
        <x:v>2</x:v>
      </x:c>
      <x:c r="F23" t="n">
        <x:f>COUNTIFS(Games!$A$4:$A$1177,$A23,Games!$G$4:$G$1177,$C23,Games!$J$4:$J$1177,"L")+COUNTIFS(Games!$A$4:$A$1177,$A23,Games!$L$4:$L$1177,$C23,Games!$O$4:$O$1177,"L")</x:f>
        <x:v>1</x:v>
      </x:c>
      <x:c r="G23" t="n">
        <x:f>COUNTIFS(Games!$A$4:$A$1177,$A23,Games!$G$4:$G$1177,$C23,Games!$J$4:$J$1177,"T")+COUNTIFS(Games!$A$4:$A$1177,$A23,Games!$L$4:$L$1177,$C23,Games!$O$4:$O$1177,"T")</x:f>
        <x:v>0</x:v>
      </x:c>
      <x:c r="H23" t="n">
        <x:f>SUMIFS(Games!$H$4:$H$1177,Games!$A$4:$A$1177,$A23,Games!$D$4:$D$1177,"post",Games!$G$4:$G$1177,$C23)+SUMIFS(Games!$M$4:$M$1177,Games!$A$4:$A$1177,$A23,Games!$D$4:$D$1177,"post",Games!$L$4:$L$1177,$C23)</x:f>
        <x:v>65</x:v>
      </x:c>
      <x:c r="I23" t="n">
        <x:f>SUMIFS(Games!$M$4:$M$1177,Games!$A$4:$A$1177,$A23,Games!$D$4:$D$1177,"post",Games!$G$4:$G$1177,$C23)+SUMIFS(Games!$H$4:$H$1177,Games!$A$4:$A$1177,$A23,Games!$D$4:$D$1177,"post",Games!$L$4:$L$1177,$C23)</x:f>
        <x:v>71</x:v>
      </x:c>
      <x:c r="J23" t="str">
        <x:f>E23&amp;"-"&amp;F23&amp;IF(G23&gt;0,"-"&amp;G23,"")</x:f>
        <x:v>2-1</x:v>
      </x:c>
      <x:c r="K23" t="n">
        <x:f>COUNTIFS(Games!$A$4:$A$1177,$A23,Games!$D$4:$D$1177,"post",Games!$G$4:$G$1177,$C23,Games!$T$4:$T$1177,"&lt;&gt;")+COUNTIFS(Games!$A$4:$A$1177,$A23,Games!$D$4:$D$1177,"post",Games!$L$4:$L$1177,$C23,Games!$T$4:$T$1177,"&lt;&gt;")</x:f>
        <x:v>0</x:v>
      </x:c>
      <x:c r="L23" s="80" t="n">
        <x:f>IF(D23=0,0,K23/D23)</x:f>
        <x:v>0</x:v>
      </x:c>
      <x:c r="M23" t="str">
        <x:f>IF(AND(D23&gt;=2,K23&gt;=2,L23&gt;=75%),"YES","NO")</x:f>
        <x:v>NO</x:v>
      </x:c>
    </x:row>
    <x:row r="24">
      <x:c r="A24" t="str">
        <x:v>CFB</x:v>
      </x:c>
      <x:c r="B24" t="str">
        <x:v>Bowling Green Falcons</x:v>
      </x:c>
      <x:c r="C24" t="str">
        <x:v>BGSU</x:v>
      </x:c>
      <x:c r="D24" t="n">
        <x:f>COUNTIFS(Games!$A$4:$A$1177,$A24,Games!$D$4:$D$1177,"post",Games!$G$4:$G$1177,$C24)+COUNTIFS(Games!$A$4:$A$1177,$A24,Games!$D$4:$D$1177,"post",Games!$L$4:$L$1177,$C24)</x:f>
        <x:v>3</x:v>
      </x:c>
      <x:c r="E24" t="n">
        <x:f>COUNTIFS(Games!$A$4:$A$1177,$A24,Games!$G$4:$G$1177,$C24,Games!$J$4:$J$1177,"W")+COUNTIFS(Games!$A$4:$A$1177,$A24,Games!$L$4:$L$1177,$C24,Games!$O$4:$O$1177,"W")</x:f>
        <x:v>0</x:v>
      </x:c>
      <x:c r="F24" t="n">
        <x:f>COUNTIFS(Games!$A$4:$A$1177,$A24,Games!$G$4:$G$1177,$C24,Games!$J$4:$J$1177,"L")+COUNTIFS(Games!$A$4:$A$1177,$A24,Games!$L$4:$L$1177,$C24,Games!$O$4:$O$1177,"L")</x:f>
        <x:v>3</x:v>
      </x:c>
      <x:c r="G24" t="n">
        <x:f>COUNTIFS(Games!$A$4:$A$1177,$A24,Games!$G$4:$G$1177,$C24,Games!$J$4:$J$1177,"T")+COUNTIFS(Games!$A$4:$A$1177,$A24,Games!$L$4:$L$1177,$C24,Games!$O$4:$O$1177,"T")</x:f>
        <x:v>0</x:v>
      </x:c>
      <x:c r="H24" t="n">
        <x:f>SUMIFS(Games!$H$4:$H$1177,Games!$A$4:$A$1177,$A24,Games!$D$4:$D$1177,"post",Games!$G$4:$G$1177,$C24)+SUMIFS(Games!$M$4:$M$1177,Games!$A$4:$A$1177,$A24,Games!$D$4:$D$1177,"post",Games!$L$4:$L$1177,$C24)</x:f>
        <x:v>27</x:v>
      </x:c>
      <x:c r="I24" t="n">
        <x:f>SUMIFS(Games!$M$4:$M$1177,Games!$A$4:$A$1177,$A24,Games!$D$4:$D$1177,"post",Games!$G$4:$G$1177,$C24)+SUMIFS(Games!$H$4:$H$1177,Games!$A$4:$A$1177,$A24,Games!$D$4:$D$1177,"post",Games!$L$4:$L$1177,$C24)</x:f>
        <x:v>131</x:v>
      </x:c>
      <x:c r="J24" t="str">
        <x:f>E24&amp;"-"&amp;F24&amp;IF(G24&gt;0,"-"&amp;G24,"")</x:f>
        <x:v>0-3</x:v>
      </x:c>
      <x:c r="K24" t="n">
        <x:f>COUNTIFS(Games!$A$4:$A$1177,$A24,Games!$D$4:$D$1177,"post",Games!$G$4:$G$1177,$C24,Games!$T$4:$T$1177,"&lt;&gt;")+COUNTIFS(Games!$A$4:$A$1177,$A24,Games!$D$4:$D$1177,"post",Games!$L$4:$L$1177,$C24,Games!$T$4:$T$1177,"&lt;&gt;")</x:f>
        <x:v>0</x:v>
      </x:c>
      <x:c r="L24" s="80" t="n">
        <x:f>IF(D24=0,0,K24/D24)</x:f>
        <x:v>0</x:v>
      </x:c>
      <x:c r="M24" t="str">
        <x:f>IF(AND(D24&gt;=2,K24&gt;=2,L24&gt;=75%),"YES","NO")</x:f>
        <x:v>NO</x:v>
      </x:c>
    </x:row>
    <x:row r="25">
      <x:c r="A25" t="str">
        <x:v>CFB</x:v>
      </x:c>
      <x:c r="B25" t="str">
        <x:v>Bryant Bulldogs</x:v>
      </x:c>
      <x:c r="C25" t="str">
        <x:v>BRY</x:v>
      </x:c>
      <x:c r="D25" t="n">
        <x:f>COUNTIFS(Games!$A$4:$A$1177,$A25,Games!$D$4:$D$1177,"post",Games!$G$4:$G$1177,$C25)+COUNTIFS(Games!$A$4:$A$1177,$A25,Games!$D$4:$D$1177,"post",Games!$L$4:$L$1177,$C25)</x:f>
        <x:v>1</x:v>
      </x:c>
      <x:c r="E25" t="n">
        <x:f>COUNTIFS(Games!$A$4:$A$1177,$A25,Games!$G$4:$G$1177,$C25,Games!$J$4:$J$1177,"W")+COUNTIFS(Games!$A$4:$A$1177,$A25,Games!$L$4:$L$1177,$C25,Games!$O$4:$O$1177,"W")</x:f>
        <x:v>0</x:v>
      </x:c>
      <x:c r="F25" t="n">
        <x:f>COUNTIFS(Games!$A$4:$A$1177,$A25,Games!$G$4:$G$1177,$C25,Games!$J$4:$J$1177,"L")+COUNTIFS(Games!$A$4:$A$1177,$A25,Games!$L$4:$L$1177,$C25,Games!$O$4:$O$1177,"L")</x:f>
        <x:v>1</x:v>
      </x:c>
      <x:c r="G25" t="n">
        <x:f>COUNTIFS(Games!$A$4:$A$1177,$A25,Games!$G$4:$G$1177,$C25,Games!$J$4:$J$1177,"T")+COUNTIFS(Games!$A$4:$A$1177,$A25,Games!$L$4:$L$1177,$C25,Games!$O$4:$O$1177,"T")</x:f>
        <x:v>0</x:v>
      </x:c>
      <x:c r="H25" t="n">
        <x:f>SUMIFS(Games!$H$4:$H$1177,Games!$A$4:$A$1177,$A25,Games!$D$4:$D$1177,"post",Games!$G$4:$G$1177,$C25)+SUMIFS(Games!$M$4:$M$1177,Games!$A$4:$A$1177,$A25,Games!$D$4:$D$1177,"post",Games!$L$4:$L$1177,$C25)</x:f>
        <x:v>3</x:v>
      </x:c>
      <x:c r="I25" t="n">
        <x:f>SUMIFS(Games!$M$4:$M$1177,Games!$A$4:$A$1177,$A25,Games!$D$4:$D$1177,"post",Games!$G$4:$G$1177,$C25)+SUMIFS(Games!$H$4:$H$1177,Games!$A$4:$A$1177,$A25,Games!$D$4:$D$1177,"post",Games!$L$4:$L$1177,$C25)</x:f>
        <x:v>59</x:v>
      </x:c>
      <x:c r="J25" t="str">
        <x:f>E25&amp;"-"&amp;F25&amp;IF(G25&gt;0,"-"&amp;G25,"")</x:f>
        <x:v>0-1</x:v>
      </x:c>
      <x:c r="K25" t="n">
        <x:f>COUNTIFS(Games!$A$4:$A$1177,$A25,Games!$D$4:$D$1177,"post",Games!$G$4:$G$1177,$C25,Games!$T$4:$T$1177,"&lt;&gt;")+COUNTIFS(Games!$A$4:$A$1177,$A25,Games!$D$4:$D$1177,"post",Games!$L$4:$L$1177,$C25,Games!$T$4:$T$1177,"&lt;&gt;")</x:f>
        <x:v>0</x:v>
      </x:c>
      <x:c r="L25" s="80" t="n">
        <x:f>IF(D25=0,0,K25/D25)</x:f>
        <x:v>0</x:v>
      </x:c>
      <x:c r="M25" t="str">
        <x:f>IF(AND(D25&gt;=2,K25&gt;=2,L25&gt;=75%),"YES","NO")</x:f>
        <x:v>NO</x:v>
      </x:c>
    </x:row>
    <x:row r="26">
      <x:c r="A26" t="str">
        <x:v>CFB</x:v>
      </x:c>
      <x:c r="B26" t="str">
        <x:v>Bucknell Bison</x:v>
      </x:c>
      <x:c r="C26" t="str">
        <x:v>BUCK</x:v>
      </x:c>
      <x:c r="D26" t="n">
        <x:f>COUNTIFS(Games!$A$4:$A$1177,$A26,Games!$D$4:$D$1177,"post",Games!$G$4:$G$1177,$C26)+COUNTIFS(Games!$A$4:$A$1177,$A26,Games!$D$4:$D$1177,"post",Games!$L$4:$L$1177,$C26)</x:f>
        <x:v>0</x:v>
      </x:c>
      <x:c r="E26" t="n">
        <x:f>COUNTIFS(Games!$A$4:$A$1177,$A26,Games!$G$4:$G$1177,$C26,Games!$J$4:$J$1177,"W")+COUNTIFS(Games!$A$4:$A$1177,$A26,Games!$L$4:$L$1177,$C26,Games!$O$4:$O$1177,"W")</x:f>
        <x:v>0</x:v>
      </x:c>
      <x:c r="F26" t="n">
        <x:f>COUNTIFS(Games!$A$4:$A$1177,$A26,Games!$G$4:$G$1177,$C26,Games!$J$4:$J$1177,"L")+COUNTIFS(Games!$A$4:$A$1177,$A26,Games!$L$4:$L$1177,$C26,Games!$O$4:$O$1177,"L")</x:f>
        <x:v>0</x:v>
      </x:c>
      <x:c r="G26" t="n">
        <x:f>COUNTIFS(Games!$A$4:$A$1177,$A26,Games!$G$4:$G$1177,$C26,Games!$J$4:$J$1177,"T")+COUNTIFS(Games!$A$4:$A$1177,$A26,Games!$L$4:$L$1177,$C26,Games!$O$4:$O$1177,"T")</x:f>
        <x:v>0</x:v>
      </x:c>
      <x:c r="H26" t="n">
        <x:f>SUMIFS(Games!$H$4:$H$1177,Games!$A$4:$A$1177,$A26,Games!$D$4:$D$1177,"post",Games!$G$4:$G$1177,$C26)+SUMIFS(Games!$M$4:$M$1177,Games!$A$4:$A$1177,$A26,Games!$D$4:$D$1177,"post",Games!$L$4:$L$1177,$C26)</x:f>
        <x:v>0</x:v>
      </x:c>
      <x:c r="I26" t="n">
        <x:f>SUMIFS(Games!$M$4:$M$1177,Games!$A$4:$A$1177,$A26,Games!$D$4:$D$1177,"post",Games!$G$4:$G$1177,$C26)+SUMIFS(Games!$H$4:$H$1177,Games!$A$4:$A$1177,$A26,Games!$D$4:$D$1177,"post",Games!$L$4:$L$1177,$C26)</x:f>
        <x:v>0</x:v>
      </x:c>
      <x:c r="J26" t="str">
        <x:f>E26&amp;"-"&amp;F26&amp;IF(G26&gt;0,"-"&amp;G26,"")</x:f>
        <x:v>0-0</x:v>
      </x:c>
      <x:c r="K26" t="n">
        <x:f>COUNTIFS(Games!$A$4:$A$1177,$A26,Games!$D$4:$D$1177,"post",Games!$G$4:$G$1177,$C26,Games!$T$4:$T$1177,"&lt;&gt;")+COUNTIFS(Games!$A$4:$A$1177,$A26,Games!$D$4:$D$1177,"post",Games!$L$4:$L$1177,$C26,Games!$T$4:$T$1177,"&lt;&gt;")</x:f>
        <x:v>0</x:v>
      </x:c>
      <x:c r="L26" s="80" t="n">
        <x:f>IF(D26=0,0,K26/D26)</x:f>
        <x:v>0</x:v>
      </x:c>
      <x:c r="M26" t="str">
        <x:f>IF(AND(D26&gt;=2,K26&gt;=2,L26&gt;=75%),"YES","NO")</x:f>
        <x:v>NO</x:v>
      </x:c>
    </x:row>
    <x:row r="27">
      <x:c r="A27" t="str">
        <x:v>CFB</x:v>
      </x:c>
      <x:c r="B27" t="str">
        <x:v>Buffalo Bulls</x:v>
      </x:c>
      <x:c r="C27" t="str">
        <x:v>BUFF</x:v>
      </x:c>
      <x:c r="D27" t="n">
        <x:f>COUNTIFS(Games!$A$4:$A$1177,$A27,Games!$D$4:$D$1177,"post",Games!$G$4:$G$1177,$C27)+COUNTIFS(Games!$A$4:$A$1177,$A27,Games!$D$4:$D$1177,"post",Games!$L$4:$L$1177,$C27)</x:f>
        <x:v>3</x:v>
      </x:c>
      <x:c r="E27" t="n">
        <x:f>COUNTIFS(Games!$A$4:$A$1177,$A27,Games!$G$4:$G$1177,$C27,Games!$J$4:$J$1177,"W")+COUNTIFS(Games!$A$4:$A$1177,$A27,Games!$L$4:$L$1177,$C27,Games!$O$4:$O$1177,"W")</x:f>
        <x:v>1</x:v>
      </x:c>
      <x:c r="F27" t="n">
        <x:f>COUNTIFS(Games!$A$4:$A$1177,$A27,Games!$G$4:$G$1177,$C27,Games!$J$4:$J$1177,"L")+COUNTIFS(Games!$A$4:$A$1177,$A27,Games!$L$4:$L$1177,$C27,Games!$O$4:$O$1177,"L")</x:f>
        <x:v>2</x:v>
      </x:c>
      <x:c r="G27" t="n">
        <x:f>COUNTIFS(Games!$A$4:$A$1177,$A27,Games!$G$4:$G$1177,$C27,Games!$J$4:$J$1177,"T")+COUNTIFS(Games!$A$4:$A$1177,$A27,Games!$L$4:$L$1177,$C27,Games!$O$4:$O$1177,"T")</x:f>
        <x:v>0</x:v>
      </x:c>
      <x:c r="H27" t="n">
        <x:f>SUMIFS(Games!$H$4:$H$1177,Games!$A$4:$A$1177,$A27,Games!$D$4:$D$1177,"post",Games!$G$4:$G$1177,$C27)+SUMIFS(Games!$M$4:$M$1177,Games!$A$4:$A$1177,$A27,Games!$D$4:$D$1177,"post",Games!$L$4:$L$1177,$C27)</x:f>
        <x:v>54</x:v>
      </x:c>
      <x:c r="I27" t="n">
        <x:f>SUMIFS(Games!$M$4:$M$1177,Games!$A$4:$A$1177,$A27,Games!$D$4:$D$1177,"post",Games!$G$4:$G$1177,$C27)+SUMIFS(Games!$H$4:$H$1177,Games!$A$4:$A$1177,$A27,Games!$D$4:$D$1177,"post",Games!$L$4:$L$1177,$C27)</x:f>
        <x:v>105</x:v>
      </x:c>
      <x:c r="J27" t="str">
        <x:f>E27&amp;"-"&amp;F27&amp;IF(G27&gt;0,"-"&amp;G27,"")</x:f>
        <x:v>1-2</x:v>
      </x:c>
      <x:c r="K27" t="n">
        <x:f>COUNTIFS(Games!$A$4:$A$1177,$A27,Games!$D$4:$D$1177,"post",Games!$G$4:$G$1177,$C27,Games!$T$4:$T$1177,"&lt;&gt;")+COUNTIFS(Games!$A$4:$A$1177,$A27,Games!$D$4:$D$1177,"post",Games!$L$4:$L$1177,$C27,Games!$T$4:$T$1177,"&lt;&gt;")</x:f>
        <x:v>0</x:v>
      </x:c>
      <x:c r="L27" s="80" t="n">
        <x:f>IF(D27=0,0,K27/D27)</x:f>
        <x:v>0</x:v>
      </x:c>
      <x:c r="M27" t="str">
        <x:f>IF(AND(D27&gt;=2,K27&gt;=2,L27&gt;=75%),"YES","NO")</x:f>
        <x:v>NO</x:v>
      </x:c>
    </x:row>
    <x:row r="28">
      <x:c r="A28" t="str">
        <x:v>CFB</x:v>
      </x:c>
      <x:c r="B28" t="str">
        <x:v>BYU Cougars</x:v>
      </x:c>
      <x:c r="C28" t="str">
        <x:v>BYU</x:v>
      </x:c>
      <x:c r="D28" t="n">
        <x:f>COUNTIFS(Games!$A$4:$A$1177,$A28,Games!$D$4:$D$1177,"post",Games!$G$4:$G$1177,$C28)+COUNTIFS(Games!$A$4:$A$1177,$A28,Games!$D$4:$D$1177,"post",Games!$L$4:$L$1177,$C28)</x:f>
        <x:v>3</x:v>
      </x:c>
      <x:c r="E28" t="n">
        <x:f>COUNTIFS(Games!$A$4:$A$1177,$A28,Games!$G$4:$G$1177,$C28,Games!$J$4:$J$1177,"W")+COUNTIFS(Games!$A$4:$A$1177,$A28,Games!$L$4:$L$1177,$C28,Games!$O$4:$O$1177,"W")</x:f>
        <x:v>3</x:v>
      </x:c>
      <x:c r="F28" t="n">
        <x:f>COUNTIFS(Games!$A$4:$A$1177,$A28,Games!$G$4:$G$1177,$C28,Games!$J$4:$J$1177,"L")+COUNTIFS(Games!$A$4:$A$1177,$A28,Games!$L$4:$L$1177,$C28,Games!$O$4:$O$1177,"L")</x:f>
        <x:v>0</x:v>
      </x:c>
      <x:c r="G28" t="n">
        <x:f>COUNTIFS(Games!$A$4:$A$1177,$A28,Games!$G$4:$G$1177,$C28,Games!$J$4:$J$1177,"T")+COUNTIFS(Games!$A$4:$A$1177,$A28,Games!$L$4:$L$1177,$C28,Games!$O$4:$O$1177,"T")</x:f>
        <x:v>0</x:v>
      </x:c>
      <x:c r="H28" t="n">
        <x:f>SUMIFS(Games!$H$4:$H$1177,Games!$A$4:$A$1177,$A28,Games!$D$4:$D$1177,"post",Games!$G$4:$G$1177,$C28)+SUMIFS(Games!$M$4:$M$1177,Games!$A$4:$A$1177,$A28,Games!$D$4:$D$1177,"post",Games!$L$4:$L$1177,$C28)</x:f>
        <x:v>132</x:v>
      </x:c>
      <x:c r="I28" t="n">
        <x:f>SUMIFS(Games!$M$4:$M$1177,Games!$A$4:$A$1177,$A28,Games!$D$4:$D$1177,"post",Games!$G$4:$G$1177,$C28)+SUMIFS(Games!$H$4:$H$1177,Games!$A$4:$A$1177,$A28,Games!$D$4:$D$1177,"post",Games!$L$4:$L$1177,$C28)</x:f>
        <x:v>47</x:v>
      </x:c>
      <x:c r="J28" t="str">
        <x:f>E28&amp;"-"&amp;F28&amp;IF(G28&gt;0,"-"&amp;G28,"")</x:f>
        <x:v>3-0</x:v>
      </x:c>
      <x:c r="K28" t="n">
        <x:f>COUNTIFS(Games!$A$4:$A$1177,$A28,Games!$D$4:$D$1177,"post",Games!$G$4:$G$1177,$C28,Games!$T$4:$T$1177,"&lt;&gt;")+COUNTIFS(Games!$A$4:$A$1177,$A28,Games!$D$4:$D$1177,"post",Games!$L$4:$L$1177,$C28,Games!$T$4:$T$1177,"&lt;&gt;")</x:f>
        <x:v>0</x:v>
      </x:c>
      <x:c r="L28" s="80" t="n">
        <x:f>IF(D28=0,0,K28/D28)</x:f>
        <x:v>0</x:v>
      </x:c>
      <x:c r="M28" t="str">
        <x:f>IF(AND(D28&gt;=2,K28&gt;=2,L28&gt;=75%),"YES","NO")</x:f>
        <x:v>NO</x:v>
      </x:c>
    </x:row>
    <x:row r="29">
      <x:c r="A29" t="str">
        <x:v>CFB</x:v>
      </x:c>
      <x:c r="B29" t="str">
        <x:v>Cal Poly Mustangs</x:v>
      </x:c>
      <x:c r="C29" t="str">
        <x:v>CP</x:v>
      </x:c>
      <x:c r="D29" t="n">
        <x:f>COUNTIFS(Games!$A$4:$A$1177,$A29,Games!$D$4:$D$1177,"post",Games!$G$4:$G$1177,$C29)+COUNTIFS(Games!$A$4:$A$1177,$A29,Games!$D$4:$D$1177,"post",Games!$L$4:$L$1177,$C29)</x:f>
        <x:v>1</x:v>
      </x:c>
      <x:c r="E29" t="n">
        <x:f>COUNTIFS(Games!$A$4:$A$1177,$A29,Games!$G$4:$G$1177,$C29,Games!$J$4:$J$1177,"W")+COUNTIFS(Games!$A$4:$A$1177,$A29,Games!$L$4:$L$1177,$C29,Games!$O$4:$O$1177,"W")</x:f>
        <x:v>0</x:v>
      </x:c>
      <x:c r="F29" t="n">
        <x:f>COUNTIFS(Games!$A$4:$A$1177,$A29,Games!$G$4:$G$1177,$C29,Games!$J$4:$J$1177,"L")+COUNTIFS(Games!$A$4:$A$1177,$A29,Games!$L$4:$L$1177,$C29,Games!$O$4:$O$1177,"L")</x:f>
        <x:v>1</x:v>
      </x:c>
      <x:c r="G29" t="n">
        <x:f>COUNTIFS(Games!$A$4:$A$1177,$A29,Games!$G$4:$G$1177,$C29,Games!$J$4:$J$1177,"T")+COUNTIFS(Games!$A$4:$A$1177,$A29,Games!$L$4:$L$1177,$C29,Games!$O$4:$O$1177,"T")</x:f>
        <x:v>0</x:v>
      </x:c>
      <x:c r="H29" t="n">
        <x:f>SUMIFS(Games!$H$4:$H$1177,Games!$A$4:$A$1177,$A29,Games!$D$4:$D$1177,"post",Games!$G$4:$G$1177,$C29)+SUMIFS(Games!$M$4:$M$1177,Games!$A$4:$A$1177,$A29,Games!$D$4:$D$1177,"post",Games!$L$4:$L$1177,$C29)</x:f>
        <x:v>20</x:v>
      </x:c>
      <x:c r="I29" t="n">
        <x:f>SUMIFS(Games!$M$4:$M$1177,Games!$A$4:$A$1177,$A29,Games!$D$4:$D$1177,"post",Games!$G$4:$G$1177,$C29)+SUMIFS(Games!$H$4:$H$1177,Games!$A$4:$A$1177,$A29,Games!$D$4:$D$1177,"post",Games!$L$4:$L$1177,$C29)</x:f>
        <x:v>30</x:v>
      </x:c>
      <x:c r="J29" t="str">
        <x:f>E29&amp;"-"&amp;F29&amp;IF(G29&gt;0,"-"&amp;G29,"")</x:f>
        <x:v>0-1</x:v>
      </x:c>
      <x:c r="K29" t="n">
        <x:f>COUNTIFS(Games!$A$4:$A$1177,$A29,Games!$D$4:$D$1177,"post",Games!$G$4:$G$1177,$C29,Games!$T$4:$T$1177,"&lt;&gt;")+COUNTIFS(Games!$A$4:$A$1177,$A29,Games!$D$4:$D$1177,"post",Games!$L$4:$L$1177,$C29,Games!$T$4:$T$1177,"&lt;&gt;")</x:f>
        <x:v>0</x:v>
      </x:c>
      <x:c r="L29" s="80" t="n">
        <x:f>IF(D29=0,0,K29/D29)</x:f>
        <x:v>0</x:v>
      </x:c>
      <x:c r="M29" t="str">
        <x:f>IF(AND(D29&gt;=2,K29&gt;=2,L29&gt;=75%),"YES","NO")</x:f>
        <x:v>NO</x:v>
      </x:c>
    </x:row>
    <x:row r="30">
      <x:c r="A30" t="str">
        <x:v>CFB</x:v>
      </x:c>
      <x:c r="B30" t="str">
        <x:v>California Golden Bears</x:v>
      </x:c>
      <x:c r="C30" t="str">
        <x:v>CAL</x:v>
      </x:c>
      <x:c r="D30" t="n">
        <x:f>COUNTIFS(Games!$A$4:$A$1177,$A30,Games!$D$4:$D$1177,"post",Games!$G$4:$G$1177,$C30)+COUNTIFS(Games!$A$4:$A$1177,$A30,Games!$D$4:$D$1177,"post",Games!$L$4:$L$1177,$C30)</x:f>
        <x:v>3</x:v>
      </x:c>
      <x:c r="E30" t="n">
        <x:f>COUNTIFS(Games!$A$4:$A$1177,$A30,Games!$G$4:$G$1177,$C30,Games!$J$4:$J$1177,"W")+COUNTIFS(Games!$A$4:$A$1177,$A30,Games!$L$4:$L$1177,$C30,Games!$O$4:$O$1177,"W")</x:f>
        <x:v>2</x:v>
      </x:c>
      <x:c r="F30" t="n">
        <x:f>COUNTIFS(Games!$A$4:$A$1177,$A30,Games!$G$4:$G$1177,$C30,Games!$J$4:$J$1177,"L")+COUNTIFS(Games!$A$4:$A$1177,$A30,Games!$L$4:$L$1177,$C30,Games!$O$4:$O$1177,"L")</x:f>
        <x:v>1</x:v>
      </x:c>
      <x:c r="G30" t="n">
        <x:f>COUNTIFS(Games!$A$4:$A$1177,$A30,Games!$G$4:$G$1177,$C30,Games!$J$4:$J$1177,"T")+COUNTIFS(Games!$A$4:$A$1177,$A30,Games!$L$4:$L$1177,$C30,Games!$O$4:$O$1177,"T")</x:f>
        <x:v>0</x:v>
      </x:c>
      <x:c r="H30" t="n">
        <x:f>SUMIFS(Games!$H$4:$H$1177,Games!$A$4:$A$1177,$A30,Games!$D$4:$D$1177,"post",Games!$G$4:$G$1177,$C30)+SUMIFS(Games!$M$4:$M$1177,Games!$A$4:$A$1177,$A30,Games!$D$4:$D$1177,"post",Games!$L$4:$L$1177,$C30)</x:f>
        <x:v>94</x:v>
      </x:c>
      <x:c r="I30" t="n">
        <x:f>SUMIFS(Games!$M$4:$M$1177,Games!$A$4:$A$1177,$A30,Games!$D$4:$D$1177,"post",Games!$G$4:$G$1177,$C30)+SUMIFS(Games!$H$4:$H$1177,Games!$A$4:$A$1177,$A30,Games!$D$4:$D$1177,"post",Games!$L$4:$L$1177,$C30)</x:f>
        <x:v>70</x:v>
      </x:c>
      <x:c r="J30" t="str">
        <x:f>E30&amp;"-"&amp;F30&amp;IF(G30&gt;0,"-"&amp;G30,"")</x:f>
        <x:v>2-1</x:v>
      </x:c>
      <x:c r="K30" t="n">
        <x:f>COUNTIFS(Games!$A$4:$A$1177,$A30,Games!$D$4:$D$1177,"post",Games!$G$4:$G$1177,$C30,Games!$T$4:$T$1177,"&lt;&gt;")+COUNTIFS(Games!$A$4:$A$1177,$A30,Games!$D$4:$D$1177,"post",Games!$L$4:$L$1177,$C30,Games!$T$4:$T$1177,"&lt;&gt;")</x:f>
        <x:v>0</x:v>
      </x:c>
      <x:c r="L30" s="80" t="n">
        <x:f>IF(D30=0,0,K30/D30)</x:f>
        <x:v>0</x:v>
      </x:c>
      <x:c r="M30" t="str">
        <x:f>IF(AND(D30&gt;=2,K30&gt;=2,L30&gt;=75%),"YES","NO")</x:f>
        <x:v>NO</x:v>
      </x:c>
    </x:row>
    <x:row r="31">
      <x:c r="A31" t="str">
        <x:v>CFB</x:v>
      </x:c>
      <x:c r="B31" t="str">
        <x:v>Campbell Fighting Camels</x:v>
      </x:c>
      <x:c r="C31" t="str">
        <x:v>CAM</x:v>
      </x:c>
      <x:c r="D31" t="n">
        <x:f>COUNTIFS(Games!$A$4:$A$1177,$A31,Games!$D$4:$D$1177,"post",Games!$G$4:$G$1177,$C31)+COUNTIFS(Games!$A$4:$A$1177,$A31,Games!$D$4:$D$1177,"post",Games!$L$4:$L$1177,$C31)</x:f>
        <x:v>1</x:v>
      </x:c>
      <x:c r="E31" t="n">
        <x:f>COUNTIFS(Games!$A$4:$A$1177,$A31,Games!$G$4:$G$1177,$C31,Games!$J$4:$J$1177,"W")+COUNTIFS(Games!$A$4:$A$1177,$A31,Games!$L$4:$L$1177,$C31,Games!$O$4:$O$1177,"W")</x:f>
        <x:v>0</x:v>
      </x:c>
      <x:c r="F31" t="n">
        <x:f>COUNTIFS(Games!$A$4:$A$1177,$A31,Games!$G$4:$G$1177,$C31,Games!$J$4:$J$1177,"L")+COUNTIFS(Games!$A$4:$A$1177,$A31,Games!$L$4:$L$1177,$C31,Games!$O$4:$O$1177,"L")</x:f>
        <x:v>1</x:v>
      </x:c>
      <x:c r="G31" t="n">
        <x:f>COUNTIFS(Games!$A$4:$A$1177,$A31,Games!$G$4:$G$1177,$C31,Games!$J$4:$J$1177,"T")+COUNTIFS(Games!$A$4:$A$1177,$A31,Games!$L$4:$L$1177,$C31,Games!$O$4:$O$1177,"T")</x:f>
        <x:v>0</x:v>
      </x:c>
      <x:c r="H31" t="n">
        <x:f>SUMIFS(Games!$H$4:$H$1177,Games!$A$4:$A$1177,$A31,Games!$D$4:$D$1177,"post",Games!$G$4:$G$1177,$C31)+SUMIFS(Games!$M$4:$M$1177,Games!$A$4:$A$1177,$A31,Games!$D$4:$D$1177,"post",Games!$L$4:$L$1177,$C31)</x:f>
        <x:v>3</x:v>
      </x:c>
      <x:c r="I31" t="n">
        <x:f>SUMIFS(Games!$M$4:$M$1177,Games!$A$4:$A$1177,$A31,Games!$D$4:$D$1177,"post",Games!$G$4:$G$1177,$C31)+SUMIFS(Games!$H$4:$H$1177,Games!$A$4:$A$1177,$A31,Games!$D$4:$D$1177,"post",Games!$L$4:$L$1177,$C31)</x:f>
        <x:v>52</x:v>
      </x:c>
      <x:c r="J31" t="str">
        <x:f>E31&amp;"-"&amp;F31&amp;IF(G31&gt;0,"-"&amp;G31,"")</x:f>
        <x:v>0-1</x:v>
      </x:c>
      <x:c r="K31" t="n">
        <x:f>COUNTIFS(Games!$A$4:$A$1177,$A31,Games!$D$4:$D$1177,"post",Games!$G$4:$G$1177,$C31,Games!$T$4:$T$1177,"&lt;&gt;")+COUNTIFS(Games!$A$4:$A$1177,$A31,Games!$D$4:$D$1177,"post",Games!$L$4:$L$1177,$C31,Games!$T$4:$T$1177,"&lt;&gt;")</x:f>
        <x:v>0</x:v>
      </x:c>
      <x:c r="L31" s="80" t="n">
        <x:f>IF(D31=0,0,K31/D31)</x:f>
        <x:v>0</x:v>
      </x:c>
      <x:c r="M31" t="str">
        <x:f>IF(AND(D31&gt;=2,K31&gt;=2,L31&gt;=75%),"YES","NO")</x:f>
        <x:v>NO</x:v>
      </x:c>
    </x:row>
    <x:row r="32">
      <x:c r="A32" t="str">
        <x:v>CFB</x:v>
      </x:c>
      <x:c r="B32" t="str">
        <x:v>Central Arkansas Bears</x:v>
      </x:c>
      <x:c r="C32" t="str">
        <x:v>CARK</x:v>
      </x:c>
      <x:c r="D32" t="n">
        <x:f>COUNTIFS(Games!$A$4:$A$1177,$A32,Games!$D$4:$D$1177,"post",Games!$G$4:$G$1177,$C32)+COUNTIFS(Games!$A$4:$A$1177,$A32,Games!$D$4:$D$1177,"post",Games!$L$4:$L$1177,$C32)</x:f>
        <x:v>0</x:v>
      </x:c>
      <x:c r="E32" t="n">
        <x:f>COUNTIFS(Games!$A$4:$A$1177,$A32,Games!$G$4:$G$1177,$C32,Games!$J$4:$J$1177,"W")+COUNTIFS(Games!$A$4:$A$1177,$A32,Games!$L$4:$L$1177,$C32,Games!$O$4:$O$1177,"W")</x:f>
        <x:v>0</x:v>
      </x:c>
      <x:c r="F32" t="n">
        <x:f>COUNTIFS(Games!$A$4:$A$1177,$A32,Games!$G$4:$G$1177,$C32,Games!$J$4:$J$1177,"L")+COUNTIFS(Games!$A$4:$A$1177,$A32,Games!$L$4:$L$1177,$C32,Games!$O$4:$O$1177,"L")</x:f>
        <x:v>0</x:v>
      </x:c>
      <x:c r="G32" t="n">
        <x:f>COUNTIFS(Games!$A$4:$A$1177,$A32,Games!$G$4:$G$1177,$C32,Games!$J$4:$J$1177,"T")+COUNTIFS(Games!$A$4:$A$1177,$A32,Games!$L$4:$L$1177,$C32,Games!$O$4:$O$1177,"T")</x:f>
        <x:v>0</x:v>
      </x:c>
      <x:c r="H32" t="n">
        <x:f>SUMIFS(Games!$H$4:$H$1177,Games!$A$4:$A$1177,$A32,Games!$D$4:$D$1177,"post",Games!$G$4:$G$1177,$C32)+SUMIFS(Games!$M$4:$M$1177,Games!$A$4:$A$1177,$A32,Games!$D$4:$D$1177,"post",Games!$L$4:$L$1177,$C32)</x:f>
        <x:v>0</x:v>
      </x:c>
      <x:c r="I32" t="n">
        <x:f>SUMIFS(Games!$M$4:$M$1177,Games!$A$4:$A$1177,$A32,Games!$D$4:$D$1177,"post",Games!$G$4:$G$1177,$C32)+SUMIFS(Games!$H$4:$H$1177,Games!$A$4:$A$1177,$A32,Games!$D$4:$D$1177,"post",Games!$L$4:$L$1177,$C32)</x:f>
        <x:v>0</x:v>
      </x:c>
      <x:c r="J32" t="str">
        <x:f>E32&amp;"-"&amp;F32&amp;IF(G32&gt;0,"-"&amp;G32,"")</x:f>
        <x:v>0-0</x:v>
      </x:c>
      <x:c r="K32" t="n">
        <x:f>COUNTIFS(Games!$A$4:$A$1177,$A32,Games!$D$4:$D$1177,"post",Games!$G$4:$G$1177,$C32,Games!$T$4:$T$1177,"&lt;&gt;")+COUNTIFS(Games!$A$4:$A$1177,$A32,Games!$D$4:$D$1177,"post",Games!$L$4:$L$1177,$C32,Games!$T$4:$T$1177,"&lt;&gt;")</x:f>
        <x:v>0</x:v>
      </x:c>
      <x:c r="L32" s="80" t="n">
        <x:f>IF(D32=0,0,K32/D32)</x:f>
        <x:v>0</x:v>
      </x:c>
      <x:c r="M32" t="str">
        <x:f>IF(AND(D32&gt;=2,K32&gt;=2,L32&gt;=75%),"YES","NO")</x:f>
        <x:v>NO</x:v>
      </x:c>
    </x:row>
    <x:row r="33">
      <x:c r="A33" t="str">
        <x:v>CFB</x:v>
      </x:c>
      <x:c r="B33" t="str">
        <x:v>Central Connecticut Blue Devils</x:v>
      </x:c>
      <x:c r="C33" t="str">
        <x:v>CCSU</x:v>
      </x:c>
      <x:c r="D33" t="n">
        <x:f>COUNTIFS(Games!$A$4:$A$1177,$A33,Games!$D$4:$D$1177,"post",Games!$G$4:$G$1177,$C33)+COUNTIFS(Games!$A$4:$A$1177,$A33,Games!$D$4:$D$1177,"post",Games!$L$4:$L$1177,$C33)</x:f>
        <x:v>1</x:v>
      </x:c>
      <x:c r="E33" t="n">
        <x:f>COUNTIFS(Games!$A$4:$A$1177,$A33,Games!$G$4:$G$1177,$C33,Games!$J$4:$J$1177,"W")+COUNTIFS(Games!$A$4:$A$1177,$A33,Games!$L$4:$L$1177,$C33,Games!$O$4:$O$1177,"W")</x:f>
        <x:v>0</x:v>
      </x:c>
      <x:c r="F33" t="n">
        <x:f>COUNTIFS(Games!$A$4:$A$1177,$A33,Games!$G$4:$G$1177,$C33,Games!$J$4:$J$1177,"L")+COUNTIFS(Games!$A$4:$A$1177,$A33,Games!$L$4:$L$1177,$C33,Games!$O$4:$O$1177,"L")</x:f>
        <x:v>1</x:v>
      </x:c>
      <x:c r="G33" t="n">
        <x:f>COUNTIFS(Games!$A$4:$A$1177,$A33,Games!$G$4:$G$1177,$C33,Games!$J$4:$J$1177,"T")+COUNTIFS(Games!$A$4:$A$1177,$A33,Games!$L$4:$L$1177,$C33,Games!$O$4:$O$1177,"T")</x:f>
        <x:v>0</x:v>
      </x:c>
      <x:c r="H33" t="n">
        <x:f>SUMIFS(Games!$H$4:$H$1177,Games!$A$4:$A$1177,$A33,Games!$D$4:$D$1177,"post",Games!$G$4:$G$1177,$C33)+SUMIFS(Games!$M$4:$M$1177,Games!$A$4:$A$1177,$A33,Games!$D$4:$D$1177,"post",Games!$L$4:$L$1177,$C33)</x:f>
        <x:v>10</x:v>
      </x:c>
      <x:c r="I33" t="n">
        <x:f>SUMIFS(Games!$M$4:$M$1177,Games!$A$4:$A$1177,$A33,Games!$D$4:$D$1177,"post",Games!$G$4:$G$1177,$C33)+SUMIFS(Games!$H$4:$H$1177,Games!$A$4:$A$1177,$A33,Games!$D$4:$D$1177,"post",Games!$L$4:$L$1177,$C33)</x:f>
        <x:v>63</x:v>
      </x:c>
      <x:c r="J33" t="str">
        <x:f>E33&amp;"-"&amp;F33&amp;IF(G33&gt;0,"-"&amp;G33,"")</x:f>
        <x:v>0-1</x:v>
      </x:c>
      <x:c r="K33" t="n">
        <x:f>COUNTIFS(Games!$A$4:$A$1177,$A33,Games!$D$4:$D$1177,"post",Games!$G$4:$G$1177,$C33,Games!$T$4:$T$1177,"&lt;&gt;")+COUNTIFS(Games!$A$4:$A$1177,$A33,Games!$D$4:$D$1177,"post",Games!$L$4:$L$1177,$C33,Games!$T$4:$T$1177,"&lt;&gt;")</x:f>
        <x:v>0</x:v>
      </x:c>
      <x:c r="L33" s="80" t="n">
        <x:f>IF(D33=0,0,K33/D33)</x:f>
        <x:v>0</x:v>
      </x:c>
      <x:c r="M33" t="str">
        <x:f>IF(AND(D33&gt;=2,K33&gt;=2,L33&gt;=75%),"YES","NO")</x:f>
        <x:v>NO</x:v>
      </x:c>
    </x:row>
    <x:row r="34">
      <x:c r="A34" t="str">
        <x:v>CFB</x:v>
      </x:c>
      <x:c r="B34" t="str">
        <x:v>Central Michigan Chippewas</x:v>
      </x:c>
      <x:c r="C34" t="str">
        <x:v>CMU</x:v>
      </x:c>
      <x:c r="D34" t="n">
        <x:f>COUNTIFS(Games!$A$4:$A$1177,$A34,Games!$D$4:$D$1177,"post",Games!$G$4:$G$1177,$C34)+COUNTIFS(Games!$A$4:$A$1177,$A34,Games!$D$4:$D$1177,"post",Games!$L$4:$L$1177,$C34)</x:f>
        <x:v>3</x:v>
      </x:c>
      <x:c r="E34" t="n">
        <x:f>COUNTIFS(Games!$A$4:$A$1177,$A34,Games!$G$4:$G$1177,$C34,Games!$J$4:$J$1177,"W")+COUNTIFS(Games!$A$4:$A$1177,$A34,Games!$L$4:$L$1177,$C34,Games!$O$4:$O$1177,"W")</x:f>
        <x:v>2</x:v>
      </x:c>
      <x:c r="F34" t="n">
        <x:f>COUNTIFS(Games!$A$4:$A$1177,$A34,Games!$G$4:$G$1177,$C34,Games!$J$4:$J$1177,"L")+COUNTIFS(Games!$A$4:$A$1177,$A34,Games!$L$4:$L$1177,$C34,Games!$O$4:$O$1177,"L")</x:f>
        <x:v>1</x:v>
      </x:c>
      <x:c r="G34" t="n">
        <x:f>COUNTIFS(Games!$A$4:$A$1177,$A34,Games!$G$4:$G$1177,$C34,Games!$J$4:$J$1177,"T")+COUNTIFS(Games!$A$4:$A$1177,$A34,Games!$L$4:$L$1177,$C34,Games!$O$4:$O$1177,"T")</x:f>
        <x:v>0</x:v>
      </x:c>
      <x:c r="H34" t="n">
        <x:f>SUMIFS(Games!$H$4:$H$1177,Games!$A$4:$A$1177,$A34,Games!$D$4:$D$1177,"post",Games!$G$4:$G$1177,$C34)+SUMIFS(Games!$M$4:$M$1177,Games!$A$4:$A$1177,$A34,Games!$D$4:$D$1177,"post",Games!$L$4:$L$1177,$C34)</x:f>
        <x:v>44</x:v>
      </x:c>
      <x:c r="I34" t="n">
        <x:f>SUMIFS(Games!$M$4:$M$1177,Games!$A$4:$A$1177,$A34,Games!$D$4:$D$1177,"post",Games!$G$4:$G$1177,$C34)+SUMIFS(Games!$H$4:$H$1177,Games!$A$4:$A$1177,$A34,Games!$D$4:$D$1177,"post",Games!$L$4:$L$1177,$C34)</x:f>
        <x:v>58</x:v>
      </x:c>
      <x:c r="J34" t="str">
        <x:f>E34&amp;"-"&amp;F34&amp;IF(G34&gt;0,"-"&amp;G34,"")</x:f>
        <x:v>2-1</x:v>
      </x:c>
      <x:c r="K34" t="n">
        <x:f>COUNTIFS(Games!$A$4:$A$1177,$A34,Games!$D$4:$D$1177,"post",Games!$G$4:$G$1177,$C34,Games!$T$4:$T$1177,"&lt;&gt;")+COUNTIFS(Games!$A$4:$A$1177,$A34,Games!$D$4:$D$1177,"post",Games!$L$4:$L$1177,$C34,Games!$T$4:$T$1177,"&lt;&gt;")</x:f>
        <x:v>0</x:v>
      </x:c>
      <x:c r="L34" s="80" t="n">
        <x:f>IF(D34=0,0,K34/D34)</x:f>
        <x:v>0</x:v>
      </x:c>
      <x:c r="M34" t="str">
        <x:f>IF(AND(D34&gt;=2,K34&gt;=2,L34&gt;=75%),"YES","NO")</x:f>
        <x:v>NO</x:v>
      </x:c>
    </x:row>
    <x:row r="35">
      <x:c r="A35" t="str">
        <x:v>CFB</x:v>
      </x:c>
      <x:c r="B35" t="str">
        <x:v>Charleston Southern Buccaneers</x:v>
      </x:c>
      <x:c r="C35" t="str">
        <x:v>CHSO</x:v>
      </x:c>
      <x:c r="D35" t="n">
        <x:f>COUNTIFS(Games!$A$4:$A$1177,$A35,Games!$D$4:$D$1177,"post",Games!$G$4:$G$1177,$C35)+COUNTIFS(Games!$A$4:$A$1177,$A35,Games!$D$4:$D$1177,"post",Games!$L$4:$L$1177,$C35)</x:f>
        <x:v>1</x:v>
      </x:c>
      <x:c r="E35" t="n">
        <x:f>COUNTIFS(Games!$A$4:$A$1177,$A35,Games!$G$4:$G$1177,$C35,Games!$J$4:$J$1177,"W")+COUNTIFS(Games!$A$4:$A$1177,$A35,Games!$L$4:$L$1177,$C35,Games!$O$4:$O$1177,"W")</x:f>
        <x:v>0</x:v>
      </x:c>
      <x:c r="F35" t="n">
        <x:f>COUNTIFS(Games!$A$4:$A$1177,$A35,Games!$G$4:$G$1177,$C35,Games!$J$4:$J$1177,"L")+COUNTIFS(Games!$A$4:$A$1177,$A35,Games!$L$4:$L$1177,$C35,Games!$O$4:$O$1177,"L")</x:f>
        <x:v>1</x:v>
      </x:c>
      <x:c r="G35" t="n">
        <x:f>COUNTIFS(Games!$A$4:$A$1177,$A35,Games!$G$4:$G$1177,$C35,Games!$J$4:$J$1177,"T")+COUNTIFS(Games!$A$4:$A$1177,$A35,Games!$L$4:$L$1177,$C35,Games!$O$4:$O$1177,"T")</x:f>
        <x:v>0</x:v>
      </x:c>
      <x:c r="H35" t="n">
        <x:f>SUMIFS(Games!$H$4:$H$1177,Games!$A$4:$A$1177,$A35,Games!$D$4:$D$1177,"post",Games!$G$4:$G$1177,$C35)+SUMIFS(Games!$M$4:$M$1177,Games!$A$4:$A$1177,$A35,Games!$D$4:$D$1177,"post",Games!$L$4:$L$1177,$C35)</x:f>
        <x:v>0</x:v>
      </x:c>
      <x:c r="I35" t="n">
        <x:f>SUMIFS(Games!$M$4:$M$1177,Games!$A$4:$A$1177,$A35,Games!$D$4:$D$1177,"post",Games!$G$4:$G$1177,$C35)+SUMIFS(Games!$H$4:$H$1177,Games!$A$4:$A$1177,$A35,Games!$D$4:$D$1177,"post",Games!$L$4:$L$1177,$C35)</x:f>
        <x:v>31</x:v>
      </x:c>
      <x:c r="J35" t="str">
        <x:f>E35&amp;"-"&amp;F35&amp;IF(G35&gt;0,"-"&amp;G35,"")</x:f>
        <x:v>0-1</x:v>
      </x:c>
      <x:c r="K35" t="n">
        <x:f>COUNTIFS(Games!$A$4:$A$1177,$A35,Games!$D$4:$D$1177,"post",Games!$G$4:$G$1177,$C35,Games!$T$4:$T$1177,"&lt;&gt;")+COUNTIFS(Games!$A$4:$A$1177,$A35,Games!$D$4:$D$1177,"post",Games!$L$4:$L$1177,$C35,Games!$T$4:$T$1177,"&lt;&gt;")</x:f>
        <x:v>0</x:v>
      </x:c>
      <x:c r="L35" s="80" t="n">
        <x:f>IF(D35=0,0,K35/D35)</x:f>
        <x:v>0</x:v>
      </x:c>
      <x:c r="M35" t="str">
        <x:f>IF(AND(D35&gt;=2,K35&gt;=2,L35&gt;=75%),"YES","NO")</x:f>
        <x:v>NO</x:v>
      </x:c>
    </x:row>
    <x:row r="36">
      <x:c r="A36" t="str">
        <x:v>CFB</x:v>
      </x:c>
      <x:c r="B36" t="str">
        <x:v>Charlotte 49ers</x:v>
      </x:c>
      <x:c r="C36" t="str">
        <x:v>CLT</x:v>
      </x:c>
      <x:c r="D36" t="n">
        <x:f>COUNTIFS(Games!$A$4:$A$1177,$A36,Games!$D$4:$D$1177,"post",Games!$G$4:$G$1177,$C36)+COUNTIFS(Games!$A$4:$A$1177,$A36,Games!$D$4:$D$1177,"post",Games!$L$4:$L$1177,$C36)</x:f>
        <x:v>3</x:v>
      </x:c>
      <x:c r="E36" t="n">
        <x:f>COUNTIFS(Games!$A$4:$A$1177,$A36,Games!$G$4:$G$1177,$C36,Games!$J$4:$J$1177,"W")+COUNTIFS(Games!$A$4:$A$1177,$A36,Games!$L$4:$L$1177,$C36,Games!$O$4:$O$1177,"W")</x:f>
        <x:v>0</x:v>
      </x:c>
      <x:c r="F36" t="n">
        <x:f>COUNTIFS(Games!$A$4:$A$1177,$A36,Games!$G$4:$G$1177,$C36,Games!$J$4:$J$1177,"L")+COUNTIFS(Games!$A$4:$A$1177,$A36,Games!$L$4:$L$1177,$C36,Games!$O$4:$O$1177,"L")</x:f>
        <x:v>3</x:v>
      </x:c>
      <x:c r="G36" t="n">
        <x:f>COUNTIFS(Games!$A$4:$A$1177,$A36,Games!$G$4:$G$1177,$C36,Games!$J$4:$J$1177,"T")+COUNTIFS(Games!$A$4:$A$1177,$A36,Games!$L$4:$L$1177,$C36,Games!$O$4:$O$1177,"T")</x:f>
        <x:v>0</x:v>
      </x:c>
      <x:c r="H36" t="n">
        <x:f>SUMIFS(Games!$H$4:$H$1177,Games!$A$4:$A$1177,$A36,Games!$D$4:$D$1177,"post",Games!$G$4:$G$1177,$C36)+SUMIFS(Games!$M$4:$M$1177,Games!$A$4:$A$1177,$A36,Games!$D$4:$D$1177,"post",Games!$L$4:$L$1177,$C36)</x:f>
        <x:v>71</x:v>
      </x:c>
      <x:c r="I36" t="n">
        <x:f>SUMIFS(Games!$M$4:$M$1177,Games!$A$4:$A$1177,$A36,Games!$D$4:$D$1177,"post",Games!$G$4:$G$1177,$C36)+SUMIFS(Games!$H$4:$H$1177,Games!$A$4:$A$1177,$A36,Games!$D$4:$D$1177,"post",Games!$L$4:$L$1177,$C36)</x:f>
        <x:v>110</x:v>
      </x:c>
      <x:c r="J36" t="str">
        <x:f>E36&amp;"-"&amp;F36&amp;IF(G36&gt;0,"-"&amp;G36,"")</x:f>
        <x:v>0-3</x:v>
      </x:c>
      <x:c r="K36" t="n">
        <x:f>COUNTIFS(Games!$A$4:$A$1177,$A36,Games!$D$4:$D$1177,"post",Games!$G$4:$G$1177,$C36,Games!$T$4:$T$1177,"&lt;&gt;")+COUNTIFS(Games!$A$4:$A$1177,$A36,Games!$D$4:$D$1177,"post",Games!$L$4:$L$1177,$C36,Games!$T$4:$T$1177,"&lt;&gt;")</x:f>
        <x:v>0</x:v>
      </x:c>
      <x:c r="L36" s="80" t="n">
        <x:f>IF(D36=0,0,K36/D36)</x:f>
        <x:v>0</x:v>
      </x:c>
      <x:c r="M36" t="str">
        <x:f>IF(AND(D36&gt;=2,K36&gt;=2,L36&gt;=75%),"YES","NO")</x:f>
        <x:v>NO</x:v>
      </x:c>
    </x:row>
    <x:row r="37">
      <x:c r="A37" t="str">
        <x:v>CFB</x:v>
      </x:c>
      <x:c r="B37" t="str">
        <x:v>Chattanooga Mocs</x:v>
      </x:c>
      <x:c r="C37" t="str">
        <x:v>UTC</x:v>
      </x:c>
      <x:c r="D37" t="n">
        <x:f>COUNTIFS(Games!$A$4:$A$1177,$A37,Games!$D$4:$D$1177,"post",Games!$G$4:$G$1177,$C37)+COUNTIFS(Games!$A$4:$A$1177,$A37,Games!$D$4:$D$1177,"post",Games!$L$4:$L$1177,$C37)</x:f>
        <x:v>0</x:v>
      </x:c>
      <x:c r="E37" t="n">
        <x:f>COUNTIFS(Games!$A$4:$A$1177,$A37,Games!$G$4:$G$1177,$C37,Games!$J$4:$J$1177,"W")+COUNTIFS(Games!$A$4:$A$1177,$A37,Games!$L$4:$L$1177,$C37,Games!$O$4:$O$1177,"W")</x:f>
        <x:v>0</x:v>
      </x:c>
      <x:c r="F37" t="n">
        <x:f>COUNTIFS(Games!$A$4:$A$1177,$A37,Games!$G$4:$G$1177,$C37,Games!$J$4:$J$1177,"L")+COUNTIFS(Games!$A$4:$A$1177,$A37,Games!$L$4:$L$1177,$C37,Games!$O$4:$O$1177,"L")</x:f>
        <x:v>0</x:v>
      </x:c>
      <x:c r="G37" t="n">
        <x:f>COUNTIFS(Games!$A$4:$A$1177,$A37,Games!$G$4:$G$1177,$C37,Games!$J$4:$J$1177,"T")+COUNTIFS(Games!$A$4:$A$1177,$A37,Games!$L$4:$L$1177,$C37,Games!$O$4:$O$1177,"T")</x:f>
        <x:v>0</x:v>
      </x:c>
      <x:c r="H37" t="n">
        <x:f>SUMIFS(Games!$H$4:$H$1177,Games!$A$4:$A$1177,$A37,Games!$D$4:$D$1177,"post",Games!$G$4:$G$1177,$C37)+SUMIFS(Games!$M$4:$M$1177,Games!$A$4:$A$1177,$A37,Games!$D$4:$D$1177,"post",Games!$L$4:$L$1177,$C37)</x:f>
        <x:v>0</x:v>
      </x:c>
      <x:c r="I37" t="n">
        <x:f>SUMIFS(Games!$M$4:$M$1177,Games!$A$4:$A$1177,$A37,Games!$D$4:$D$1177,"post",Games!$G$4:$G$1177,$C37)+SUMIFS(Games!$H$4:$H$1177,Games!$A$4:$A$1177,$A37,Games!$D$4:$D$1177,"post",Games!$L$4:$L$1177,$C37)</x:f>
        <x:v>0</x:v>
      </x:c>
      <x:c r="J37" t="str">
        <x:f>E37&amp;"-"&amp;F37&amp;IF(G37&gt;0,"-"&amp;G37,"")</x:f>
        <x:v>0-0</x:v>
      </x:c>
      <x:c r="K37" t="n">
        <x:f>COUNTIFS(Games!$A$4:$A$1177,$A37,Games!$D$4:$D$1177,"post",Games!$G$4:$G$1177,$C37,Games!$T$4:$T$1177,"&lt;&gt;")+COUNTIFS(Games!$A$4:$A$1177,$A37,Games!$D$4:$D$1177,"post",Games!$L$4:$L$1177,$C37,Games!$T$4:$T$1177,"&lt;&gt;")</x:f>
        <x:v>0</x:v>
      </x:c>
      <x:c r="L37" s="80" t="n">
        <x:f>IF(D37=0,0,K37/D37)</x:f>
        <x:v>0</x:v>
      </x:c>
      <x:c r="M37" t="str">
        <x:f>IF(AND(D37&gt;=2,K37&gt;=2,L37&gt;=75%),"YES","NO")</x:f>
        <x:v>NO</x:v>
      </x:c>
    </x:row>
    <x:row r="38">
      <x:c r="A38" t="str">
        <x:v>CFB</x:v>
      </x:c>
      <x:c r="B38" t="str">
        <x:v>Cincinnati Bearcats</x:v>
      </x:c>
      <x:c r="C38" t="str">
        <x:v>CIN</x:v>
      </x:c>
      <x:c r="D38" t="n">
        <x:f>COUNTIFS(Games!$A$4:$A$1177,$A38,Games!$D$4:$D$1177,"post",Games!$G$4:$G$1177,$C38)+COUNTIFS(Games!$A$4:$A$1177,$A38,Games!$D$4:$D$1177,"post",Games!$L$4:$L$1177,$C38)</x:f>
        <x:v>3</x:v>
      </x:c>
      <x:c r="E38" t="n">
        <x:f>COUNTIFS(Games!$A$4:$A$1177,$A38,Games!$G$4:$G$1177,$C38,Games!$J$4:$J$1177,"W")+COUNTIFS(Games!$A$4:$A$1177,$A38,Games!$L$4:$L$1177,$C38,Games!$O$4:$O$1177,"W")</x:f>
        <x:v>3</x:v>
      </x:c>
      <x:c r="F38" t="n">
        <x:f>COUNTIFS(Games!$A$4:$A$1177,$A38,Games!$G$4:$G$1177,$C38,Games!$J$4:$J$1177,"L")+COUNTIFS(Games!$A$4:$A$1177,$A38,Games!$L$4:$L$1177,$C38,Games!$O$4:$O$1177,"L")</x:f>
        <x:v>0</x:v>
      </x:c>
      <x:c r="G38" t="n">
        <x:f>COUNTIFS(Games!$A$4:$A$1177,$A38,Games!$G$4:$G$1177,$C38,Games!$J$4:$J$1177,"T")+COUNTIFS(Games!$A$4:$A$1177,$A38,Games!$L$4:$L$1177,$C38,Games!$O$4:$O$1177,"T")</x:f>
        <x:v>0</x:v>
      </x:c>
      <x:c r="H38" t="n">
        <x:f>SUMIFS(Games!$H$4:$H$1177,Games!$A$4:$A$1177,$A38,Games!$D$4:$D$1177,"post",Games!$G$4:$G$1177,$C38)+SUMIFS(Games!$M$4:$M$1177,Games!$A$4:$A$1177,$A38,Games!$D$4:$D$1177,"post",Games!$L$4:$L$1177,$C38)</x:f>
        <x:v>131</x:v>
      </x:c>
      <x:c r="I38" t="n">
        <x:f>SUMIFS(Games!$M$4:$M$1177,Games!$A$4:$A$1177,$A38,Games!$D$4:$D$1177,"post",Games!$G$4:$G$1177,$C38)+SUMIFS(Games!$H$4:$H$1177,Games!$A$4:$A$1177,$A38,Games!$D$4:$D$1177,"post",Games!$L$4:$L$1177,$C38)</x:f>
        <x:v>56</x:v>
      </x:c>
      <x:c r="J38" t="str">
        <x:f>E38&amp;"-"&amp;F38&amp;IF(G38&gt;0,"-"&amp;G38,"")</x:f>
        <x:v>3-0</x:v>
      </x:c>
      <x:c r="K38" t="n">
        <x:f>COUNTIFS(Games!$A$4:$A$1177,$A38,Games!$D$4:$D$1177,"post",Games!$G$4:$G$1177,$C38,Games!$T$4:$T$1177,"&lt;&gt;")+COUNTIFS(Games!$A$4:$A$1177,$A38,Games!$D$4:$D$1177,"post",Games!$L$4:$L$1177,$C38,Games!$T$4:$T$1177,"&lt;&gt;")</x:f>
        <x:v>0</x:v>
      </x:c>
      <x:c r="L38" s="80" t="n">
        <x:f>IF(D38=0,0,K38/D38)</x:f>
        <x:v>0</x:v>
      </x:c>
      <x:c r="M38" t="str">
        <x:f>IF(AND(D38&gt;=2,K38&gt;=2,L38&gt;=75%),"YES","NO")</x:f>
        <x:v>NO</x:v>
      </x:c>
    </x:row>
    <x:row r="39">
      <x:c r="A39" t="str">
        <x:v>CFB</x:v>
      </x:c>
      <x:c r="B39" t="str">
        <x:v>Clemson Tigers</x:v>
      </x:c>
      <x:c r="C39" t="str">
        <x:v>CLEM</x:v>
      </x:c>
      <x:c r="D39" t="n">
        <x:f>COUNTIFS(Games!$A$4:$A$1177,$A39,Games!$D$4:$D$1177,"post",Games!$G$4:$G$1177,$C39)+COUNTIFS(Games!$A$4:$A$1177,$A39,Games!$D$4:$D$1177,"post",Games!$L$4:$L$1177,$C39)</x:f>
        <x:v>3</x:v>
      </x:c>
      <x:c r="E39" t="n">
        <x:f>COUNTIFS(Games!$A$4:$A$1177,$A39,Games!$G$4:$G$1177,$C39,Games!$J$4:$J$1177,"W")+COUNTIFS(Games!$A$4:$A$1177,$A39,Games!$L$4:$L$1177,$C39,Games!$O$4:$O$1177,"W")</x:f>
        <x:v>2</x:v>
      </x:c>
      <x:c r="F39" t="n">
        <x:f>COUNTIFS(Games!$A$4:$A$1177,$A39,Games!$G$4:$G$1177,$C39,Games!$J$4:$J$1177,"L")+COUNTIFS(Games!$A$4:$A$1177,$A39,Games!$L$4:$L$1177,$C39,Games!$O$4:$O$1177,"L")</x:f>
        <x:v>1</x:v>
      </x:c>
      <x:c r="G39" t="n">
        <x:f>COUNTIFS(Games!$A$4:$A$1177,$A39,Games!$G$4:$G$1177,$C39,Games!$J$4:$J$1177,"T")+COUNTIFS(Games!$A$4:$A$1177,$A39,Games!$L$4:$L$1177,$C39,Games!$O$4:$O$1177,"T")</x:f>
        <x:v>0</x:v>
      </x:c>
      <x:c r="H39" t="n">
        <x:f>SUMIFS(Games!$H$4:$H$1177,Games!$A$4:$A$1177,$A39,Games!$D$4:$D$1177,"post",Games!$G$4:$G$1177,$C39)+SUMIFS(Games!$M$4:$M$1177,Games!$A$4:$A$1177,$A39,Games!$D$4:$D$1177,"post",Games!$L$4:$L$1177,$C39)</x:f>
        <x:v>60</x:v>
      </x:c>
      <x:c r="I39" t="n">
        <x:f>SUMIFS(Games!$M$4:$M$1177,Games!$A$4:$A$1177,$A39,Games!$D$4:$D$1177,"post",Games!$G$4:$G$1177,$C39)+SUMIFS(Games!$H$4:$H$1177,Games!$A$4:$A$1177,$A39,Games!$D$4:$D$1177,"post",Games!$L$4:$L$1177,$C39)</x:f>
        <x:v>78</x:v>
      </x:c>
      <x:c r="J39" t="str">
        <x:f>E39&amp;"-"&amp;F39&amp;IF(G39&gt;0,"-"&amp;G39,"")</x:f>
        <x:v>2-1</x:v>
      </x:c>
      <x:c r="K39" t="n">
        <x:f>COUNTIFS(Games!$A$4:$A$1177,$A39,Games!$D$4:$D$1177,"post",Games!$G$4:$G$1177,$C39,Games!$T$4:$T$1177,"&lt;&gt;")+COUNTIFS(Games!$A$4:$A$1177,$A39,Games!$D$4:$D$1177,"post",Games!$L$4:$L$1177,$C39,Games!$T$4:$T$1177,"&lt;&gt;")</x:f>
        <x:v>0</x:v>
      </x:c>
      <x:c r="L39" s="80" t="n">
        <x:f>IF(D39=0,0,K39/D39)</x:f>
        <x:v>0</x:v>
      </x:c>
      <x:c r="M39" t="str">
        <x:f>IF(AND(D39&gt;=2,K39&gt;=2,L39&gt;=75%),"YES","NO")</x:f>
        <x:v>NO</x:v>
      </x:c>
    </x:row>
    <x:row r="40">
      <x:c r="A40" t="str">
        <x:v>CFB</x:v>
      </x:c>
      <x:c r="B40" t="str">
        <x:v>Coastal Carolina Chanticleers</x:v>
      </x:c>
      <x:c r="C40" t="str">
        <x:v>CCU</x:v>
      </x:c>
      <x:c r="D40" t="n">
        <x:f>COUNTIFS(Games!$A$4:$A$1177,$A40,Games!$D$4:$D$1177,"post",Games!$G$4:$G$1177,$C40)+COUNTIFS(Games!$A$4:$A$1177,$A40,Games!$D$4:$D$1177,"post",Games!$L$4:$L$1177,$C40)</x:f>
        <x:v>3</x:v>
      </x:c>
      <x:c r="E40" t="n">
        <x:f>COUNTIFS(Games!$A$4:$A$1177,$A40,Games!$G$4:$G$1177,$C40,Games!$J$4:$J$1177,"W")+COUNTIFS(Games!$A$4:$A$1177,$A40,Games!$L$4:$L$1177,$C40,Games!$O$4:$O$1177,"W")</x:f>
        <x:v>1</x:v>
      </x:c>
      <x:c r="F40" t="n">
        <x:f>COUNTIFS(Games!$A$4:$A$1177,$A40,Games!$G$4:$G$1177,$C40,Games!$J$4:$J$1177,"L")+COUNTIFS(Games!$A$4:$A$1177,$A40,Games!$L$4:$L$1177,$C40,Games!$O$4:$O$1177,"L")</x:f>
        <x:v>2</x:v>
      </x:c>
      <x:c r="G40" t="n">
        <x:f>COUNTIFS(Games!$A$4:$A$1177,$A40,Games!$G$4:$G$1177,$C40,Games!$J$4:$J$1177,"T")+COUNTIFS(Games!$A$4:$A$1177,$A40,Games!$L$4:$L$1177,$C40,Games!$O$4:$O$1177,"T")</x:f>
        <x:v>0</x:v>
      </x:c>
      <x:c r="H40" t="n">
        <x:f>SUMIFS(Games!$H$4:$H$1177,Games!$A$4:$A$1177,$A40,Games!$D$4:$D$1177,"post",Games!$G$4:$G$1177,$C40)+SUMIFS(Games!$M$4:$M$1177,Games!$A$4:$A$1177,$A40,Games!$D$4:$D$1177,"post",Games!$L$4:$L$1177,$C40)</x:f>
        <x:v>83</x:v>
      </x:c>
      <x:c r="I40" t="n">
        <x:f>SUMIFS(Games!$M$4:$M$1177,Games!$A$4:$A$1177,$A40,Games!$D$4:$D$1177,"post",Games!$G$4:$G$1177,$C40)+SUMIFS(Games!$H$4:$H$1177,Games!$A$4:$A$1177,$A40,Games!$D$4:$D$1177,"post",Games!$L$4:$L$1177,$C40)</x:f>
        <x:v>60</x:v>
      </x:c>
      <x:c r="J40" t="str">
        <x:f>E40&amp;"-"&amp;F40&amp;IF(G40&gt;0,"-"&amp;G40,"")</x:f>
        <x:v>1-2</x:v>
      </x:c>
      <x:c r="K40" t="n">
        <x:f>COUNTIFS(Games!$A$4:$A$1177,$A40,Games!$D$4:$D$1177,"post",Games!$G$4:$G$1177,$C40,Games!$T$4:$T$1177,"&lt;&gt;")+COUNTIFS(Games!$A$4:$A$1177,$A40,Games!$D$4:$D$1177,"post",Games!$L$4:$L$1177,$C40,Games!$T$4:$T$1177,"&lt;&gt;")</x:f>
        <x:v>0</x:v>
      </x:c>
      <x:c r="L40" s="80" t="n">
        <x:f>IF(D40=0,0,K40/D40)</x:f>
        <x:v>0</x:v>
      </x:c>
      <x:c r="M40" t="str">
        <x:f>IF(AND(D40&gt;=2,K40&gt;=2,L40&gt;=75%),"YES","NO")</x:f>
        <x:v>NO</x:v>
      </x:c>
    </x:row>
    <x:row r="41">
      <x:c r="A41" t="str">
        <x:v>CFB</x:v>
      </x:c>
      <x:c r="B41" t="str">
        <x:v>Colgate Raiders</x:v>
      </x:c>
      <x:c r="C41" t="str">
        <x:v>COLG</x:v>
      </x:c>
      <x:c r="D41" t="n">
        <x:f>COUNTIFS(Games!$A$4:$A$1177,$A41,Games!$D$4:$D$1177,"post",Games!$G$4:$G$1177,$C41)+COUNTIFS(Games!$A$4:$A$1177,$A41,Games!$D$4:$D$1177,"post",Games!$L$4:$L$1177,$C41)</x:f>
        <x:v>1</x:v>
      </x:c>
      <x:c r="E41" t="n">
        <x:f>COUNTIFS(Games!$A$4:$A$1177,$A41,Games!$G$4:$G$1177,$C41,Games!$J$4:$J$1177,"W")+COUNTIFS(Games!$A$4:$A$1177,$A41,Games!$L$4:$L$1177,$C41,Games!$O$4:$O$1177,"W")</x:f>
        <x:v>0</x:v>
      </x:c>
      <x:c r="F41" t="n">
        <x:f>COUNTIFS(Games!$A$4:$A$1177,$A41,Games!$G$4:$G$1177,$C41,Games!$J$4:$J$1177,"L")+COUNTIFS(Games!$A$4:$A$1177,$A41,Games!$L$4:$L$1177,$C41,Games!$O$4:$O$1177,"L")</x:f>
        <x:v>1</x:v>
      </x:c>
      <x:c r="G41" t="n">
        <x:f>COUNTIFS(Games!$A$4:$A$1177,$A41,Games!$G$4:$G$1177,$C41,Games!$J$4:$J$1177,"T")+COUNTIFS(Games!$A$4:$A$1177,$A41,Games!$L$4:$L$1177,$C41,Games!$O$4:$O$1177,"T")</x:f>
        <x:v>0</x:v>
      </x:c>
      <x:c r="H41" t="n">
        <x:f>SUMIFS(Games!$H$4:$H$1177,Games!$A$4:$A$1177,$A41,Games!$D$4:$D$1177,"post",Games!$G$4:$G$1177,$C41)+SUMIFS(Games!$M$4:$M$1177,Games!$A$4:$A$1177,$A41,Games!$D$4:$D$1177,"post",Games!$L$4:$L$1177,$C41)</x:f>
        <x:v>10</x:v>
      </x:c>
      <x:c r="I41" t="n">
        <x:f>SUMIFS(Games!$M$4:$M$1177,Games!$A$4:$A$1177,$A41,Games!$D$4:$D$1177,"post",Games!$G$4:$G$1177,$C41)+SUMIFS(Games!$H$4:$H$1177,Games!$A$4:$A$1177,$A41,Games!$D$4:$D$1177,"post",Games!$L$4:$L$1177,$C41)</x:f>
        <x:v>13</x:v>
      </x:c>
      <x:c r="J41" t="str">
        <x:f>E41&amp;"-"&amp;F41&amp;IF(G41&gt;0,"-"&amp;G41,"")</x:f>
        <x:v>0-1</x:v>
      </x:c>
      <x:c r="K41" t="n">
        <x:f>COUNTIFS(Games!$A$4:$A$1177,$A41,Games!$D$4:$D$1177,"post",Games!$G$4:$G$1177,$C41,Games!$T$4:$T$1177,"&lt;&gt;")+COUNTIFS(Games!$A$4:$A$1177,$A41,Games!$D$4:$D$1177,"post",Games!$L$4:$L$1177,$C41,Games!$T$4:$T$1177,"&lt;&gt;")</x:f>
        <x:v>0</x:v>
      </x:c>
      <x:c r="L41" s="80" t="n">
        <x:f>IF(D41=0,0,K41/D41)</x:f>
        <x:v>0</x:v>
      </x:c>
      <x:c r="M41" t="str">
        <x:f>IF(AND(D41&gt;=2,K41&gt;=2,L41&gt;=75%),"YES","NO")</x:f>
        <x:v>NO</x:v>
      </x:c>
    </x:row>
    <x:row r="42">
      <x:c r="A42" t="str">
        <x:v>CFB</x:v>
      </x:c>
      <x:c r="B42" t="str">
        <x:v>Colorado Buffaloes</x:v>
      </x:c>
      <x:c r="C42" t="str">
        <x:v>COLO</x:v>
      </x:c>
      <x:c r="D42" t="n">
        <x:f>COUNTIFS(Games!$A$4:$A$1177,$A42,Games!$D$4:$D$1177,"post",Games!$G$4:$G$1177,$C42)+COUNTIFS(Games!$A$4:$A$1177,$A42,Games!$D$4:$D$1177,"post",Games!$L$4:$L$1177,$C42)</x:f>
        <x:v>3</x:v>
      </x:c>
      <x:c r="E42" t="n">
        <x:f>COUNTIFS(Games!$A$4:$A$1177,$A42,Games!$G$4:$G$1177,$C42,Games!$J$4:$J$1177,"W")+COUNTIFS(Games!$A$4:$A$1177,$A42,Games!$L$4:$L$1177,$C42,Games!$O$4:$O$1177,"W")</x:f>
        <x:v>2</x:v>
      </x:c>
      <x:c r="F42" t="n">
        <x:f>COUNTIFS(Games!$A$4:$A$1177,$A42,Games!$G$4:$G$1177,$C42,Games!$J$4:$J$1177,"L")+COUNTIFS(Games!$A$4:$A$1177,$A42,Games!$L$4:$L$1177,$C42,Games!$O$4:$O$1177,"L")</x:f>
        <x:v>1</x:v>
      </x:c>
      <x:c r="G42" t="n">
        <x:f>COUNTIFS(Games!$A$4:$A$1177,$A42,Games!$G$4:$G$1177,$C42,Games!$J$4:$J$1177,"T")+COUNTIFS(Games!$A$4:$A$1177,$A42,Games!$L$4:$L$1177,$C42,Games!$O$4:$O$1177,"T")</x:f>
        <x:v>0</x:v>
      </x:c>
      <x:c r="H42" t="n">
        <x:f>SUMIFS(Games!$H$4:$H$1177,Games!$A$4:$A$1177,$A42,Games!$D$4:$D$1177,"post",Games!$G$4:$G$1177,$C42)+SUMIFS(Games!$M$4:$M$1177,Games!$A$4:$A$1177,$A42,Games!$D$4:$D$1177,"post",Games!$L$4:$L$1177,$C42)</x:f>
        <x:v>73</x:v>
      </x:c>
      <x:c r="I42" t="n">
        <x:f>SUMIFS(Games!$M$4:$M$1177,Games!$A$4:$A$1177,$A42,Games!$D$4:$D$1177,"post",Games!$G$4:$G$1177,$C42)+SUMIFS(Games!$H$4:$H$1177,Games!$A$4:$A$1177,$A42,Games!$D$4:$D$1177,"post",Games!$L$4:$L$1177,$C42)</x:f>
        <x:v>75</x:v>
      </x:c>
      <x:c r="J42" t="str">
        <x:f>E42&amp;"-"&amp;F42&amp;IF(G42&gt;0,"-"&amp;G42,"")</x:f>
        <x:v>2-1</x:v>
      </x:c>
      <x:c r="K42" t="n">
        <x:f>COUNTIFS(Games!$A$4:$A$1177,$A42,Games!$D$4:$D$1177,"post",Games!$G$4:$G$1177,$C42,Games!$T$4:$T$1177,"&lt;&gt;")+COUNTIFS(Games!$A$4:$A$1177,$A42,Games!$D$4:$D$1177,"post",Games!$L$4:$L$1177,$C42,Games!$T$4:$T$1177,"&lt;&gt;")</x:f>
        <x:v>0</x:v>
      </x:c>
      <x:c r="L42" s="80" t="n">
        <x:f>IF(D42=0,0,K42/D42)</x:f>
        <x:v>0</x:v>
      </x:c>
      <x:c r="M42" t="str">
        <x:f>IF(AND(D42&gt;=2,K42&gt;=2,L42&gt;=75%),"YES","NO")</x:f>
        <x:v>NO</x:v>
      </x:c>
    </x:row>
    <x:row r="43">
      <x:c r="A43" t="str">
        <x:v>CFB</x:v>
      </x:c>
      <x:c r="B43" t="str">
        <x:v>Colorado State Rams</x:v>
      </x:c>
      <x:c r="C43" t="str">
        <x:v>CSU</x:v>
      </x:c>
      <x:c r="D43" t="n">
        <x:f>COUNTIFS(Games!$A$4:$A$1177,$A43,Games!$D$4:$D$1177,"post",Games!$G$4:$G$1177,$C43)+COUNTIFS(Games!$A$4:$A$1177,$A43,Games!$D$4:$D$1177,"post",Games!$L$4:$L$1177,$C43)</x:f>
        <x:v>3</x:v>
      </x:c>
      <x:c r="E43" t="n">
        <x:f>COUNTIFS(Games!$A$4:$A$1177,$A43,Games!$G$4:$G$1177,$C43,Games!$J$4:$J$1177,"W")+COUNTIFS(Games!$A$4:$A$1177,$A43,Games!$L$4:$L$1177,$C43,Games!$O$4:$O$1177,"W")</x:f>
        <x:v>2</x:v>
      </x:c>
      <x:c r="F43" t="n">
        <x:f>COUNTIFS(Games!$A$4:$A$1177,$A43,Games!$G$4:$G$1177,$C43,Games!$J$4:$J$1177,"L")+COUNTIFS(Games!$A$4:$A$1177,$A43,Games!$L$4:$L$1177,$C43,Games!$O$4:$O$1177,"L")</x:f>
        <x:v>1</x:v>
      </x:c>
      <x:c r="G43" t="n">
        <x:f>COUNTIFS(Games!$A$4:$A$1177,$A43,Games!$G$4:$G$1177,$C43,Games!$J$4:$J$1177,"T")+COUNTIFS(Games!$A$4:$A$1177,$A43,Games!$L$4:$L$1177,$C43,Games!$O$4:$O$1177,"T")</x:f>
        <x:v>0</x:v>
      </x:c>
      <x:c r="H43" t="n">
        <x:f>SUMIFS(Games!$H$4:$H$1177,Games!$A$4:$A$1177,$A43,Games!$D$4:$D$1177,"post",Games!$G$4:$G$1177,$C43)+SUMIFS(Games!$M$4:$M$1177,Games!$A$4:$A$1177,$A43,Games!$D$4:$D$1177,"post",Games!$L$4:$L$1177,$C43)</x:f>
        <x:v>116</x:v>
      </x:c>
      <x:c r="I43" t="n">
        <x:f>SUMIFS(Games!$M$4:$M$1177,Games!$A$4:$A$1177,$A43,Games!$D$4:$D$1177,"post",Games!$G$4:$G$1177,$C43)+SUMIFS(Games!$H$4:$H$1177,Games!$A$4:$A$1177,$A43,Games!$D$4:$D$1177,"post",Games!$L$4:$L$1177,$C43)</x:f>
        <x:v>78</x:v>
      </x:c>
      <x:c r="J43" t="str">
        <x:f>E43&amp;"-"&amp;F43&amp;IF(G43&gt;0,"-"&amp;G43,"")</x:f>
        <x:v>2-1</x:v>
      </x:c>
      <x:c r="K43" t="n">
        <x:f>COUNTIFS(Games!$A$4:$A$1177,$A43,Games!$D$4:$D$1177,"post",Games!$G$4:$G$1177,$C43,Games!$T$4:$T$1177,"&lt;&gt;")+COUNTIFS(Games!$A$4:$A$1177,$A43,Games!$D$4:$D$1177,"post",Games!$L$4:$L$1177,$C43,Games!$T$4:$T$1177,"&lt;&gt;")</x:f>
        <x:v>0</x:v>
      </x:c>
      <x:c r="L43" s="80" t="n">
        <x:f>IF(D43=0,0,K43/D43)</x:f>
        <x:v>0</x:v>
      </x:c>
      <x:c r="M43" t="str">
        <x:f>IF(AND(D43&gt;=2,K43&gt;=2,L43&gt;=75%),"YES","NO")</x:f>
        <x:v>NO</x:v>
      </x:c>
    </x:row>
    <x:row r="44">
      <x:c r="A44" t="str">
        <x:v>CFB</x:v>
      </x:c>
      <x:c r="B44" t="str">
        <x:v>Delaware Blue Hens</x:v>
      </x:c>
      <x:c r="C44" t="str">
        <x:v>DEL</x:v>
      </x:c>
      <x:c r="D44" t="n">
        <x:f>COUNTIFS(Games!$A$4:$A$1177,$A44,Games!$D$4:$D$1177,"post",Games!$G$4:$G$1177,$C44)+COUNTIFS(Games!$A$4:$A$1177,$A44,Games!$D$4:$D$1177,"post",Games!$L$4:$L$1177,$C44)</x:f>
        <x:v>3</x:v>
      </x:c>
      <x:c r="E44" t="n">
        <x:f>COUNTIFS(Games!$A$4:$A$1177,$A44,Games!$G$4:$G$1177,$C44,Games!$J$4:$J$1177,"W")+COUNTIFS(Games!$A$4:$A$1177,$A44,Games!$L$4:$L$1177,$C44,Games!$O$4:$O$1177,"W")</x:f>
        <x:v>2</x:v>
      </x:c>
      <x:c r="F44" t="n">
        <x:f>COUNTIFS(Games!$A$4:$A$1177,$A44,Games!$G$4:$G$1177,$C44,Games!$J$4:$J$1177,"L")+COUNTIFS(Games!$A$4:$A$1177,$A44,Games!$L$4:$L$1177,$C44,Games!$O$4:$O$1177,"L")</x:f>
        <x:v>1</x:v>
      </x:c>
      <x:c r="G44" t="n">
        <x:f>COUNTIFS(Games!$A$4:$A$1177,$A44,Games!$G$4:$G$1177,$C44,Games!$J$4:$J$1177,"T")+COUNTIFS(Games!$A$4:$A$1177,$A44,Games!$L$4:$L$1177,$C44,Games!$O$4:$O$1177,"T")</x:f>
        <x:v>0</x:v>
      </x:c>
      <x:c r="H44" t="n">
        <x:f>SUMIFS(Games!$H$4:$H$1177,Games!$A$4:$A$1177,$A44,Games!$D$4:$D$1177,"post",Games!$G$4:$G$1177,$C44)+SUMIFS(Games!$M$4:$M$1177,Games!$A$4:$A$1177,$A44,Games!$D$4:$D$1177,"post",Games!$L$4:$L$1177,$C44)</x:f>
        <x:v>90</x:v>
      </x:c>
      <x:c r="I44" t="n">
        <x:f>SUMIFS(Games!$M$4:$M$1177,Games!$A$4:$A$1177,$A44,Games!$D$4:$D$1177,"post",Games!$G$4:$G$1177,$C44)+SUMIFS(Games!$H$4:$H$1177,Games!$A$4:$A$1177,$A44,Games!$D$4:$D$1177,"post",Games!$L$4:$L$1177,$C44)</x:f>
        <x:v>56</x:v>
      </x:c>
      <x:c r="J44" t="str">
        <x:f>E44&amp;"-"&amp;F44&amp;IF(G44&gt;0,"-"&amp;G44,"")</x:f>
        <x:v>2-1</x:v>
      </x:c>
      <x:c r="K44" t="n">
        <x:f>COUNTIFS(Games!$A$4:$A$1177,$A44,Games!$D$4:$D$1177,"post",Games!$G$4:$G$1177,$C44,Games!$T$4:$T$1177,"&lt;&gt;")+COUNTIFS(Games!$A$4:$A$1177,$A44,Games!$D$4:$D$1177,"post",Games!$L$4:$L$1177,$C44,Games!$T$4:$T$1177,"&lt;&gt;")</x:f>
        <x:v>0</x:v>
      </x:c>
      <x:c r="L44" s="80" t="n">
        <x:f>IF(D44=0,0,K44/D44)</x:f>
        <x:v>0</x:v>
      </x:c>
      <x:c r="M44" t="str">
        <x:f>IF(AND(D44&gt;=2,K44&gt;=2,L44&gt;=75%),"YES","NO")</x:f>
        <x:v>NO</x:v>
      </x:c>
    </x:row>
    <x:row r="45">
      <x:c r="A45" t="str">
        <x:v>CFB</x:v>
      </x:c>
      <x:c r="B45" t="str">
        <x:v>Delaware State Hornets</x:v>
      </x:c>
      <x:c r="C45" t="str">
        <x:v>DSU</x:v>
      </x:c>
      <x:c r="D45" t="n">
        <x:f>COUNTIFS(Games!$A$4:$A$1177,$A45,Games!$D$4:$D$1177,"post",Games!$G$4:$G$1177,$C45)+COUNTIFS(Games!$A$4:$A$1177,$A45,Games!$D$4:$D$1177,"post",Games!$L$4:$L$1177,$C45)</x:f>
        <x:v>1</x:v>
      </x:c>
      <x:c r="E45" t="n">
        <x:f>COUNTIFS(Games!$A$4:$A$1177,$A45,Games!$G$4:$G$1177,$C45,Games!$J$4:$J$1177,"W")+COUNTIFS(Games!$A$4:$A$1177,$A45,Games!$L$4:$L$1177,$C45,Games!$O$4:$O$1177,"W")</x:f>
        <x:v>0</x:v>
      </x:c>
      <x:c r="F45" t="n">
        <x:f>COUNTIFS(Games!$A$4:$A$1177,$A45,Games!$G$4:$G$1177,$C45,Games!$J$4:$J$1177,"L")+COUNTIFS(Games!$A$4:$A$1177,$A45,Games!$L$4:$L$1177,$C45,Games!$O$4:$O$1177,"L")</x:f>
        <x:v>1</x:v>
      </x:c>
      <x:c r="G45" t="n">
        <x:f>COUNTIFS(Games!$A$4:$A$1177,$A45,Games!$G$4:$G$1177,$C45,Games!$J$4:$J$1177,"T")+COUNTIFS(Games!$A$4:$A$1177,$A45,Games!$L$4:$L$1177,$C45,Games!$O$4:$O$1177,"T")</x:f>
        <x:v>0</x:v>
      </x:c>
      <x:c r="H45" t="n">
        <x:f>SUMIFS(Games!$H$4:$H$1177,Games!$A$4:$A$1177,$A45,Games!$D$4:$D$1177,"post",Games!$G$4:$G$1177,$C45)+SUMIFS(Games!$M$4:$M$1177,Games!$A$4:$A$1177,$A45,Games!$D$4:$D$1177,"post",Games!$L$4:$L$1177,$C45)</x:f>
        <x:v>17</x:v>
      </x:c>
      <x:c r="I45" t="n">
        <x:f>SUMIFS(Games!$M$4:$M$1177,Games!$A$4:$A$1177,$A45,Games!$D$4:$D$1177,"post",Games!$G$4:$G$1177,$C45)+SUMIFS(Games!$H$4:$H$1177,Games!$A$4:$A$1177,$A45,Games!$D$4:$D$1177,"post",Games!$L$4:$L$1177,$C45)</x:f>
        <x:v>59</x:v>
      </x:c>
      <x:c r="J45" t="str">
        <x:f>E45&amp;"-"&amp;F45&amp;IF(G45&gt;0,"-"&amp;G45,"")</x:f>
        <x:v>0-1</x:v>
      </x:c>
      <x:c r="K45" t="n">
        <x:f>COUNTIFS(Games!$A$4:$A$1177,$A45,Games!$D$4:$D$1177,"post",Games!$G$4:$G$1177,$C45,Games!$T$4:$T$1177,"&lt;&gt;")+COUNTIFS(Games!$A$4:$A$1177,$A45,Games!$D$4:$D$1177,"post",Games!$L$4:$L$1177,$C45,Games!$T$4:$T$1177,"&lt;&gt;")</x:f>
        <x:v>0</x:v>
      </x:c>
      <x:c r="L45" s="80" t="n">
        <x:f>IF(D45=0,0,K45/D45)</x:f>
        <x:v>0</x:v>
      </x:c>
      <x:c r="M45" t="str">
        <x:f>IF(AND(D45&gt;=2,K45&gt;=2,L45&gt;=75%),"YES","NO")</x:f>
        <x:v>NO</x:v>
      </x:c>
    </x:row>
    <x:row r="46">
      <x:c r="A46" t="str">
        <x:v>CFB</x:v>
      </x:c>
      <x:c r="B46" t="str">
        <x:v>Duke Blue Devils</x:v>
      </x:c>
      <x:c r="C46" t="str">
        <x:v>DUKE</x:v>
      </x:c>
      <x:c r="D46" t="n">
        <x:f>COUNTIFS(Games!$A$4:$A$1177,$A46,Games!$D$4:$D$1177,"post",Games!$G$4:$G$1177,$C46)+COUNTIFS(Games!$A$4:$A$1177,$A46,Games!$D$4:$D$1177,"post",Games!$L$4:$L$1177,$C46)</x:f>
        <x:v>3</x:v>
      </x:c>
      <x:c r="E46" t="n">
        <x:f>COUNTIFS(Games!$A$4:$A$1177,$A46,Games!$G$4:$G$1177,$C46,Games!$J$4:$J$1177,"W")+COUNTIFS(Games!$A$4:$A$1177,$A46,Games!$L$4:$L$1177,$C46,Games!$O$4:$O$1177,"W")</x:f>
        <x:v>3</x:v>
      </x:c>
      <x:c r="F46" t="n">
        <x:f>COUNTIFS(Games!$A$4:$A$1177,$A46,Games!$G$4:$G$1177,$C46,Games!$J$4:$J$1177,"L")+COUNTIFS(Games!$A$4:$A$1177,$A46,Games!$L$4:$L$1177,$C46,Games!$O$4:$O$1177,"L")</x:f>
        <x:v>0</x:v>
      </x:c>
      <x:c r="G46" t="n">
        <x:f>COUNTIFS(Games!$A$4:$A$1177,$A46,Games!$G$4:$G$1177,$C46,Games!$J$4:$J$1177,"T")+COUNTIFS(Games!$A$4:$A$1177,$A46,Games!$L$4:$L$1177,$C46,Games!$O$4:$O$1177,"T")</x:f>
        <x:v>0</x:v>
      </x:c>
      <x:c r="H46" t="n">
        <x:f>SUMIFS(Games!$H$4:$H$1177,Games!$A$4:$A$1177,$A46,Games!$D$4:$D$1177,"post",Games!$G$4:$G$1177,$C46)+SUMIFS(Games!$M$4:$M$1177,Games!$A$4:$A$1177,$A46,Games!$D$4:$D$1177,"post",Games!$L$4:$L$1177,$C46)</x:f>
        <x:v>83</x:v>
      </x:c>
      <x:c r="I46" t="n">
        <x:f>SUMIFS(Games!$M$4:$M$1177,Games!$A$4:$A$1177,$A46,Games!$D$4:$D$1177,"post",Games!$G$4:$G$1177,$C46)+SUMIFS(Games!$H$4:$H$1177,Games!$A$4:$A$1177,$A46,Games!$D$4:$D$1177,"post",Games!$L$4:$L$1177,$C46)</x:f>
        <x:v>37</x:v>
      </x:c>
      <x:c r="J46" t="str">
        <x:f>E46&amp;"-"&amp;F46&amp;IF(G46&gt;0,"-"&amp;G46,"")</x:f>
        <x:v>3-0</x:v>
      </x:c>
      <x:c r="K46" t="n">
        <x:f>COUNTIFS(Games!$A$4:$A$1177,$A46,Games!$D$4:$D$1177,"post",Games!$G$4:$G$1177,$C46,Games!$T$4:$T$1177,"&lt;&gt;")+COUNTIFS(Games!$A$4:$A$1177,$A46,Games!$D$4:$D$1177,"post",Games!$L$4:$L$1177,$C46,Games!$T$4:$T$1177,"&lt;&gt;")</x:f>
        <x:v>0</x:v>
      </x:c>
      <x:c r="L46" s="80" t="n">
        <x:f>IF(D46=0,0,K46/D46)</x:f>
        <x:v>0</x:v>
      </x:c>
      <x:c r="M46" t="str">
        <x:f>IF(AND(D46&gt;=2,K46&gt;=2,L46&gt;=75%),"YES","NO")</x:f>
        <x:v>NO</x:v>
      </x:c>
    </x:row>
    <x:row r="47">
      <x:c r="A47" t="str">
        <x:v>CFB</x:v>
      </x:c>
      <x:c r="B47" t="str">
        <x:v>Duquesne Dukes</x:v>
      </x:c>
      <x:c r="C47" t="str">
        <x:v>DUQ</x:v>
      </x:c>
      <x:c r="D47" t="n">
        <x:f>COUNTIFS(Games!$A$4:$A$1177,$A47,Games!$D$4:$D$1177,"post",Games!$G$4:$G$1177,$C47)+COUNTIFS(Games!$A$4:$A$1177,$A47,Games!$D$4:$D$1177,"post",Games!$L$4:$L$1177,$C47)</x:f>
        <x:v>2</x:v>
      </x:c>
      <x:c r="E47" t="n">
        <x:f>COUNTIFS(Games!$A$4:$A$1177,$A47,Games!$G$4:$G$1177,$C47,Games!$J$4:$J$1177,"W")+COUNTIFS(Games!$A$4:$A$1177,$A47,Games!$L$4:$L$1177,$C47,Games!$O$4:$O$1177,"W")</x:f>
        <x:v>0</x:v>
      </x:c>
      <x:c r="F47" t="n">
        <x:f>COUNTIFS(Games!$A$4:$A$1177,$A47,Games!$G$4:$G$1177,$C47,Games!$J$4:$J$1177,"L")+COUNTIFS(Games!$A$4:$A$1177,$A47,Games!$L$4:$L$1177,$C47,Games!$O$4:$O$1177,"L")</x:f>
        <x:v>2</x:v>
      </x:c>
      <x:c r="G47" t="n">
        <x:f>COUNTIFS(Games!$A$4:$A$1177,$A47,Games!$G$4:$G$1177,$C47,Games!$J$4:$J$1177,"T")+COUNTIFS(Games!$A$4:$A$1177,$A47,Games!$L$4:$L$1177,$C47,Games!$O$4:$O$1177,"T")</x:f>
        <x:v>0</x:v>
      </x:c>
      <x:c r="H47" t="n">
        <x:f>SUMIFS(Games!$H$4:$H$1177,Games!$A$4:$A$1177,$A47,Games!$D$4:$D$1177,"post",Games!$G$4:$G$1177,$C47)+SUMIFS(Games!$M$4:$M$1177,Games!$A$4:$A$1177,$A47,Games!$D$4:$D$1177,"post",Games!$L$4:$L$1177,$C47)</x:f>
        <x:v>7</x:v>
      </x:c>
      <x:c r="I47" t="n">
        <x:f>SUMIFS(Games!$M$4:$M$1177,Games!$A$4:$A$1177,$A47,Games!$D$4:$D$1177,"post",Games!$G$4:$G$1177,$C47)+SUMIFS(Games!$H$4:$H$1177,Games!$A$4:$A$1177,$A47,Games!$D$4:$D$1177,"post",Games!$L$4:$L$1177,$C47)</x:f>
        <x:v>82</x:v>
      </x:c>
      <x:c r="J47" t="str">
        <x:f>E47&amp;"-"&amp;F47&amp;IF(G47&gt;0,"-"&amp;G47,"")</x:f>
        <x:v>0-2</x:v>
      </x:c>
      <x:c r="K47" t="n">
        <x:f>COUNTIFS(Games!$A$4:$A$1177,$A47,Games!$D$4:$D$1177,"post",Games!$G$4:$G$1177,$C47,Games!$T$4:$T$1177,"&lt;&gt;")+COUNTIFS(Games!$A$4:$A$1177,$A47,Games!$D$4:$D$1177,"post",Games!$L$4:$L$1177,$C47,Games!$T$4:$T$1177,"&lt;&gt;")</x:f>
        <x:v>0</x:v>
      </x:c>
      <x:c r="L47" s="80" t="n">
        <x:f>IF(D47=0,0,K47/D47)</x:f>
        <x:v>0</x:v>
      </x:c>
      <x:c r="M47" t="str">
        <x:f>IF(AND(D47&gt;=2,K47&gt;=2,L47&gt;=75%),"YES","NO")</x:f>
        <x:v>NO</x:v>
      </x:c>
    </x:row>
    <x:row r="48">
      <x:c r="A48" t="str">
        <x:v>CFB</x:v>
      </x:c>
      <x:c r="B48" t="str">
        <x:v>East Carolina Pirates</x:v>
      </x:c>
      <x:c r="C48" t="str">
        <x:v>ECU</x:v>
      </x:c>
      <x:c r="D48" t="n">
        <x:f>COUNTIFS(Games!$A$4:$A$1177,$A48,Games!$D$4:$D$1177,"post",Games!$G$4:$G$1177,$C48)+COUNTIFS(Games!$A$4:$A$1177,$A48,Games!$D$4:$D$1177,"post",Games!$L$4:$L$1177,$C48)</x:f>
        <x:v>3</x:v>
      </x:c>
      <x:c r="E48" t="n">
        <x:f>COUNTIFS(Games!$A$4:$A$1177,$A48,Games!$G$4:$G$1177,$C48,Games!$J$4:$J$1177,"W")+COUNTIFS(Games!$A$4:$A$1177,$A48,Games!$L$4:$L$1177,$C48,Games!$O$4:$O$1177,"W")</x:f>
        <x:v>1</x:v>
      </x:c>
      <x:c r="F48" t="n">
        <x:f>COUNTIFS(Games!$A$4:$A$1177,$A48,Games!$G$4:$G$1177,$C48,Games!$J$4:$J$1177,"L")+COUNTIFS(Games!$A$4:$A$1177,$A48,Games!$L$4:$L$1177,$C48,Games!$O$4:$O$1177,"L")</x:f>
        <x:v>2</x:v>
      </x:c>
      <x:c r="G48" t="n">
        <x:f>COUNTIFS(Games!$A$4:$A$1177,$A48,Games!$G$4:$G$1177,$C48,Games!$J$4:$J$1177,"T")+COUNTIFS(Games!$A$4:$A$1177,$A48,Games!$L$4:$L$1177,$C48,Games!$O$4:$O$1177,"T")</x:f>
        <x:v>0</x:v>
      </x:c>
      <x:c r="H48" t="n">
        <x:f>SUMIFS(Games!$H$4:$H$1177,Games!$A$4:$A$1177,$A48,Games!$D$4:$D$1177,"post",Games!$G$4:$G$1177,$C48)+SUMIFS(Games!$M$4:$M$1177,Games!$A$4:$A$1177,$A48,Games!$D$4:$D$1177,"post",Games!$L$4:$L$1177,$C48)</x:f>
        <x:v>54</x:v>
      </x:c>
      <x:c r="I48" t="n">
        <x:f>SUMIFS(Games!$M$4:$M$1177,Games!$A$4:$A$1177,$A48,Games!$D$4:$D$1177,"post",Games!$G$4:$G$1177,$C48)+SUMIFS(Games!$H$4:$H$1177,Games!$A$4:$A$1177,$A48,Games!$D$4:$D$1177,"post",Games!$L$4:$L$1177,$C48)</x:f>
        <x:v>92</x:v>
      </x:c>
      <x:c r="J48" t="str">
        <x:f>E48&amp;"-"&amp;F48&amp;IF(G48&gt;0,"-"&amp;G48,"")</x:f>
        <x:v>1-2</x:v>
      </x:c>
      <x:c r="K48" t="n">
        <x:f>COUNTIFS(Games!$A$4:$A$1177,$A48,Games!$D$4:$D$1177,"post",Games!$G$4:$G$1177,$C48,Games!$T$4:$T$1177,"&lt;&gt;")+COUNTIFS(Games!$A$4:$A$1177,$A48,Games!$D$4:$D$1177,"post",Games!$L$4:$L$1177,$C48,Games!$T$4:$T$1177,"&lt;&gt;")</x:f>
        <x:v>0</x:v>
      </x:c>
      <x:c r="L48" s="80" t="n">
        <x:f>IF(D48=0,0,K48/D48)</x:f>
        <x:v>0</x:v>
      </x:c>
      <x:c r="M48" t="str">
        <x:f>IF(AND(D48&gt;=2,K48&gt;=2,L48&gt;=75%),"YES","NO")</x:f>
        <x:v>NO</x:v>
      </x:c>
    </x:row>
    <x:row r="49">
      <x:c r="A49" t="str">
        <x:v>CFB</x:v>
      </x:c>
      <x:c r="B49" t="str">
        <x:v>East Tennessee State Buccaneers</x:v>
      </x:c>
      <x:c r="C49" t="str">
        <x:v>ETSU</x:v>
      </x:c>
      <x:c r="D49" t="n">
        <x:f>COUNTIFS(Games!$A$4:$A$1177,$A49,Games!$D$4:$D$1177,"post",Games!$G$4:$G$1177,$C49)+COUNTIFS(Games!$A$4:$A$1177,$A49,Games!$D$4:$D$1177,"post",Games!$L$4:$L$1177,$C49)</x:f>
        <x:v>1</x:v>
      </x:c>
      <x:c r="E49" t="n">
        <x:f>COUNTIFS(Games!$A$4:$A$1177,$A49,Games!$G$4:$G$1177,$C49,Games!$J$4:$J$1177,"W")+COUNTIFS(Games!$A$4:$A$1177,$A49,Games!$L$4:$L$1177,$C49,Games!$O$4:$O$1177,"W")</x:f>
        <x:v>0</x:v>
      </x:c>
      <x:c r="F49" t="n">
        <x:f>COUNTIFS(Games!$A$4:$A$1177,$A49,Games!$G$4:$G$1177,$C49,Games!$J$4:$J$1177,"L")+COUNTIFS(Games!$A$4:$A$1177,$A49,Games!$L$4:$L$1177,$C49,Games!$O$4:$O$1177,"L")</x:f>
        <x:v>1</x:v>
      </x:c>
      <x:c r="G49" t="n">
        <x:f>COUNTIFS(Games!$A$4:$A$1177,$A49,Games!$G$4:$G$1177,$C49,Games!$J$4:$J$1177,"T")+COUNTIFS(Games!$A$4:$A$1177,$A49,Games!$L$4:$L$1177,$C49,Games!$O$4:$O$1177,"T")</x:f>
        <x:v>0</x:v>
      </x:c>
      <x:c r="H49" t="n">
        <x:f>SUMIFS(Games!$H$4:$H$1177,Games!$A$4:$A$1177,$A49,Games!$D$4:$D$1177,"post",Games!$G$4:$G$1177,$C49)+SUMIFS(Games!$M$4:$M$1177,Games!$A$4:$A$1177,$A49,Games!$D$4:$D$1177,"post",Games!$L$4:$L$1177,$C49)</x:f>
        <x:v>3</x:v>
      </x:c>
      <x:c r="I49" t="n">
        <x:f>SUMIFS(Games!$M$4:$M$1177,Games!$A$4:$A$1177,$A49,Games!$D$4:$D$1177,"post",Games!$G$4:$G$1177,$C49)+SUMIFS(Games!$H$4:$H$1177,Games!$A$4:$A$1177,$A49,Games!$D$4:$D$1177,"post",Games!$L$4:$L$1177,$C49)</x:f>
        <x:v>35</x:v>
      </x:c>
      <x:c r="J49" t="str">
        <x:f>E49&amp;"-"&amp;F49&amp;IF(G49&gt;0,"-"&amp;G49,"")</x:f>
        <x:v>0-1</x:v>
      </x:c>
      <x:c r="K49" t="n">
        <x:f>COUNTIFS(Games!$A$4:$A$1177,$A49,Games!$D$4:$D$1177,"post",Games!$G$4:$G$1177,$C49,Games!$T$4:$T$1177,"&lt;&gt;")+COUNTIFS(Games!$A$4:$A$1177,$A49,Games!$D$4:$D$1177,"post",Games!$L$4:$L$1177,$C49,Games!$T$4:$T$1177,"&lt;&gt;")</x:f>
        <x:v>0</x:v>
      </x:c>
      <x:c r="L49" s="80" t="n">
        <x:f>IF(D49=0,0,K49/D49)</x:f>
        <x:v>0</x:v>
      </x:c>
      <x:c r="M49" t="str">
        <x:f>IF(AND(D49&gt;=2,K49&gt;=2,L49&gt;=75%),"YES","NO")</x:f>
        <x:v>NO</x:v>
      </x:c>
    </x:row>
    <x:row r="50">
      <x:c r="A50" t="str">
        <x:v>CFB</x:v>
      </x:c>
      <x:c r="B50" t="str">
        <x:v>East Texas A&amp;M Lions</x:v>
      </x:c>
      <x:c r="C50" t="str">
        <x:v>ETAM</x:v>
      </x:c>
      <x:c r="D50" t="n">
        <x:f>COUNTIFS(Games!$A$4:$A$1177,$A50,Games!$D$4:$D$1177,"post",Games!$G$4:$G$1177,$C50)+COUNTIFS(Games!$A$4:$A$1177,$A50,Games!$D$4:$D$1177,"post",Games!$L$4:$L$1177,$C50)</x:f>
        <x:v>1</x:v>
      </x:c>
      <x:c r="E50" t="n">
        <x:f>COUNTIFS(Games!$A$4:$A$1177,$A50,Games!$G$4:$G$1177,$C50,Games!$J$4:$J$1177,"W")+COUNTIFS(Games!$A$4:$A$1177,$A50,Games!$L$4:$L$1177,$C50,Games!$O$4:$O$1177,"W")</x:f>
        <x:v>0</x:v>
      </x:c>
      <x:c r="F50" t="n">
        <x:f>COUNTIFS(Games!$A$4:$A$1177,$A50,Games!$G$4:$G$1177,$C50,Games!$J$4:$J$1177,"L")+COUNTIFS(Games!$A$4:$A$1177,$A50,Games!$L$4:$L$1177,$C50,Games!$O$4:$O$1177,"L")</x:f>
        <x:v>1</x:v>
      </x:c>
      <x:c r="G50" t="n">
        <x:f>COUNTIFS(Games!$A$4:$A$1177,$A50,Games!$G$4:$G$1177,$C50,Games!$J$4:$J$1177,"T")+COUNTIFS(Games!$A$4:$A$1177,$A50,Games!$L$4:$L$1177,$C50,Games!$O$4:$O$1177,"T")</x:f>
        <x:v>0</x:v>
      </x:c>
      <x:c r="H50" t="n">
        <x:f>SUMIFS(Games!$H$4:$H$1177,Games!$A$4:$A$1177,$A50,Games!$D$4:$D$1177,"post",Games!$G$4:$G$1177,$C50)+SUMIFS(Games!$M$4:$M$1177,Games!$A$4:$A$1177,$A50,Games!$D$4:$D$1177,"post",Games!$L$4:$L$1177,$C50)</x:f>
        <x:v>0</x:v>
      </x:c>
      <x:c r="I50" t="n">
        <x:f>SUMIFS(Games!$M$4:$M$1177,Games!$A$4:$A$1177,$A50,Games!$D$4:$D$1177,"post",Games!$G$4:$G$1177,$C50)+SUMIFS(Games!$H$4:$H$1177,Games!$A$4:$A$1177,$A50,Games!$D$4:$D$1177,"post",Games!$L$4:$L$1177,$C50)</x:f>
        <x:v>42</x:v>
      </x:c>
      <x:c r="J50" t="str">
        <x:f>E50&amp;"-"&amp;F50&amp;IF(G50&gt;0,"-"&amp;G50,"")</x:f>
        <x:v>0-1</x:v>
      </x:c>
      <x:c r="K50" t="n">
        <x:f>COUNTIFS(Games!$A$4:$A$1177,$A50,Games!$D$4:$D$1177,"post",Games!$G$4:$G$1177,$C50,Games!$T$4:$T$1177,"&lt;&gt;")+COUNTIFS(Games!$A$4:$A$1177,$A50,Games!$D$4:$D$1177,"post",Games!$L$4:$L$1177,$C50,Games!$T$4:$T$1177,"&lt;&gt;")</x:f>
        <x:v>0</x:v>
      </x:c>
      <x:c r="L50" s="80" t="n">
        <x:f>IF(D50=0,0,K50/D50)</x:f>
        <x:v>0</x:v>
      </x:c>
      <x:c r="M50" t="str">
        <x:f>IF(AND(D50&gt;=2,K50&gt;=2,L50&gt;=75%),"YES","NO")</x:f>
        <x:v>NO</x:v>
      </x:c>
    </x:row>
    <x:row r="51">
      <x:c r="A51" t="str">
        <x:v>CFB</x:v>
      </x:c>
      <x:c r="B51" t="str">
        <x:v>Eastern Illinois Panthers</x:v>
      </x:c>
      <x:c r="C51" t="str">
        <x:v>EIU</x:v>
      </x:c>
      <x:c r="D51" t="n">
        <x:f>COUNTIFS(Games!$A$4:$A$1177,$A51,Games!$D$4:$D$1177,"post",Games!$G$4:$G$1177,$C51)+COUNTIFS(Games!$A$4:$A$1177,$A51,Games!$D$4:$D$1177,"post",Games!$L$4:$L$1177,$C51)</x:f>
        <x:v>1</x:v>
      </x:c>
      <x:c r="E51" t="n">
        <x:f>COUNTIFS(Games!$A$4:$A$1177,$A51,Games!$G$4:$G$1177,$C51,Games!$J$4:$J$1177,"W")+COUNTIFS(Games!$A$4:$A$1177,$A51,Games!$L$4:$L$1177,$C51,Games!$O$4:$O$1177,"W")</x:f>
        <x:v>0</x:v>
      </x:c>
      <x:c r="F51" t="n">
        <x:f>COUNTIFS(Games!$A$4:$A$1177,$A51,Games!$G$4:$G$1177,$C51,Games!$J$4:$J$1177,"L")+COUNTIFS(Games!$A$4:$A$1177,$A51,Games!$L$4:$L$1177,$C51,Games!$O$4:$O$1177,"L")</x:f>
        <x:v>1</x:v>
      </x:c>
      <x:c r="G51" t="n">
        <x:f>COUNTIFS(Games!$A$4:$A$1177,$A51,Games!$G$4:$G$1177,$C51,Games!$J$4:$J$1177,"T")+COUNTIFS(Games!$A$4:$A$1177,$A51,Games!$L$4:$L$1177,$C51,Games!$O$4:$O$1177,"T")</x:f>
        <x:v>0</x:v>
      </x:c>
      <x:c r="H51" t="n">
        <x:f>SUMIFS(Games!$H$4:$H$1177,Games!$A$4:$A$1177,$A51,Games!$D$4:$D$1177,"post",Games!$G$4:$G$1177,$C51)+SUMIFS(Games!$M$4:$M$1177,Games!$A$4:$A$1177,$A51,Games!$D$4:$D$1177,"post",Games!$L$4:$L$1177,$C51)</x:f>
        <x:v>7</x:v>
      </x:c>
      <x:c r="I51" t="n">
        <x:f>SUMIFS(Games!$M$4:$M$1177,Games!$A$4:$A$1177,$A51,Games!$D$4:$D$1177,"post",Games!$G$4:$G$1177,$C51)+SUMIFS(Games!$H$4:$H$1177,Games!$A$4:$A$1177,$A51,Games!$D$4:$D$1177,"post",Games!$L$4:$L$1177,$C51)</x:f>
        <x:v>59</x:v>
      </x:c>
      <x:c r="J51" t="str">
        <x:f>E51&amp;"-"&amp;F51&amp;IF(G51&gt;0,"-"&amp;G51,"")</x:f>
        <x:v>0-1</x:v>
      </x:c>
      <x:c r="K51" t="n">
        <x:f>COUNTIFS(Games!$A$4:$A$1177,$A51,Games!$D$4:$D$1177,"post",Games!$G$4:$G$1177,$C51,Games!$T$4:$T$1177,"&lt;&gt;")+COUNTIFS(Games!$A$4:$A$1177,$A51,Games!$D$4:$D$1177,"post",Games!$L$4:$L$1177,$C51,Games!$T$4:$T$1177,"&lt;&gt;")</x:f>
        <x:v>0</x:v>
      </x:c>
      <x:c r="L51" s="80" t="n">
        <x:f>IF(D51=0,0,K51/D51)</x:f>
        <x:v>0</x:v>
      </x:c>
      <x:c r="M51" t="str">
        <x:f>IF(AND(D51&gt;=2,K51&gt;=2,L51&gt;=75%),"YES","NO")</x:f>
        <x:v>NO</x:v>
      </x:c>
    </x:row>
    <x:row r="52">
      <x:c r="A52" t="str">
        <x:v>CFB</x:v>
      </x:c>
      <x:c r="B52" t="str">
        <x:v>Eastern Kentucky Colonels</x:v>
      </x:c>
      <x:c r="C52" t="str">
        <x:v>EKU</x:v>
      </x:c>
      <x:c r="D52" t="n">
        <x:f>COUNTIFS(Games!$A$4:$A$1177,$A52,Games!$D$4:$D$1177,"post",Games!$G$4:$G$1177,$C52)+COUNTIFS(Games!$A$4:$A$1177,$A52,Games!$D$4:$D$1177,"post",Games!$L$4:$L$1177,$C52)</x:f>
        <x:v>1</x:v>
      </x:c>
      <x:c r="E52" t="n">
        <x:f>COUNTIFS(Games!$A$4:$A$1177,$A52,Games!$G$4:$G$1177,$C52,Games!$J$4:$J$1177,"W")+COUNTIFS(Games!$A$4:$A$1177,$A52,Games!$L$4:$L$1177,$C52,Games!$O$4:$O$1177,"W")</x:f>
        <x:v>0</x:v>
      </x:c>
      <x:c r="F52" t="n">
        <x:f>COUNTIFS(Games!$A$4:$A$1177,$A52,Games!$G$4:$G$1177,$C52,Games!$J$4:$J$1177,"L")+COUNTIFS(Games!$A$4:$A$1177,$A52,Games!$L$4:$L$1177,$C52,Games!$O$4:$O$1177,"L")</x:f>
        <x:v>1</x:v>
      </x:c>
      <x:c r="G52" t="n">
        <x:f>COUNTIFS(Games!$A$4:$A$1177,$A52,Games!$G$4:$G$1177,$C52,Games!$J$4:$J$1177,"T")+COUNTIFS(Games!$A$4:$A$1177,$A52,Games!$L$4:$L$1177,$C52,Games!$O$4:$O$1177,"T")</x:f>
        <x:v>0</x:v>
      </x:c>
      <x:c r="H52" t="n">
        <x:f>SUMIFS(Games!$H$4:$H$1177,Games!$A$4:$A$1177,$A52,Games!$D$4:$D$1177,"post",Games!$G$4:$G$1177,$C52)+SUMIFS(Games!$M$4:$M$1177,Games!$A$4:$A$1177,$A52,Games!$D$4:$D$1177,"post",Games!$L$4:$L$1177,$C52)</x:f>
        <x:v>7</x:v>
      </x:c>
      <x:c r="I52" t="n">
        <x:f>SUMIFS(Games!$M$4:$M$1177,Games!$A$4:$A$1177,$A52,Games!$D$4:$D$1177,"post",Games!$G$4:$G$1177,$C52)+SUMIFS(Games!$H$4:$H$1177,Games!$A$4:$A$1177,$A52,Games!$D$4:$D$1177,"post",Games!$L$4:$L$1177,$C52)</x:f>
        <x:v>49</x:v>
      </x:c>
      <x:c r="J52" t="str">
        <x:f>E52&amp;"-"&amp;F52&amp;IF(G52&gt;0,"-"&amp;G52,"")</x:f>
        <x:v>0-1</x:v>
      </x:c>
      <x:c r="K52" t="n">
        <x:f>COUNTIFS(Games!$A$4:$A$1177,$A52,Games!$D$4:$D$1177,"post",Games!$G$4:$G$1177,$C52,Games!$T$4:$T$1177,"&lt;&gt;")+COUNTIFS(Games!$A$4:$A$1177,$A52,Games!$D$4:$D$1177,"post",Games!$L$4:$L$1177,$C52,Games!$T$4:$T$1177,"&lt;&gt;")</x:f>
        <x:v>0</x:v>
      </x:c>
      <x:c r="L52" s="80" t="n">
        <x:f>IF(D52=0,0,K52/D52)</x:f>
        <x:v>0</x:v>
      </x:c>
      <x:c r="M52" t="str">
        <x:f>IF(AND(D52&gt;=2,K52&gt;=2,L52&gt;=75%),"YES","NO")</x:f>
        <x:v>NO</x:v>
      </x:c>
    </x:row>
    <x:row r="53">
      <x:c r="A53" t="str">
        <x:v>CFB</x:v>
      </x:c>
      <x:c r="B53" t="str">
        <x:v>Eastern Michigan Eagles</x:v>
      </x:c>
      <x:c r="C53" t="str">
        <x:v>EMU</x:v>
      </x:c>
      <x:c r="D53" t="n">
        <x:f>COUNTIFS(Games!$A$4:$A$1177,$A53,Games!$D$4:$D$1177,"post",Games!$G$4:$G$1177,$C53)+COUNTIFS(Games!$A$4:$A$1177,$A53,Games!$D$4:$D$1177,"post",Games!$L$4:$L$1177,$C53)</x:f>
        <x:v>4</x:v>
      </x:c>
      <x:c r="E53" t="n">
        <x:f>COUNTIFS(Games!$A$4:$A$1177,$A53,Games!$G$4:$G$1177,$C53,Games!$J$4:$J$1177,"W")+COUNTIFS(Games!$A$4:$A$1177,$A53,Games!$L$4:$L$1177,$C53,Games!$O$4:$O$1177,"W")</x:f>
        <x:v>1</x:v>
      </x:c>
      <x:c r="F53" t="n">
        <x:f>COUNTIFS(Games!$A$4:$A$1177,$A53,Games!$G$4:$G$1177,$C53,Games!$J$4:$J$1177,"L")+COUNTIFS(Games!$A$4:$A$1177,$A53,Games!$L$4:$L$1177,$C53,Games!$O$4:$O$1177,"L")</x:f>
        <x:v>3</x:v>
      </x:c>
      <x:c r="G53" t="n">
        <x:f>COUNTIFS(Games!$A$4:$A$1177,$A53,Games!$G$4:$G$1177,$C53,Games!$J$4:$J$1177,"T")+COUNTIFS(Games!$A$4:$A$1177,$A53,Games!$L$4:$L$1177,$C53,Games!$O$4:$O$1177,"T")</x:f>
        <x:v>0</x:v>
      </x:c>
      <x:c r="H53" t="n">
        <x:f>SUMIFS(Games!$H$4:$H$1177,Games!$A$4:$A$1177,$A53,Games!$D$4:$D$1177,"post",Games!$G$4:$G$1177,$C53)+SUMIFS(Games!$M$4:$M$1177,Games!$A$4:$A$1177,$A53,Games!$D$4:$D$1177,"post",Games!$L$4:$L$1177,$C53)</x:f>
        <x:v>66</x:v>
      </x:c>
      <x:c r="I53" t="n">
        <x:f>SUMIFS(Games!$M$4:$M$1177,Games!$A$4:$A$1177,$A53,Games!$D$4:$D$1177,"post",Games!$G$4:$G$1177,$C53)+SUMIFS(Games!$H$4:$H$1177,Games!$A$4:$A$1177,$A53,Games!$D$4:$D$1177,"post",Games!$L$4:$L$1177,$C53)</x:f>
        <x:v>133</x:v>
      </x:c>
      <x:c r="J53" t="str">
        <x:f>E53&amp;"-"&amp;F53&amp;IF(G53&gt;0,"-"&amp;G53,"")</x:f>
        <x:v>1-3</x:v>
      </x:c>
      <x:c r="K53" t="n">
        <x:f>COUNTIFS(Games!$A$4:$A$1177,$A53,Games!$D$4:$D$1177,"post",Games!$G$4:$G$1177,$C53,Games!$T$4:$T$1177,"&lt;&gt;")+COUNTIFS(Games!$A$4:$A$1177,$A53,Games!$D$4:$D$1177,"post",Games!$L$4:$L$1177,$C53,Games!$T$4:$T$1177,"&lt;&gt;")</x:f>
        <x:v>0</x:v>
      </x:c>
      <x:c r="L53" s="80" t="n">
        <x:f>IF(D53=0,0,K53/D53)</x:f>
        <x:v>0</x:v>
      </x:c>
      <x:c r="M53" t="str">
        <x:f>IF(AND(D53&gt;=2,K53&gt;=2,L53&gt;=75%),"YES","NO")</x:f>
        <x:v>NO</x:v>
      </x:c>
    </x:row>
    <x:row r="54">
      <x:c r="A54" t="str">
        <x:v>CFB</x:v>
      </x:c>
      <x:c r="B54" t="str">
        <x:v>Eastern Washington Eagles</x:v>
      </x:c>
      <x:c r="C54" t="str">
        <x:v>EWU</x:v>
      </x:c>
      <x:c r="D54" t="n">
        <x:f>COUNTIFS(Games!$A$4:$A$1177,$A54,Games!$D$4:$D$1177,"post",Games!$G$4:$G$1177,$C54)+COUNTIFS(Games!$A$4:$A$1177,$A54,Games!$D$4:$D$1177,"post",Games!$L$4:$L$1177,$C54)</x:f>
        <x:v>1</x:v>
      </x:c>
      <x:c r="E54" t="n">
        <x:f>COUNTIFS(Games!$A$4:$A$1177,$A54,Games!$G$4:$G$1177,$C54,Games!$J$4:$J$1177,"W")+COUNTIFS(Games!$A$4:$A$1177,$A54,Games!$L$4:$L$1177,$C54,Games!$O$4:$O$1177,"W")</x:f>
        <x:v>0</x:v>
      </x:c>
      <x:c r="F54" t="n">
        <x:f>COUNTIFS(Games!$A$4:$A$1177,$A54,Games!$G$4:$G$1177,$C54,Games!$J$4:$J$1177,"L")+COUNTIFS(Games!$A$4:$A$1177,$A54,Games!$L$4:$L$1177,$C54,Games!$O$4:$O$1177,"L")</x:f>
        <x:v>1</x:v>
      </x:c>
      <x:c r="G54" t="n">
        <x:f>COUNTIFS(Games!$A$4:$A$1177,$A54,Games!$G$4:$G$1177,$C54,Games!$J$4:$J$1177,"T")+COUNTIFS(Games!$A$4:$A$1177,$A54,Games!$L$4:$L$1177,$C54,Games!$O$4:$O$1177,"T")</x:f>
        <x:v>0</x:v>
      </x:c>
      <x:c r="H54" t="n">
        <x:f>SUMIFS(Games!$H$4:$H$1177,Games!$A$4:$A$1177,$A54,Games!$D$4:$D$1177,"post",Games!$G$4:$G$1177,$C54)+SUMIFS(Games!$M$4:$M$1177,Games!$A$4:$A$1177,$A54,Games!$D$4:$D$1177,"post",Games!$L$4:$L$1177,$C54)</x:f>
        <x:v>16</x:v>
      </x:c>
      <x:c r="I54" t="n">
        <x:f>SUMIFS(Games!$M$4:$M$1177,Games!$A$4:$A$1177,$A54,Games!$D$4:$D$1177,"post",Games!$G$4:$G$1177,$C54)+SUMIFS(Games!$H$4:$H$1177,Games!$A$4:$A$1177,$A54,Games!$D$4:$D$1177,"post",Games!$L$4:$L$1177,$C54)</x:f>
        <x:v>48</x:v>
      </x:c>
      <x:c r="J54" t="str">
        <x:f>E54&amp;"-"&amp;F54&amp;IF(G54&gt;0,"-"&amp;G54,"")</x:f>
        <x:v>0-1</x:v>
      </x:c>
      <x:c r="K54" t="n">
        <x:f>COUNTIFS(Games!$A$4:$A$1177,$A54,Games!$D$4:$D$1177,"post",Games!$G$4:$G$1177,$C54,Games!$T$4:$T$1177,"&lt;&gt;")+COUNTIFS(Games!$A$4:$A$1177,$A54,Games!$D$4:$D$1177,"post",Games!$L$4:$L$1177,$C54,Games!$T$4:$T$1177,"&lt;&gt;")</x:f>
        <x:v>0</x:v>
      </x:c>
      <x:c r="L54" s="80" t="n">
        <x:f>IF(D54=0,0,K54/D54)</x:f>
        <x:v>0</x:v>
      </x:c>
      <x:c r="M54" t="str">
        <x:f>IF(AND(D54&gt;=2,K54&gt;=2,L54&gt;=75%),"YES","NO")</x:f>
        <x:v>NO</x:v>
      </x:c>
    </x:row>
    <x:row r="55">
      <x:c r="A55" t="str">
        <x:v>CFB</x:v>
      </x:c>
      <x:c r="B55" t="str">
        <x:v>Elon Phoenix</x:v>
      </x:c>
      <x:c r="C55" t="str">
        <x:v>ELON</x:v>
      </x:c>
      <x:c r="D55" t="n">
        <x:f>COUNTIFS(Games!$A$4:$A$1177,$A55,Games!$D$4:$D$1177,"post",Games!$G$4:$G$1177,$C55)+COUNTIFS(Games!$A$4:$A$1177,$A55,Games!$D$4:$D$1177,"post",Games!$L$4:$L$1177,$C55)</x:f>
        <x:v>0</x:v>
      </x:c>
      <x:c r="E55" t="n">
        <x:f>COUNTIFS(Games!$A$4:$A$1177,$A55,Games!$G$4:$G$1177,$C55,Games!$J$4:$J$1177,"W")+COUNTIFS(Games!$A$4:$A$1177,$A55,Games!$L$4:$L$1177,$C55,Games!$O$4:$O$1177,"W")</x:f>
        <x:v>0</x:v>
      </x:c>
      <x:c r="F55" t="n">
        <x:f>COUNTIFS(Games!$A$4:$A$1177,$A55,Games!$G$4:$G$1177,$C55,Games!$J$4:$J$1177,"L")+COUNTIFS(Games!$A$4:$A$1177,$A55,Games!$L$4:$L$1177,$C55,Games!$O$4:$O$1177,"L")</x:f>
        <x:v>0</x:v>
      </x:c>
      <x:c r="G55" t="n">
        <x:f>COUNTIFS(Games!$A$4:$A$1177,$A55,Games!$G$4:$G$1177,$C55,Games!$J$4:$J$1177,"T")+COUNTIFS(Games!$A$4:$A$1177,$A55,Games!$L$4:$L$1177,$C55,Games!$O$4:$O$1177,"T")</x:f>
        <x:v>0</x:v>
      </x:c>
      <x:c r="H55" t="n">
        <x:f>SUMIFS(Games!$H$4:$H$1177,Games!$A$4:$A$1177,$A55,Games!$D$4:$D$1177,"post",Games!$G$4:$G$1177,$C55)+SUMIFS(Games!$M$4:$M$1177,Games!$A$4:$A$1177,$A55,Games!$D$4:$D$1177,"post",Games!$L$4:$L$1177,$C55)</x:f>
        <x:v>0</x:v>
      </x:c>
      <x:c r="I55" t="n">
        <x:f>SUMIFS(Games!$M$4:$M$1177,Games!$A$4:$A$1177,$A55,Games!$D$4:$D$1177,"post",Games!$G$4:$G$1177,$C55)+SUMIFS(Games!$H$4:$H$1177,Games!$A$4:$A$1177,$A55,Games!$D$4:$D$1177,"post",Games!$L$4:$L$1177,$C55)</x:f>
        <x:v>0</x:v>
      </x:c>
      <x:c r="J55" t="str">
        <x:f>E55&amp;"-"&amp;F55&amp;IF(G55&gt;0,"-"&amp;G55,"")</x:f>
        <x:v>0-0</x:v>
      </x:c>
      <x:c r="K55" t="n">
        <x:f>COUNTIFS(Games!$A$4:$A$1177,$A55,Games!$D$4:$D$1177,"post",Games!$G$4:$G$1177,$C55,Games!$T$4:$T$1177,"&lt;&gt;")+COUNTIFS(Games!$A$4:$A$1177,$A55,Games!$D$4:$D$1177,"post",Games!$L$4:$L$1177,$C55,Games!$T$4:$T$1177,"&lt;&gt;")</x:f>
        <x:v>0</x:v>
      </x:c>
      <x:c r="L55" s="80" t="n">
        <x:f>IF(D55=0,0,K55/D55)</x:f>
        <x:v>0</x:v>
      </x:c>
      <x:c r="M55" t="str">
        <x:f>IF(AND(D55&gt;=2,K55&gt;=2,L55&gt;=75%),"YES","NO")</x:f>
        <x:v>NO</x:v>
      </x:c>
    </x:row>
    <x:row r="56">
      <x:c r="A56" t="str">
        <x:v>CFB</x:v>
      </x:c>
      <x:c r="B56" t="str">
        <x:v>Florida A&amp;M Rattlers</x:v>
      </x:c>
      <x:c r="C56" t="str">
        <x:v>FAMU</x:v>
      </x:c>
      <x:c r="D56" t="n">
        <x:f>COUNTIFS(Games!$A$4:$A$1177,$A56,Games!$D$4:$D$1177,"post",Games!$G$4:$G$1177,$C56)+COUNTIFS(Games!$A$4:$A$1177,$A56,Games!$D$4:$D$1177,"post",Games!$L$4:$L$1177,$C56)</x:f>
        <x:v>1</x:v>
      </x:c>
      <x:c r="E56" t="n">
        <x:f>COUNTIFS(Games!$A$4:$A$1177,$A56,Games!$G$4:$G$1177,$C56,Games!$J$4:$J$1177,"W")+COUNTIFS(Games!$A$4:$A$1177,$A56,Games!$L$4:$L$1177,$C56,Games!$O$4:$O$1177,"W")</x:f>
        <x:v>0</x:v>
      </x:c>
      <x:c r="F56" t="n">
        <x:f>COUNTIFS(Games!$A$4:$A$1177,$A56,Games!$G$4:$G$1177,$C56,Games!$J$4:$J$1177,"L")+COUNTIFS(Games!$A$4:$A$1177,$A56,Games!$L$4:$L$1177,$C56,Games!$O$4:$O$1177,"L")</x:f>
        <x:v>1</x:v>
      </x:c>
      <x:c r="G56" t="n">
        <x:f>COUNTIFS(Games!$A$4:$A$1177,$A56,Games!$G$4:$G$1177,$C56,Games!$J$4:$J$1177,"T")+COUNTIFS(Games!$A$4:$A$1177,$A56,Games!$L$4:$L$1177,$C56,Games!$O$4:$O$1177,"T")</x:f>
        <x:v>0</x:v>
      </x:c>
      <x:c r="H56" t="n">
        <x:f>SUMIFS(Games!$H$4:$H$1177,Games!$A$4:$A$1177,$A56,Games!$D$4:$D$1177,"post",Games!$G$4:$G$1177,$C56)+SUMIFS(Games!$M$4:$M$1177,Games!$A$4:$A$1177,$A56,Games!$D$4:$D$1177,"post",Games!$L$4:$L$1177,$C56)</x:f>
        <x:v>7</x:v>
      </x:c>
      <x:c r="I56" t="n">
        <x:f>SUMIFS(Games!$M$4:$M$1177,Games!$A$4:$A$1177,$A56,Games!$D$4:$D$1177,"post",Games!$G$4:$G$1177,$C56)+SUMIFS(Games!$H$4:$H$1177,Games!$A$4:$A$1177,$A56,Games!$D$4:$D$1177,"post",Games!$L$4:$L$1177,$C56)</x:f>
        <x:v>77</x:v>
      </x:c>
      <x:c r="J56" t="str">
        <x:f>E56&amp;"-"&amp;F56&amp;IF(G56&gt;0,"-"&amp;G56,"")</x:f>
        <x:v>0-1</x:v>
      </x:c>
      <x:c r="K56" t="n">
        <x:f>COUNTIFS(Games!$A$4:$A$1177,$A56,Games!$D$4:$D$1177,"post",Games!$G$4:$G$1177,$C56,Games!$T$4:$T$1177,"&lt;&gt;")+COUNTIFS(Games!$A$4:$A$1177,$A56,Games!$D$4:$D$1177,"post",Games!$L$4:$L$1177,$C56,Games!$T$4:$T$1177,"&lt;&gt;")</x:f>
        <x:v>0</x:v>
      </x:c>
      <x:c r="L56" s="80" t="n">
        <x:f>IF(D56=0,0,K56/D56)</x:f>
        <x:v>0</x:v>
      </x:c>
      <x:c r="M56" t="str">
        <x:f>IF(AND(D56&gt;=2,K56&gt;=2,L56&gt;=75%),"YES","NO")</x:f>
        <x:v>NO</x:v>
      </x:c>
    </x:row>
    <x:row r="57">
      <x:c r="A57" t="str">
        <x:v>CFB</x:v>
      </x:c>
      <x:c r="B57" t="str">
        <x:v>Florida Atlantic Owls</x:v>
      </x:c>
      <x:c r="C57" t="str">
        <x:v>FAU</x:v>
      </x:c>
      <x:c r="D57" t="n">
        <x:f>COUNTIFS(Games!$A$4:$A$1177,$A57,Games!$D$4:$D$1177,"post",Games!$G$4:$G$1177,$C57)+COUNTIFS(Games!$A$4:$A$1177,$A57,Games!$D$4:$D$1177,"post",Games!$L$4:$L$1177,$C57)</x:f>
        <x:v>3</x:v>
      </x:c>
      <x:c r="E57" t="n">
        <x:f>COUNTIFS(Games!$A$4:$A$1177,$A57,Games!$G$4:$G$1177,$C57,Games!$J$4:$J$1177,"W")+COUNTIFS(Games!$A$4:$A$1177,$A57,Games!$L$4:$L$1177,$C57,Games!$O$4:$O$1177,"W")</x:f>
        <x:v>2</x:v>
      </x:c>
      <x:c r="F57" t="n">
        <x:f>COUNTIFS(Games!$A$4:$A$1177,$A57,Games!$G$4:$G$1177,$C57,Games!$J$4:$J$1177,"L")+COUNTIFS(Games!$A$4:$A$1177,$A57,Games!$L$4:$L$1177,$C57,Games!$O$4:$O$1177,"L")</x:f>
        <x:v>1</x:v>
      </x:c>
      <x:c r="G57" t="n">
        <x:f>COUNTIFS(Games!$A$4:$A$1177,$A57,Games!$G$4:$G$1177,$C57,Games!$J$4:$J$1177,"T")+COUNTIFS(Games!$A$4:$A$1177,$A57,Games!$L$4:$L$1177,$C57,Games!$O$4:$O$1177,"T")</x:f>
        <x:v>0</x:v>
      </x:c>
      <x:c r="H57" t="n">
        <x:f>SUMIFS(Games!$H$4:$H$1177,Games!$A$4:$A$1177,$A57,Games!$D$4:$D$1177,"post",Games!$G$4:$G$1177,$C57)+SUMIFS(Games!$M$4:$M$1177,Games!$A$4:$A$1177,$A57,Games!$D$4:$D$1177,"post",Games!$L$4:$L$1177,$C57)</x:f>
        <x:v>75</x:v>
      </x:c>
      <x:c r="I57" t="n">
        <x:f>SUMIFS(Games!$M$4:$M$1177,Games!$A$4:$A$1177,$A57,Games!$D$4:$D$1177,"post",Games!$G$4:$G$1177,$C57)+SUMIFS(Games!$H$4:$H$1177,Games!$A$4:$A$1177,$A57,Games!$D$4:$D$1177,"post",Games!$L$4:$L$1177,$C57)</x:f>
        <x:v>106</x:v>
      </x:c>
      <x:c r="J57" t="str">
        <x:f>E57&amp;"-"&amp;F57&amp;IF(G57&gt;0,"-"&amp;G57,"")</x:f>
        <x:v>2-1</x:v>
      </x:c>
      <x:c r="K57" t="n">
        <x:f>COUNTIFS(Games!$A$4:$A$1177,$A57,Games!$D$4:$D$1177,"post",Games!$G$4:$G$1177,$C57,Games!$T$4:$T$1177,"&lt;&gt;")+COUNTIFS(Games!$A$4:$A$1177,$A57,Games!$D$4:$D$1177,"post",Games!$L$4:$L$1177,$C57,Games!$T$4:$T$1177,"&lt;&gt;")</x:f>
        <x:v>0</x:v>
      </x:c>
      <x:c r="L57" s="80" t="n">
        <x:f>IF(D57=0,0,K57/D57)</x:f>
        <x:v>0</x:v>
      </x:c>
      <x:c r="M57" t="str">
        <x:f>IF(AND(D57&gt;=2,K57&gt;=2,L57&gt;=75%),"YES","NO")</x:f>
        <x:v>NO</x:v>
      </x:c>
    </x:row>
    <x:row r="58">
      <x:c r="A58" t="str">
        <x:v>CFB</x:v>
      </x:c>
      <x:c r="B58" t="str">
        <x:v>Florida Gators</x:v>
      </x:c>
      <x:c r="C58" t="str">
        <x:v>FLA</x:v>
      </x:c>
      <x:c r="D58" t="n">
        <x:f>COUNTIFS(Games!$A$4:$A$1177,$A58,Games!$D$4:$D$1177,"post",Games!$G$4:$G$1177,$C58)+COUNTIFS(Games!$A$4:$A$1177,$A58,Games!$D$4:$D$1177,"post",Games!$L$4:$L$1177,$C58)</x:f>
        <x:v>3</x:v>
      </x:c>
      <x:c r="E58" t="n">
        <x:f>COUNTIFS(Games!$A$4:$A$1177,$A58,Games!$G$4:$G$1177,$C58,Games!$J$4:$J$1177,"W")+COUNTIFS(Games!$A$4:$A$1177,$A58,Games!$L$4:$L$1177,$C58,Games!$O$4:$O$1177,"W")</x:f>
        <x:v>3</x:v>
      </x:c>
      <x:c r="F58" t="n">
        <x:f>COUNTIFS(Games!$A$4:$A$1177,$A58,Games!$G$4:$G$1177,$C58,Games!$J$4:$J$1177,"L")+COUNTIFS(Games!$A$4:$A$1177,$A58,Games!$L$4:$L$1177,$C58,Games!$O$4:$O$1177,"L")</x:f>
        <x:v>0</x:v>
      </x:c>
      <x:c r="G58" t="n">
        <x:f>COUNTIFS(Games!$A$4:$A$1177,$A58,Games!$G$4:$G$1177,$C58,Games!$J$4:$J$1177,"T")+COUNTIFS(Games!$A$4:$A$1177,$A58,Games!$L$4:$L$1177,$C58,Games!$O$4:$O$1177,"T")</x:f>
        <x:v>0</x:v>
      </x:c>
      <x:c r="H58" t="n">
        <x:f>SUMIFS(Games!$H$4:$H$1177,Games!$A$4:$A$1177,$A58,Games!$D$4:$D$1177,"post",Games!$G$4:$G$1177,$C58)+SUMIFS(Games!$M$4:$M$1177,Games!$A$4:$A$1177,$A58,Games!$D$4:$D$1177,"post",Games!$L$4:$L$1177,$C58)</x:f>
        <x:v>162</x:v>
      </x:c>
      <x:c r="I58" t="n">
        <x:f>SUMIFS(Games!$M$4:$M$1177,Games!$A$4:$A$1177,$A58,Games!$D$4:$D$1177,"post",Games!$G$4:$G$1177,$C58)+SUMIFS(Games!$H$4:$H$1177,Games!$A$4:$A$1177,$A58,Games!$D$4:$D$1177,"post",Games!$L$4:$L$1177,$C58)</x:f>
        <x:v>63</x:v>
      </x:c>
      <x:c r="J58" t="str">
        <x:f>E58&amp;"-"&amp;F58&amp;IF(G58&gt;0,"-"&amp;G58,"")</x:f>
        <x:v>3-0</x:v>
      </x:c>
      <x:c r="K58" t="n">
        <x:f>COUNTIFS(Games!$A$4:$A$1177,$A58,Games!$D$4:$D$1177,"post",Games!$G$4:$G$1177,$C58,Games!$T$4:$T$1177,"&lt;&gt;")+COUNTIFS(Games!$A$4:$A$1177,$A58,Games!$D$4:$D$1177,"post",Games!$L$4:$L$1177,$C58,Games!$T$4:$T$1177,"&lt;&gt;")</x:f>
        <x:v>0</x:v>
      </x:c>
      <x:c r="L58" s="80" t="n">
        <x:f>IF(D58=0,0,K58/D58)</x:f>
        <x:v>0</x:v>
      </x:c>
      <x:c r="M58" t="str">
        <x:f>IF(AND(D58&gt;=2,K58&gt;=2,L58&gt;=75%),"YES","NO")</x:f>
        <x:v>NO</x:v>
      </x:c>
    </x:row>
    <x:row r="59">
      <x:c r="A59" t="str">
        <x:v>CFB</x:v>
      </x:c>
      <x:c r="B59" t="str">
        <x:v>Florida International Panthers</x:v>
      </x:c>
      <x:c r="C59" t="str">
        <x:v>FIU</x:v>
      </x:c>
      <x:c r="D59" t="n">
        <x:f>COUNTIFS(Games!$A$4:$A$1177,$A59,Games!$D$4:$D$1177,"post",Games!$G$4:$G$1177,$C59)+COUNTIFS(Games!$A$4:$A$1177,$A59,Games!$D$4:$D$1177,"post",Games!$L$4:$L$1177,$C59)</x:f>
        <x:v>3</x:v>
      </x:c>
      <x:c r="E59" t="n">
        <x:f>COUNTIFS(Games!$A$4:$A$1177,$A59,Games!$G$4:$G$1177,$C59,Games!$J$4:$J$1177,"W")+COUNTIFS(Games!$A$4:$A$1177,$A59,Games!$L$4:$L$1177,$C59,Games!$O$4:$O$1177,"W")</x:f>
        <x:v>1</x:v>
      </x:c>
      <x:c r="F59" t="n">
        <x:f>COUNTIFS(Games!$A$4:$A$1177,$A59,Games!$G$4:$G$1177,$C59,Games!$J$4:$J$1177,"L")+COUNTIFS(Games!$A$4:$A$1177,$A59,Games!$L$4:$L$1177,$C59,Games!$O$4:$O$1177,"L")</x:f>
        <x:v>2</x:v>
      </x:c>
      <x:c r="G59" t="n">
        <x:f>COUNTIFS(Games!$A$4:$A$1177,$A59,Games!$G$4:$G$1177,$C59,Games!$J$4:$J$1177,"T")+COUNTIFS(Games!$A$4:$A$1177,$A59,Games!$L$4:$L$1177,$C59,Games!$O$4:$O$1177,"T")</x:f>
        <x:v>0</x:v>
      </x:c>
      <x:c r="H59" t="n">
        <x:f>SUMIFS(Games!$H$4:$H$1177,Games!$A$4:$A$1177,$A59,Games!$D$4:$D$1177,"post",Games!$G$4:$G$1177,$C59)+SUMIFS(Games!$M$4:$M$1177,Games!$A$4:$A$1177,$A59,Games!$D$4:$D$1177,"post",Games!$L$4:$L$1177,$C59)</x:f>
        <x:v>52</x:v>
      </x:c>
      <x:c r="I59" t="n">
        <x:f>SUMIFS(Games!$M$4:$M$1177,Games!$A$4:$A$1177,$A59,Games!$D$4:$D$1177,"post",Games!$G$4:$G$1177,$C59)+SUMIFS(Games!$H$4:$H$1177,Games!$A$4:$A$1177,$A59,Games!$D$4:$D$1177,"post",Games!$L$4:$L$1177,$C59)</x:f>
        <x:v>55</x:v>
      </x:c>
      <x:c r="J59" t="str">
        <x:f>E59&amp;"-"&amp;F59&amp;IF(G59&gt;0,"-"&amp;G59,"")</x:f>
        <x:v>1-2</x:v>
      </x:c>
      <x:c r="K59" t="n">
        <x:f>COUNTIFS(Games!$A$4:$A$1177,$A59,Games!$D$4:$D$1177,"post",Games!$G$4:$G$1177,$C59,Games!$T$4:$T$1177,"&lt;&gt;")+COUNTIFS(Games!$A$4:$A$1177,$A59,Games!$D$4:$D$1177,"post",Games!$L$4:$L$1177,$C59,Games!$T$4:$T$1177,"&lt;&gt;")</x:f>
        <x:v>0</x:v>
      </x:c>
      <x:c r="L59" s="80" t="n">
        <x:f>IF(D59=0,0,K59/D59)</x:f>
        <x:v>0</x:v>
      </x:c>
      <x:c r="M59" t="str">
        <x:f>IF(AND(D59&gt;=2,K59&gt;=2,L59&gt;=75%),"YES","NO")</x:f>
        <x:v>NO</x:v>
      </x:c>
    </x:row>
    <x:row r="60">
      <x:c r="A60" t="str">
        <x:v>CFB</x:v>
      </x:c>
      <x:c r="B60" t="str">
        <x:v>Florida State Seminoles</x:v>
      </x:c>
      <x:c r="C60" t="str">
        <x:v>FSU</x:v>
      </x:c>
      <x:c r="D60" t="n">
        <x:f>COUNTIFS(Games!$A$4:$A$1177,$A60,Games!$D$4:$D$1177,"post",Games!$G$4:$G$1177,$C60)+COUNTIFS(Games!$A$4:$A$1177,$A60,Games!$D$4:$D$1177,"post",Games!$L$4:$L$1177,$C60)</x:f>
        <x:v>3</x:v>
      </x:c>
      <x:c r="E60" t="n">
        <x:f>COUNTIFS(Games!$A$4:$A$1177,$A60,Games!$G$4:$G$1177,$C60,Games!$J$4:$J$1177,"W")+COUNTIFS(Games!$A$4:$A$1177,$A60,Games!$L$4:$L$1177,$C60,Games!$O$4:$O$1177,"W")</x:f>
        <x:v>1</x:v>
      </x:c>
      <x:c r="F60" t="n">
        <x:f>COUNTIFS(Games!$A$4:$A$1177,$A60,Games!$G$4:$G$1177,$C60,Games!$J$4:$J$1177,"L")+COUNTIFS(Games!$A$4:$A$1177,$A60,Games!$L$4:$L$1177,$C60,Games!$O$4:$O$1177,"L")</x:f>
        <x:v>2</x:v>
      </x:c>
      <x:c r="G60" t="n">
        <x:f>COUNTIFS(Games!$A$4:$A$1177,$A60,Games!$G$4:$G$1177,$C60,Games!$J$4:$J$1177,"T")+COUNTIFS(Games!$A$4:$A$1177,$A60,Games!$L$4:$L$1177,$C60,Games!$O$4:$O$1177,"T")</x:f>
        <x:v>0</x:v>
      </x:c>
      <x:c r="H60" t="n">
        <x:f>SUMIFS(Games!$H$4:$H$1177,Games!$A$4:$A$1177,$A60,Games!$D$4:$D$1177,"post",Games!$G$4:$G$1177,$C60)+SUMIFS(Games!$M$4:$M$1177,Games!$A$4:$A$1177,$A60,Games!$D$4:$D$1177,"post",Games!$L$4:$L$1177,$C60)</x:f>
        <x:v>94</x:v>
      </x:c>
      <x:c r="I60" t="n">
        <x:f>SUMIFS(Games!$M$4:$M$1177,Games!$A$4:$A$1177,$A60,Games!$D$4:$D$1177,"post",Games!$G$4:$G$1177,$C60)+SUMIFS(Games!$H$4:$H$1177,Games!$A$4:$A$1177,$A60,Games!$D$4:$D$1177,"post",Games!$L$4:$L$1177,$C60)</x:f>
        <x:v>94</x:v>
      </x:c>
      <x:c r="J60" t="str">
        <x:f>E60&amp;"-"&amp;F60&amp;IF(G60&gt;0,"-"&amp;G60,"")</x:f>
        <x:v>1-2</x:v>
      </x:c>
      <x:c r="K60" t="n">
        <x:f>COUNTIFS(Games!$A$4:$A$1177,$A60,Games!$D$4:$D$1177,"post",Games!$G$4:$G$1177,$C60,Games!$T$4:$T$1177,"&lt;&gt;")+COUNTIFS(Games!$A$4:$A$1177,$A60,Games!$D$4:$D$1177,"post",Games!$L$4:$L$1177,$C60,Games!$T$4:$T$1177,"&lt;&gt;")</x:f>
        <x:v>0</x:v>
      </x:c>
      <x:c r="L60" s="80" t="n">
        <x:f>IF(D60=0,0,K60/D60)</x:f>
        <x:v>0</x:v>
      </x:c>
      <x:c r="M60" t="str">
        <x:f>IF(AND(D60&gt;=2,K60&gt;=2,L60&gt;=75%),"YES","NO")</x:f>
        <x:v>NO</x:v>
      </x:c>
    </x:row>
    <x:row r="61">
      <x:c r="A61" t="str">
        <x:v>CFB</x:v>
      </x:c>
      <x:c r="B61" t="str">
        <x:v>Fordham Rams</x:v>
      </x:c>
      <x:c r="C61" t="str">
        <x:v>FOR</x:v>
      </x:c>
      <x:c r="D61" t="n">
        <x:f>COUNTIFS(Games!$A$4:$A$1177,$A61,Games!$D$4:$D$1177,"post",Games!$G$4:$G$1177,$C61)+COUNTIFS(Games!$A$4:$A$1177,$A61,Games!$D$4:$D$1177,"post",Games!$L$4:$L$1177,$C61)</x:f>
        <x:v>2</x:v>
      </x:c>
      <x:c r="E61" t="n">
        <x:f>COUNTIFS(Games!$A$4:$A$1177,$A61,Games!$G$4:$G$1177,$C61,Games!$J$4:$J$1177,"W")+COUNTIFS(Games!$A$4:$A$1177,$A61,Games!$L$4:$L$1177,$C61,Games!$O$4:$O$1177,"W")</x:f>
        <x:v>0</x:v>
      </x:c>
      <x:c r="F61" t="n">
        <x:f>COUNTIFS(Games!$A$4:$A$1177,$A61,Games!$G$4:$G$1177,$C61,Games!$J$4:$J$1177,"L")+COUNTIFS(Games!$A$4:$A$1177,$A61,Games!$L$4:$L$1177,$C61,Games!$O$4:$O$1177,"L")</x:f>
        <x:v>2</x:v>
      </x:c>
      <x:c r="G61" t="n">
        <x:f>COUNTIFS(Games!$A$4:$A$1177,$A61,Games!$G$4:$G$1177,$C61,Games!$J$4:$J$1177,"T")+COUNTIFS(Games!$A$4:$A$1177,$A61,Games!$L$4:$L$1177,$C61,Games!$O$4:$O$1177,"T")</x:f>
        <x:v>0</x:v>
      </x:c>
      <x:c r="H61" t="n">
        <x:f>SUMIFS(Games!$H$4:$H$1177,Games!$A$4:$A$1177,$A61,Games!$D$4:$D$1177,"post",Games!$G$4:$G$1177,$C61)+SUMIFS(Games!$M$4:$M$1177,Games!$A$4:$A$1177,$A61,Games!$D$4:$D$1177,"post",Games!$L$4:$L$1177,$C61)</x:f>
        <x:v>7</x:v>
      </x:c>
      <x:c r="I61" t="n">
        <x:f>SUMIFS(Games!$M$4:$M$1177,Games!$A$4:$A$1177,$A61,Games!$D$4:$D$1177,"post",Games!$G$4:$G$1177,$C61)+SUMIFS(Games!$H$4:$H$1177,Games!$A$4:$A$1177,$A61,Games!$D$4:$D$1177,"post",Games!$L$4:$L$1177,$C61)</x:f>
        <x:v>83</x:v>
      </x:c>
      <x:c r="J61" t="str">
        <x:f>E61&amp;"-"&amp;F61&amp;IF(G61&gt;0,"-"&amp;G61,"")</x:f>
        <x:v>0-2</x:v>
      </x:c>
      <x:c r="K61" t="n">
        <x:f>COUNTIFS(Games!$A$4:$A$1177,$A61,Games!$D$4:$D$1177,"post",Games!$G$4:$G$1177,$C61,Games!$T$4:$T$1177,"&lt;&gt;")+COUNTIFS(Games!$A$4:$A$1177,$A61,Games!$D$4:$D$1177,"post",Games!$L$4:$L$1177,$C61,Games!$T$4:$T$1177,"&lt;&gt;")</x:f>
        <x:v>0</x:v>
      </x:c>
      <x:c r="L61" s="80" t="n">
        <x:f>IF(D61=0,0,K61/D61)</x:f>
        <x:v>0</x:v>
      </x:c>
      <x:c r="M61" t="str">
        <x:f>IF(AND(D61&gt;=2,K61&gt;=2,L61&gt;=75%),"YES","NO")</x:f>
        <x:v>NO</x:v>
      </x:c>
    </x:row>
    <x:row r="62">
      <x:c r="A62" t="str">
        <x:v>CFB</x:v>
      </x:c>
      <x:c r="B62" t="str">
        <x:v>Fresno State Bulldogs</x:v>
      </x:c>
      <x:c r="C62" t="str">
        <x:v>FRES</x:v>
      </x:c>
      <x:c r="D62" t="n">
        <x:f>COUNTIFS(Games!$A$4:$A$1177,$A62,Games!$D$4:$D$1177,"post",Games!$G$4:$G$1177,$C62)+COUNTIFS(Games!$A$4:$A$1177,$A62,Games!$D$4:$D$1177,"post",Games!$L$4:$L$1177,$C62)</x:f>
        <x:v>3</x:v>
      </x:c>
      <x:c r="E62" t="n">
        <x:f>COUNTIFS(Games!$A$4:$A$1177,$A62,Games!$G$4:$G$1177,$C62,Games!$J$4:$J$1177,"W")+COUNTIFS(Games!$A$4:$A$1177,$A62,Games!$L$4:$L$1177,$C62,Games!$O$4:$O$1177,"W")</x:f>
        <x:v>2</x:v>
      </x:c>
      <x:c r="F62" t="n">
        <x:f>COUNTIFS(Games!$A$4:$A$1177,$A62,Games!$G$4:$G$1177,$C62,Games!$J$4:$J$1177,"L")+COUNTIFS(Games!$A$4:$A$1177,$A62,Games!$L$4:$L$1177,$C62,Games!$O$4:$O$1177,"L")</x:f>
        <x:v>1</x:v>
      </x:c>
      <x:c r="G62" t="n">
        <x:f>COUNTIFS(Games!$A$4:$A$1177,$A62,Games!$G$4:$G$1177,$C62,Games!$J$4:$J$1177,"T")+COUNTIFS(Games!$A$4:$A$1177,$A62,Games!$L$4:$L$1177,$C62,Games!$O$4:$O$1177,"T")</x:f>
        <x:v>0</x:v>
      </x:c>
      <x:c r="H62" t="n">
        <x:f>SUMIFS(Games!$H$4:$H$1177,Games!$A$4:$A$1177,$A62,Games!$D$4:$D$1177,"post",Games!$G$4:$G$1177,$C62)+SUMIFS(Games!$M$4:$M$1177,Games!$A$4:$A$1177,$A62,Games!$D$4:$D$1177,"post",Games!$L$4:$L$1177,$C62)</x:f>
        <x:v>75</x:v>
      </x:c>
      <x:c r="I62" t="n">
        <x:f>SUMIFS(Games!$M$4:$M$1177,Games!$A$4:$A$1177,$A62,Games!$D$4:$D$1177,"post",Games!$G$4:$G$1177,$C62)+SUMIFS(Games!$H$4:$H$1177,Games!$A$4:$A$1177,$A62,Games!$D$4:$D$1177,"post",Games!$L$4:$L$1177,$C62)</x:f>
        <x:v>52</x:v>
      </x:c>
      <x:c r="J62" t="str">
        <x:f>E62&amp;"-"&amp;F62&amp;IF(G62&gt;0,"-"&amp;G62,"")</x:f>
        <x:v>2-1</x:v>
      </x:c>
      <x:c r="K62" t="n">
        <x:f>COUNTIFS(Games!$A$4:$A$1177,$A62,Games!$D$4:$D$1177,"post",Games!$G$4:$G$1177,$C62,Games!$T$4:$T$1177,"&lt;&gt;")+COUNTIFS(Games!$A$4:$A$1177,$A62,Games!$D$4:$D$1177,"post",Games!$L$4:$L$1177,$C62,Games!$T$4:$T$1177,"&lt;&gt;")</x:f>
        <x:v>0</x:v>
      </x:c>
      <x:c r="L62" s="80" t="n">
        <x:f>IF(D62=0,0,K62/D62)</x:f>
        <x:v>0</x:v>
      </x:c>
      <x:c r="M62" t="str">
        <x:f>IF(AND(D62&gt;=2,K62&gt;=2,L62&gt;=75%),"YES","NO")</x:f>
        <x:v>NO</x:v>
      </x:c>
    </x:row>
    <x:row r="63">
      <x:c r="A63" t="str">
        <x:v>CFB</x:v>
      </x:c>
      <x:c r="B63" t="str">
        <x:v>Furman Paladins</x:v>
      </x:c>
      <x:c r="C63" t="str">
        <x:v>FUR</x:v>
      </x:c>
      <x:c r="D63" t="n">
        <x:f>COUNTIFS(Games!$A$4:$A$1177,$A63,Games!$D$4:$D$1177,"post",Games!$G$4:$G$1177,$C63)+COUNTIFS(Games!$A$4:$A$1177,$A63,Games!$D$4:$D$1177,"post",Games!$L$4:$L$1177,$C63)</x:f>
        <x:v>1</x:v>
      </x:c>
      <x:c r="E63" t="n">
        <x:f>COUNTIFS(Games!$A$4:$A$1177,$A63,Games!$G$4:$G$1177,$C63,Games!$J$4:$J$1177,"W")+COUNTIFS(Games!$A$4:$A$1177,$A63,Games!$L$4:$L$1177,$C63,Games!$O$4:$O$1177,"W")</x:f>
        <x:v>0</x:v>
      </x:c>
      <x:c r="F63" t="n">
        <x:f>COUNTIFS(Games!$A$4:$A$1177,$A63,Games!$G$4:$G$1177,$C63,Games!$J$4:$J$1177,"L")+COUNTIFS(Games!$A$4:$A$1177,$A63,Games!$L$4:$L$1177,$C63,Games!$O$4:$O$1177,"L")</x:f>
        <x:v>1</x:v>
      </x:c>
      <x:c r="G63" t="n">
        <x:f>COUNTIFS(Games!$A$4:$A$1177,$A63,Games!$G$4:$G$1177,$C63,Games!$J$4:$J$1177,"T")+COUNTIFS(Games!$A$4:$A$1177,$A63,Games!$L$4:$L$1177,$C63,Games!$O$4:$O$1177,"T")</x:f>
        <x:v>0</x:v>
      </x:c>
      <x:c r="H63" t="n">
        <x:f>SUMIFS(Games!$H$4:$H$1177,Games!$A$4:$A$1177,$A63,Games!$D$4:$D$1177,"post",Games!$G$4:$G$1177,$C63)+SUMIFS(Games!$M$4:$M$1177,Games!$A$4:$A$1177,$A63,Games!$D$4:$D$1177,"post",Games!$L$4:$L$1177,$C63)</x:f>
        <x:v>9</x:v>
      </x:c>
      <x:c r="I63" t="n">
        <x:f>SUMIFS(Games!$M$4:$M$1177,Games!$A$4:$A$1177,$A63,Games!$D$4:$D$1177,"post",Games!$G$4:$G$1177,$C63)+SUMIFS(Games!$H$4:$H$1177,Games!$A$4:$A$1177,$A63,Games!$D$4:$D$1177,"post",Games!$L$4:$L$1177,$C63)</x:f>
        <x:v>56</x:v>
      </x:c>
      <x:c r="J63" t="str">
        <x:f>E63&amp;"-"&amp;F63&amp;IF(G63&gt;0,"-"&amp;G63,"")</x:f>
        <x:v>0-1</x:v>
      </x:c>
      <x:c r="K63" t="n">
        <x:f>COUNTIFS(Games!$A$4:$A$1177,$A63,Games!$D$4:$D$1177,"post",Games!$G$4:$G$1177,$C63,Games!$T$4:$T$1177,"&lt;&gt;")+COUNTIFS(Games!$A$4:$A$1177,$A63,Games!$D$4:$D$1177,"post",Games!$L$4:$L$1177,$C63,Games!$T$4:$T$1177,"&lt;&gt;")</x:f>
        <x:v>0</x:v>
      </x:c>
      <x:c r="L63" s="80" t="n">
        <x:f>IF(D63=0,0,K63/D63)</x:f>
        <x:v>0</x:v>
      </x:c>
      <x:c r="M63" t="str">
        <x:f>IF(AND(D63&gt;=2,K63&gt;=2,L63&gt;=75%),"YES","NO")</x:f>
        <x:v>NO</x:v>
      </x:c>
    </x:row>
    <x:row r="64">
      <x:c r="A64" t="str">
        <x:v>CFB</x:v>
      </x:c>
      <x:c r="B64" t="str">
        <x:v>Gardner-Webb Runnin' Bulldogs</x:v>
      </x:c>
      <x:c r="C64" t="str">
        <x:v>GWEB</x:v>
      </x:c>
      <x:c r="D64" t="n">
        <x:f>COUNTIFS(Games!$A$4:$A$1177,$A64,Games!$D$4:$D$1177,"post",Games!$G$4:$G$1177,$C64)+COUNTIFS(Games!$A$4:$A$1177,$A64,Games!$D$4:$D$1177,"post",Games!$L$4:$L$1177,$C64)</x:f>
        <x:v>1</x:v>
      </x:c>
      <x:c r="E64" t="n">
        <x:f>COUNTIFS(Games!$A$4:$A$1177,$A64,Games!$G$4:$G$1177,$C64,Games!$J$4:$J$1177,"W")+COUNTIFS(Games!$A$4:$A$1177,$A64,Games!$L$4:$L$1177,$C64,Games!$O$4:$O$1177,"W")</x:f>
        <x:v>0</x:v>
      </x:c>
      <x:c r="F64" t="n">
        <x:f>COUNTIFS(Games!$A$4:$A$1177,$A64,Games!$G$4:$G$1177,$C64,Games!$J$4:$J$1177,"L")+COUNTIFS(Games!$A$4:$A$1177,$A64,Games!$L$4:$L$1177,$C64,Games!$O$4:$O$1177,"L")</x:f>
        <x:v>1</x:v>
      </x:c>
      <x:c r="G64" t="n">
        <x:f>COUNTIFS(Games!$A$4:$A$1177,$A64,Games!$G$4:$G$1177,$C64,Games!$J$4:$J$1177,"T")+COUNTIFS(Games!$A$4:$A$1177,$A64,Games!$L$4:$L$1177,$C64,Games!$O$4:$O$1177,"T")</x:f>
        <x:v>0</x:v>
      </x:c>
      <x:c r="H64" t="n">
        <x:f>SUMIFS(Games!$H$4:$H$1177,Games!$A$4:$A$1177,$A64,Games!$D$4:$D$1177,"post",Games!$G$4:$G$1177,$C64)+SUMIFS(Games!$M$4:$M$1177,Games!$A$4:$A$1177,$A64,Games!$D$4:$D$1177,"post",Games!$L$4:$L$1177,$C64)</x:f>
        <x:v>23</x:v>
      </x:c>
      <x:c r="I64" t="n">
        <x:f>SUMIFS(Games!$M$4:$M$1177,Games!$A$4:$A$1177,$A64,Games!$D$4:$D$1177,"post",Games!$G$4:$G$1177,$C64)+SUMIFS(Games!$H$4:$H$1177,Games!$A$4:$A$1177,$A64,Games!$D$4:$D$1177,"post",Games!$L$4:$L$1177,$C64)</x:f>
        <x:v>24</x:v>
      </x:c>
      <x:c r="J64" t="str">
        <x:f>E64&amp;"-"&amp;F64&amp;IF(G64&gt;0,"-"&amp;G64,"")</x:f>
        <x:v>0-1</x:v>
      </x:c>
      <x:c r="K64" t="n">
        <x:f>COUNTIFS(Games!$A$4:$A$1177,$A64,Games!$D$4:$D$1177,"post",Games!$G$4:$G$1177,$C64,Games!$T$4:$T$1177,"&lt;&gt;")+COUNTIFS(Games!$A$4:$A$1177,$A64,Games!$D$4:$D$1177,"post",Games!$L$4:$L$1177,$C64,Games!$T$4:$T$1177,"&lt;&gt;")</x:f>
        <x:v>0</x:v>
      </x:c>
      <x:c r="L64" s="80" t="n">
        <x:f>IF(D64=0,0,K64/D64)</x:f>
        <x:v>0</x:v>
      </x:c>
      <x:c r="M64" t="str">
        <x:f>IF(AND(D64&gt;=2,K64&gt;=2,L64&gt;=75%),"YES","NO")</x:f>
        <x:v>NO</x:v>
      </x:c>
    </x:row>
    <x:row r="65">
      <x:c r="A65" t="str">
        <x:v>CFB</x:v>
      </x:c>
      <x:c r="B65" t="str">
        <x:v>Georgia Bulldogs</x:v>
      </x:c>
      <x:c r="C65" t="str">
        <x:v>UGA</x:v>
      </x:c>
      <x:c r="D65" t="n">
        <x:f>COUNTIFS(Games!$A$4:$A$1177,$A65,Games!$D$4:$D$1177,"post",Games!$G$4:$G$1177,$C65)+COUNTIFS(Games!$A$4:$A$1177,$A65,Games!$D$4:$D$1177,"post",Games!$L$4:$L$1177,$C65)</x:f>
        <x:v>3</x:v>
      </x:c>
      <x:c r="E65" t="n">
        <x:f>COUNTIFS(Games!$A$4:$A$1177,$A65,Games!$G$4:$G$1177,$C65,Games!$J$4:$J$1177,"W")+COUNTIFS(Games!$A$4:$A$1177,$A65,Games!$L$4:$L$1177,$C65,Games!$O$4:$O$1177,"W")</x:f>
        <x:v>3</x:v>
      </x:c>
      <x:c r="F65" t="n">
        <x:f>COUNTIFS(Games!$A$4:$A$1177,$A65,Games!$G$4:$G$1177,$C65,Games!$J$4:$J$1177,"L")+COUNTIFS(Games!$A$4:$A$1177,$A65,Games!$L$4:$L$1177,$C65,Games!$O$4:$O$1177,"L")</x:f>
        <x:v>0</x:v>
      </x:c>
      <x:c r="G65" t="n">
        <x:f>COUNTIFS(Games!$A$4:$A$1177,$A65,Games!$G$4:$G$1177,$C65,Games!$J$4:$J$1177,"T")+COUNTIFS(Games!$A$4:$A$1177,$A65,Games!$L$4:$L$1177,$C65,Games!$O$4:$O$1177,"T")</x:f>
        <x:v>0</x:v>
      </x:c>
      <x:c r="H65" t="n">
        <x:f>SUMIFS(Games!$H$4:$H$1177,Games!$A$4:$A$1177,$A65,Games!$D$4:$D$1177,"post",Games!$G$4:$G$1177,$C65)+SUMIFS(Games!$M$4:$M$1177,Games!$A$4:$A$1177,$A65,Games!$D$4:$D$1177,"post",Games!$L$4:$L$1177,$C65)</x:f>
        <x:v>178</x:v>
      </x:c>
      <x:c r="I65" t="n">
        <x:f>SUMIFS(Games!$M$4:$M$1177,Games!$A$4:$A$1177,$A65,Games!$D$4:$D$1177,"post",Games!$G$4:$G$1177,$C65)+SUMIFS(Games!$H$4:$H$1177,Games!$A$4:$A$1177,$A65,Games!$D$4:$D$1177,"post",Games!$L$4:$L$1177,$C65)</x:f>
        <x:v>40</x:v>
      </x:c>
      <x:c r="J65" t="str">
        <x:f>E65&amp;"-"&amp;F65&amp;IF(G65&gt;0,"-"&amp;G65,"")</x:f>
        <x:v>3-0</x:v>
      </x:c>
      <x:c r="K65" t="n">
        <x:f>COUNTIFS(Games!$A$4:$A$1177,$A65,Games!$D$4:$D$1177,"post",Games!$G$4:$G$1177,$C65,Games!$T$4:$T$1177,"&lt;&gt;")+COUNTIFS(Games!$A$4:$A$1177,$A65,Games!$D$4:$D$1177,"post",Games!$L$4:$L$1177,$C65,Games!$T$4:$T$1177,"&lt;&gt;")</x:f>
        <x:v>0</x:v>
      </x:c>
      <x:c r="L65" s="80" t="n">
        <x:f>IF(D65=0,0,K65/D65)</x:f>
        <x:v>0</x:v>
      </x:c>
      <x:c r="M65" t="str">
        <x:f>IF(AND(D65&gt;=2,K65&gt;=2,L65&gt;=75%),"YES","NO")</x:f>
        <x:v>NO</x:v>
      </x:c>
    </x:row>
    <x:row r="66">
      <x:c r="A66" t="str">
        <x:v>CFB</x:v>
      </x:c>
      <x:c r="B66" t="str">
        <x:v>Georgia Southern Eagles</x:v>
      </x:c>
      <x:c r="C66" t="str">
        <x:v>GASO</x:v>
      </x:c>
      <x:c r="D66" t="n">
        <x:f>COUNTIFS(Games!$A$4:$A$1177,$A66,Games!$D$4:$D$1177,"post",Games!$G$4:$G$1177,$C66)+COUNTIFS(Games!$A$4:$A$1177,$A66,Games!$D$4:$D$1177,"post",Games!$L$4:$L$1177,$C66)</x:f>
        <x:v>3</x:v>
      </x:c>
      <x:c r="E66" t="n">
        <x:f>COUNTIFS(Games!$A$4:$A$1177,$A66,Games!$G$4:$G$1177,$C66,Games!$J$4:$J$1177,"W")+COUNTIFS(Games!$A$4:$A$1177,$A66,Games!$L$4:$L$1177,$C66,Games!$O$4:$O$1177,"W")</x:f>
        <x:v>1</x:v>
      </x:c>
      <x:c r="F66" t="n">
        <x:f>COUNTIFS(Games!$A$4:$A$1177,$A66,Games!$G$4:$G$1177,$C66,Games!$J$4:$J$1177,"L")+COUNTIFS(Games!$A$4:$A$1177,$A66,Games!$L$4:$L$1177,$C66,Games!$O$4:$O$1177,"L")</x:f>
        <x:v>2</x:v>
      </x:c>
      <x:c r="G66" t="n">
        <x:f>COUNTIFS(Games!$A$4:$A$1177,$A66,Games!$G$4:$G$1177,$C66,Games!$J$4:$J$1177,"T")+COUNTIFS(Games!$A$4:$A$1177,$A66,Games!$L$4:$L$1177,$C66,Games!$O$4:$O$1177,"T")</x:f>
        <x:v>0</x:v>
      </x:c>
      <x:c r="H66" t="n">
        <x:f>SUMIFS(Games!$H$4:$H$1177,Games!$A$4:$A$1177,$A66,Games!$D$4:$D$1177,"post",Games!$G$4:$G$1177,$C66)+SUMIFS(Games!$M$4:$M$1177,Games!$A$4:$A$1177,$A66,Games!$D$4:$D$1177,"post",Games!$L$4:$L$1177,$C66)</x:f>
        <x:v>65</x:v>
      </x:c>
      <x:c r="I66" t="n">
        <x:f>SUMIFS(Games!$M$4:$M$1177,Games!$A$4:$A$1177,$A66,Games!$D$4:$D$1177,"post",Games!$G$4:$G$1177,$C66)+SUMIFS(Games!$H$4:$H$1177,Games!$A$4:$A$1177,$A66,Games!$D$4:$D$1177,"post",Games!$L$4:$L$1177,$C66)</x:f>
        <x:v>53</x:v>
      </x:c>
      <x:c r="J66" t="str">
        <x:f>E66&amp;"-"&amp;F66&amp;IF(G66&gt;0,"-"&amp;G66,"")</x:f>
        <x:v>1-2</x:v>
      </x:c>
      <x:c r="K66" t="n">
        <x:f>COUNTIFS(Games!$A$4:$A$1177,$A66,Games!$D$4:$D$1177,"post",Games!$G$4:$G$1177,$C66,Games!$T$4:$T$1177,"&lt;&gt;")+COUNTIFS(Games!$A$4:$A$1177,$A66,Games!$D$4:$D$1177,"post",Games!$L$4:$L$1177,$C66,Games!$T$4:$T$1177,"&lt;&gt;")</x:f>
        <x:v>0</x:v>
      </x:c>
      <x:c r="L66" s="80" t="n">
        <x:f>IF(D66=0,0,K66/D66)</x:f>
        <x:v>0</x:v>
      </x:c>
      <x:c r="M66" t="str">
        <x:f>IF(AND(D66&gt;=2,K66&gt;=2,L66&gt;=75%),"YES","NO")</x:f>
        <x:v>NO</x:v>
      </x:c>
    </x:row>
    <x:row r="67">
      <x:c r="A67" t="str">
        <x:v>CFB</x:v>
      </x:c>
      <x:c r="B67" t="str">
        <x:v>Georgia State Panthers</x:v>
      </x:c>
      <x:c r="C67" t="str">
        <x:v>GAST</x:v>
      </x:c>
      <x:c r="D67" t="n">
        <x:f>COUNTIFS(Games!$A$4:$A$1177,$A67,Games!$D$4:$D$1177,"post",Games!$G$4:$G$1177,$C67)+COUNTIFS(Games!$A$4:$A$1177,$A67,Games!$D$4:$D$1177,"post",Games!$L$4:$L$1177,$C67)</x:f>
        <x:v>3</x:v>
      </x:c>
      <x:c r="E67" t="n">
        <x:f>COUNTIFS(Games!$A$4:$A$1177,$A67,Games!$G$4:$G$1177,$C67,Games!$J$4:$J$1177,"W")+COUNTIFS(Games!$A$4:$A$1177,$A67,Games!$L$4:$L$1177,$C67,Games!$O$4:$O$1177,"W")</x:f>
        <x:v>2</x:v>
      </x:c>
      <x:c r="F67" t="n">
        <x:f>COUNTIFS(Games!$A$4:$A$1177,$A67,Games!$G$4:$G$1177,$C67,Games!$J$4:$J$1177,"L")+COUNTIFS(Games!$A$4:$A$1177,$A67,Games!$L$4:$L$1177,$C67,Games!$O$4:$O$1177,"L")</x:f>
        <x:v>1</x:v>
      </x:c>
      <x:c r="G67" t="n">
        <x:f>COUNTIFS(Games!$A$4:$A$1177,$A67,Games!$G$4:$G$1177,$C67,Games!$J$4:$J$1177,"T")+COUNTIFS(Games!$A$4:$A$1177,$A67,Games!$L$4:$L$1177,$C67,Games!$O$4:$O$1177,"T")</x:f>
        <x:v>0</x:v>
      </x:c>
      <x:c r="H67" t="n">
        <x:f>SUMIFS(Games!$H$4:$H$1177,Games!$A$4:$A$1177,$A67,Games!$D$4:$D$1177,"post",Games!$G$4:$G$1177,$C67)+SUMIFS(Games!$M$4:$M$1177,Games!$A$4:$A$1177,$A67,Games!$D$4:$D$1177,"post",Games!$L$4:$L$1177,$C67)</x:f>
        <x:v>120</x:v>
      </x:c>
      <x:c r="I67" t="n">
        <x:f>SUMIFS(Games!$M$4:$M$1177,Games!$A$4:$A$1177,$A67,Games!$D$4:$D$1177,"post",Games!$G$4:$G$1177,$C67)+SUMIFS(Games!$H$4:$H$1177,Games!$A$4:$A$1177,$A67,Games!$D$4:$D$1177,"post",Games!$L$4:$L$1177,$C67)</x:f>
        <x:v>71</x:v>
      </x:c>
      <x:c r="J67" t="str">
        <x:f>E67&amp;"-"&amp;F67&amp;IF(G67&gt;0,"-"&amp;G67,"")</x:f>
        <x:v>2-1</x:v>
      </x:c>
      <x:c r="K67" t="n">
        <x:f>COUNTIFS(Games!$A$4:$A$1177,$A67,Games!$D$4:$D$1177,"post",Games!$G$4:$G$1177,$C67,Games!$T$4:$T$1177,"&lt;&gt;")+COUNTIFS(Games!$A$4:$A$1177,$A67,Games!$D$4:$D$1177,"post",Games!$L$4:$L$1177,$C67,Games!$T$4:$T$1177,"&lt;&gt;")</x:f>
        <x:v>0</x:v>
      </x:c>
      <x:c r="L67" s="80" t="n">
        <x:f>IF(D67=0,0,K67/D67)</x:f>
        <x:v>0</x:v>
      </x:c>
      <x:c r="M67" t="str">
        <x:f>IF(AND(D67&gt;=2,K67&gt;=2,L67&gt;=75%),"YES","NO")</x:f>
        <x:v>NO</x:v>
      </x:c>
    </x:row>
    <x:row r="68">
      <x:c r="A68" t="str">
        <x:v>CFB</x:v>
      </x:c>
      <x:c r="B68" t="str">
        <x:v>Georgia Tech Yellow Jackets</x:v>
      </x:c>
      <x:c r="C68" t="str">
        <x:v>GT</x:v>
      </x:c>
      <x:c r="D68" t="n">
        <x:f>COUNTIFS(Games!$A$4:$A$1177,$A68,Games!$D$4:$D$1177,"post",Games!$G$4:$G$1177,$C68)+COUNTIFS(Games!$A$4:$A$1177,$A68,Games!$D$4:$D$1177,"post",Games!$L$4:$L$1177,$C68)</x:f>
        <x:v>3</x:v>
      </x:c>
      <x:c r="E68" t="n">
        <x:f>COUNTIFS(Games!$A$4:$A$1177,$A68,Games!$G$4:$G$1177,$C68,Games!$J$4:$J$1177,"W")+COUNTIFS(Games!$A$4:$A$1177,$A68,Games!$L$4:$L$1177,$C68,Games!$O$4:$O$1177,"W")</x:f>
        <x:v>1</x:v>
      </x:c>
      <x:c r="F68" t="n">
        <x:f>COUNTIFS(Games!$A$4:$A$1177,$A68,Games!$G$4:$G$1177,$C68,Games!$J$4:$J$1177,"L")+COUNTIFS(Games!$A$4:$A$1177,$A68,Games!$L$4:$L$1177,$C68,Games!$O$4:$O$1177,"L")</x:f>
        <x:v>2</x:v>
      </x:c>
      <x:c r="G68" t="n">
        <x:f>COUNTIFS(Games!$A$4:$A$1177,$A68,Games!$G$4:$G$1177,$C68,Games!$J$4:$J$1177,"T")+COUNTIFS(Games!$A$4:$A$1177,$A68,Games!$L$4:$L$1177,$C68,Games!$O$4:$O$1177,"T")</x:f>
        <x:v>0</x:v>
      </x:c>
      <x:c r="H68" t="n">
        <x:f>SUMIFS(Games!$H$4:$H$1177,Games!$A$4:$A$1177,$A68,Games!$D$4:$D$1177,"post",Games!$G$4:$G$1177,$C68)+SUMIFS(Games!$M$4:$M$1177,Games!$A$4:$A$1177,$A68,Games!$D$4:$D$1177,"post",Games!$L$4:$L$1177,$C68)</x:f>
        <x:v>81</x:v>
      </x:c>
      <x:c r="I68" t="n">
        <x:f>SUMIFS(Games!$M$4:$M$1177,Games!$A$4:$A$1177,$A68,Games!$D$4:$D$1177,"post",Games!$G$4:$G$1177,$C68)+SUMIFS(Games!$H$4:$H$1177,Games!$A$4:$A$1177,$A68,Games!$D$4:$D$1177,"post",Games!$L$4:$L$1177,$C68)</x:f>
        <x:v>70</x:v>
      </x:c>
      <x:c r="J68" t="str">
        <x:f>E68&amp;"-"&amp;F68&amp;IF(G68&gt;0,"-"&amp;G68,"")</x:f>
        <x:v>1-2</x:v>
      </x:c>
      <x:c r="K68" t="n">
        <x:f>COUNTIFS(Games!$A$4:$A$1177,$A68,Games!$D$4:$D$1177,"post",Games!$G$4:$G$1177,$C68,Games!$T$4:$T$1177,"&lt;&gt;")+COUNTIFS(Games!$A$4:$A$1177,$A68,Games!$D$4:$D$1177,"post",Games!$L$4:$L$1177,$C68,Games!$T$4:$T$1177,"&lt;&gt;")</x:f>
        <x:v>0</x:v>
      </x:c>
      <x:c r="L68" s="80" t="n">
        <x:f>IF(D68=0,0,K68/D68)</x:f>
        <x:v>0</x:v>
      </x:c>
      <x:c r="M68" t="str">
        <x:f>IF(AND(D68&gt;=2,K68&gt;=2,L68&gt;=75%),"YES","NO")</x:f>
        <x:v>NO</x:v>
      </x:c>
    </x:row>
    <x:row r="69">
      <x:c r="A69" t="str">
        <x:v>CFB</x:v>
      </x:c>
      <x:c r="B69" t="str">
        <x:v>Grambling Tigers</x:v>
      </x:c>
      <x:c r="C69" t="str">
        <x:v>GRAM</x:v>
      </x:c>
      <x:c r="D69" t="n">
        <x:f>COUNTIFS(Games!$A$4:$A$1177,$A69,Games!$D$4:$D$1177,"post",Games!$G$4:$G$1177,$C69)+COUNTIFS(Games!$A$4:$A$1177,$A69,Games!$D$4:$D$1177,"post",Games!$L$4:$L$1177,$C69)</x:f>
        <x:v>1</x:v>
      </x:c>
      <x:c r="E69" t="n">
        <x:f>COUNTIFS(Games!$A$4:$A$1177,$A69,Games!$G$4:$G$1177,$C69,Games!$J$4:$J$1177,"W")+COUNTIFS(Games!$A$4:$A$1177,$A69,Games!$L$4:$L$1177,$C69,Games!$O$4:$O$1177,"W")</x:f>
        <x:v>0</x:v>
      </x:c>
      <x:c r="F69" t="n">
        <x:f>COUNTIFS(Games!$A$4:$A$1177,$A69,Games!$G$4:$G$1177,$C69,Games!$J$4:$J$1177,"L")+COUNTIFS(Games!$A$4:$A$1177,$A69,Games!$L$4:$L$1177,$C69,Games!$O$4:$O$1177,"L")</x:f>
        <x:v>1</x:v>
      </x:c>
      <x:c r="G69" t="n">
        <x:f>COUNTIFS(Games!$A$4:$A$1177,$A69,Games!$G$4:$G$1177,$C69,Games!$J$4:$J$1177,"T")+COUNTIFS(Games!$A$4:$A$1177,$A69,Games!$L$4:$L$1177,$C69,Games!$O$4:$O$1177,"T")</x:f>
        <x:v>0</x:v>
      </x:c>
      <x:c r="H69" t="n">
        <x:f>SUMIFS(Games!$H$4:$H$1177,Games!$A$4:$A$1177,$A69,Games!$D$4:$D$1177,"post",Games!$G$4:$G$1177,$C69)+SUMIFS(Games!$M$4:$M$1177,Games!$A$4:$A$1177,$A69,Games!$D$4:$D$1177,"post",Games!$L$4:$L$1177,$C69)</x:f>
        <x:v>7</x:v>
      </x:c>
      <x:c r="I69" t="n">
        <x:f>SUMIFS(Games!$M$4:$M$1177,Games!$A$4:$A$1177,$A69,Games!$D$4:$D$1177,"post",Games!$G$4:$G$1177,$C69)+SUMIFS(Games!$H$4:$H$1177,Games!$A$4:$A$1177,$A69,Games!$D$4:$D$1177,"post",Games!$L$4:$L$1177,$C69)</x:f>
        <x:v>63</x:v>
      </x:c>
      <x:c r="J69" t="str">
        <x:f>E69&amp;"-"&amp;F69&amp;IF(G69&gt;0,"-"&amp;G69,"")</x:f>
        <x:v>0-1</x:v>
      </x:c>
      <x:c r="K69" t="n">
        <x:f>COUNTIFS(Games!$A$4:$A$1177,$A69,Games!$D$4:$D$1177,"post",Games!$G$4:$G$1177,$C69,Games!$T$4:$T$1177,"&lt;&gt;")+COUNTIFS(Games!$A$4:$A$1177,$A69,Games!$D$4:$D$1177,"post",Games!$L$4:$L$1177,$C69,Games!$T$4:$T$1177,"&lt;&gt;")</x:f>
        <x:v>0</x:v>
      </x:c>
      <x:c r="L69" s="80" t="n">
        <x:f>IF(D69=0,0,K69/D69)</x:f>
        <x:v>0</x:v>
      </x:c>
      <x:c r="M69" t="str">
        <x:f>IF(AND(D69&gt;=2,K69&gt;=2,L69&gt;=75%),"YES","NO")</x:f>
        <x:v>NO</x:v>
      </x:c>
    </x:row>
    <x:row r="70">
      <x:c r="A70" t="str">
        <x:v>CFB</x:v>
      </x:c>
      <x:c r="B70" t="str">
        <x:v>Hampton Pirates</x:v>
      </x:c>
      <x:c r="C70" t="str">
        <x:v>HAMP</x:v>
      </x:c>
      <x:c r="D70" t="n">
        <x:f>COUNTIFS(Games!$A$4:$A$1177,$A70,Games!$D$4:$D$1177,"post",Games!$G$4:$G$1177,$C70)+COUNTIFS(Games!$A$4:$A$1177,$A70,Games!$D$4:$D$1177,"post",Games!$L$4:$L$1177,$C70)</x:f>
        <x:v>1</x:v>
      </x:c>
      <x:c r="E70" t="n">
        <x:f>COUNTIFS(Games!$A$4:$A$1177,$A70,Games!$G$4:$G$1177,$C70,Games!$J$4:$J$1177,"W")+COUNTIFS(Games!$A$4:$A$1177,$A70,Games!$L$4:$L$1177,$C70,Games!$O$4:$O$1177,"W")</x:f>
        <x:v>0</x:v>
      </x:c>
      <x:c r="F70" t="n">
        <x:f>COUNTIFS(Games!$A$4:$A$1177,$A70,Games!$G$4:$G$1177,$C70,Games!$J$4:$J$1177,"L")+COUNTIFS(Games!$A$4:$A$1177,$A70,Games!$L$4:$L$1177,$C70,Games!$O$4:$O$1177,"L")</x:f>
        <x:v>1</x:v>
      </x:c>
      <x:c r="G70" t="n">
        <x:f>COUNTIFS(Games!$A$4:$A$1177,$A70,Games!$G$4:$G$1177,$C70,Games!$J$4:$J$1177,"T")+COUNTIFS(Games!$A$4:$A$1177,$A70,Games!$L$4:$L$1177,$C70,Games!$O$4:$O$1177,"T")</x:f>
        <x:v>0</x:v>
      </x:c>
      <x:c r="H70" t="n">
        <x:f>SUMIFS(Games!$H$4:$H$1177,Games!$A$4:$A$1177,$A70,Games!$D$4:$D$1177,"post",Games!$G$4:$G$1177,$C70)+SUMIFS(Games!$M$4:$M$1177,Games!$A$4:$A$1177,$A70,Games!$D$4:$D$1177,"post",Games!$L$4:$L$1177,$C70)</x:f>
        <x:v>0</x:v>
      </x:c>
      <x:c r="I70" t="n">
        <x:f>SUMIFS(Games!$M$4:$M$1177,Games!$A$4:$A$1177,$A70,Games!$D$4:$D$1177,"post",Games!$G$4:$G$1177,$C70)+SUMIFS(Games!$H$4:$H$1177,Games!$A$4:$A$1177,$A70,Games!$D$4:$D$1177,"post",Games!$L$4:$L$1177,$C70)</x:f>
        <x:v>62</x:v>
      </x:c>
      <x:c r="J70" t="str">
        <x:f>E70&amp;"-"&amp;F70&amp;IF(G70&gt;0,"-"&amp;G70,"")</x:f>
        <x:v>0-1</x:v>
      </x:c>
      <x:c r="K70" t="n">
        <x:f>COUNTIFS(Games!$A$4:$A$1177,$A70,Games!$D$4:$D$1177,"post",Games!$G$4:$G$1177,$C70,Games!$T$4:$T$1177,"&lt;&gt;")+COUNTIFS(Games!$A$4:$A$1177,$A70,Games!$D$4:$D$1177,"post",Games!$L$4:$L$1177,$C70,Games!$T$4:$T$1177,"&lt;&gt;")</x:f>
        <x:v>0</x:v>
      </x:c>
      <x:c r="L70" s="80" t="n">
        <x:f>IF(D70=0,0,K70/D70)</x:f>
        <x:v>0</x:v>
      </x:c>
      <x:c r="M70" t="str">
        <x:f>IF(AND(D70&gt;=2,K70&gt;=2,L70&gt;=75%),"YES","NO")</x:f>
        <x:v>NO</x:v>
      </x:c>
    </x:row>
    <x:row r="71">
      <x:c r="A71" t="str">
        <x:v>CFB</x:v>
      </x:c>
      <x:c r="B71" t="str">
        <x:v>Hawai'i Rainbow Warriors</x:v>
      </x:c>
      <x:c r="C71" t="str">
        <x:v>HAW</x:v>
      </x:c>
      <x:c r="D71" t="n">
        <x:f>COUNTIFS(Games!$A$4:$A$1177,$A71,Games!$D$4:$D$1177,"post",Games!$G$4:$G$1177,$C71)+COUNTIFS(Games!$A$4:$A$1177,$A71,Games!$D$4:$D$1177,"post",Games!$L$4:$L$1177,$C71)</x:f>
        <x:v>3</x:v>
      </x:c>
      <x:c r="E71" t="n">
        <x:f>COUNTIFS(Games!$A$4:$A$1177,$A71,Games!$G$4:$G$1177,$C71,Games!$J$4:$J$1177,"W")+COUNTIFS(Games!$A$4:$A$1177,$A71,Games!$L$4:$L$1177,$C71,Games!$O$4:$O$1177,"W")</x:f>
        <x:v>1</x:v>
      </x:c>
      <x:c r="F71" t="n">
        <x:f>COUNTIFS(Games!$A$4:$A$1177,$A71,Games!$G$4:$G$1177,$C71,Games!$J$4:$J$1177,"L")+COUNTIFS(Games!$A$4:$A$1177,$A71,Games!$L$4:$L$1177,$C71,Games!$O$4:$O$1177,"L")</x:f>
        <x:v>2</x:v>
      </x:c>
      <x:c r="G71" t="n">
        <x:f>COUNTIFS(Games!$A$4:$A$1177,$A71,Games!$G$4:$G$1177,$C71,Games!$J$4:$J$1177,"T")+COUNTIFS(Games!$A$4:$A$1177,$A71,Games!$L$4:$L$1177,$C71,Games!$O$4:$O$1177,"T")</x:f>
        <x:v>0</x:v>
      </x:c>
      <x:c r="H71" t="n">
        <x:f>SUMIFS(Games!$H$4:$H$1177,Games!$A$4:$A$1177,$A71,Games!$D$4:$D$1177,"post",Games!$G$4:$G$1177,$C71)+SUMIFS(Games!$M$4:$M$1177,Games!$A$4:$A$1177,$A71,Games!$D$4:$D$1177,"post",Games!$L$4:$L$1177,$C71)</x:f>
        <x:v>62</x:v>
      </x:c>
      <x:c r="I71" t="n">
        <x:f>SUMIFS(Games!$M$4:$M$1177,Games!$A$4:$A$1177,$A71,Games!$D$4:$D$1177,"post",Games!$G$4:$G$1177,$C71)+SUMIFS(Games!$H$4:$H$1177,Games!$A$4:$A$1177,$A71,Games!$D$4:$D$1177,"post",Games!$L$4:$L$1177,$C71)</x:f>
        <x:v>77</x:v>
      </x:c>
      <x:c r="J71" t="str">
        <x:f>E71&amp;"-"&amp;F71&amp;IF(G71&gt;0,"-"&amp;G71,"")</x:f>
        <x:v>1-2</x:v>
      </x:c>
      <x:c r="K71" t="n">
        <x:f>COUNTIFS(Games!$A$4:$A$1177,$A71,Games!$D$4:$D$1177,"post",Games!$G$4:$G$1177,$C71,Games!$T$4:$T$1177,"&lt;&gt;")+COUNTIFS(Games!$A$4:$A$1177,$A71,Games!$D$4:$D$1177,"post",Games!$L$4:$L$1177,$C71,Games!$T$4:$T$1177,"&lt;&gt;")</x:f>
        <x:v>0</x:v>
      </x:c>
      <x:c r="L71" s="80" t="n">
        <x:f>IF(D71=0,0,K71/D71)</x:f>
        <x:v>0</x:v>
      </x:c>
      <x:c r="M71" t="str">
        <x:f>IF(AND(D71&gt;=2,K71&gt;=2,L71&gt;=75%),"YES","NO")</x:f>
        <x:v>NO</x:v>
      </x:c>
    </x:row>
    <x:row r="72">
      <x:c r="A72" t="str">
        <x:v>CFB</x:v>
      </x:c>
      <x:c r="B72" t="str">
        <x:v>Holy Cross Crusaders</x:v>
      </x:c>
      <x:c r="C72" t="str">
        <x:v>HC</x:v>
      </x:c>
      <x:c r="D72" t="n">
        <x:f>COUNTIFS(Games!$A$4:$A$1177,$A72,Games!$D$4:$D$1177,"post",Games!$G$4:$G$1177,$C72)+COUNTIFS(Games!$A$4:$A$1177,$A72,Games!$D$4:$D$1177,"post",Games!$L$4:$L$1177,$C72)</x:f>
        <x:v>1</x:v>
      </x:c>
      <x:c r="E72" t="n">
        <x:f>COUNTIFS(Games!$A$4:$A$1177,$A72,Games!$G$4:$G$1177,$C72,Games!$J$4:$J$1177,"W")+COUNTIFS(Games!$A$4:$A$1177,$A72,Games!$L$4:$L$1177,$C72,Games!$O$4:$O$1177,"W")</x:f>
        <x:v>0</x:v>
      </x:c>
      <x:c r="F72" t="n">
        <x:f>COUNTIFS(Games!$A$4:$A$1177,$A72,Games!$G$4:$G$1177,$C72,Games!$J$4:$J$1177,"L")+COUNTIFS(Games!$A$4:$A$1177,$A72,Games!$L$4:$L$1177,$C72,Games!$O$4:$O$1177,"L")</x:f>
        <x:v>1</x:v>
      </x:c>
      <x:c r="G72" t="n">
        <x:f>COUNTIFS(Games!$A$4:$A$1177,$A72,Games!$G$4:$G$1177,$C72,Games!$J$4:$J$1177,"T")+COUNTIFS(Games!$A$4:$A$1177,$A72,Games!$L$4:$L$1177,$C72,Games!$O$4:$O$1177,"T")</x:f>
        <x:v>0</x:v>
      </x:c>
      <x:c r="H72" t="n">
        <x:f>SUMIFS(Games!$H$4:$H$1177,Games!$A$4:$A$1177,$A72,Games!$D$4:$D$1177,"post",Games!$G$4:$G$1177,$C72)+SUMIFS(Games!$M$4:$M$1177,Games!$A$4:$A$1177,$A72,Games!$D$4:$D$1177,"post",Games!$L$4:$L$1177,$C72)</x:f>
        <x:v>7</x:v>
      </x:c>
      <x:c r="I72" t="n">
        <x:f>SUMIFS(Games!$M$4:$M$1177,Games!$A$4:$A$1177,$A72,Games!$D$4:$D$1177,"post",Games!$G$4:$G$1177,$C72)+SUMIFS(Games!$H$4:$H$1177,Games!$A$4:$A$1177,$A72,Games!$D$4:$D$1177,"post",Games!$L$4:$L$1177,$C72)</x:f>
        <x:v>45</x:v>
      </x:c>
      <x:c r="J72" t="str">
        <x:f>E72&amp;"-"&amp;F72&amp;IF(G72&gt;0,"-"&amp;G72,"")</x:f>
        <x:v>0-1</x:v>
      </x:c>
      <x:c r="K72" t="n">
        <x:f>COUNTIFS(Games!$A$4:$A$1177,$A72,Games!$D$4:$D$1177,"post",Games!$G$4:$G$1177,$C72,Games!$T$4:$T$1177,"&lt;&gt;")+COUNTIFS(Games!$A$4:$A$1177,$A72,Games!$D$4:$D$1177,"post",Games!$L$4:$L$1177,$C72,Games!$T$4:$T$1177,"&lt;&gt;")</x:f>
        <x:v>0</x:v>
      </x:c>
      <x:c r="L72" s="80" t="n">
        <x:f>IF(D72=0,0,K72/D72)</x:f>
        <x:v>0</x:v>
      </x:c>
      <x:c r="M72" t="str">
        <x:f>IF(AND(D72&gt;=2,K72&gt;=2,L72&gt;=75%),"YES","NO")</x:f>
        <x:v>NO</x:v>
      </x:c>
    </x:row>
    <x:row r="73">
      <x:c r="A73" t="str">
        <x:v>CFB</x:v>
      </x:c>
      <x:c r="B73" t="str">
        <x:v>Houston Christian Huskies</x:v>
      </x:c>
      <x:c r="C73" t="str">
        <x:v>HCU</x:v>
      </x:c>
      <x:c r="D73" t="n">
        <x:f>COUNTIFS(Games!$A$4:$A$1177,$A73,Games!$D$4:$D$1177,"post",Games!$G$4:$G$1177,$C73)+COUNTIFS(Games!$A$4:$A$1177,$A73,Games!$D$4:$D$1177,"post",Games!$L$4:$L$1177,$C73)</x:f>
        <x:v>1</x:v>
      </x:c>
      <x:c r="E73" t="n">
        <x:f>COUNTIFS(Games!$A$4:$A$1177,$A73,Games!$G$4:$G$1177,$C73,Games!$J$4:$J$1177,"W")+COUNTIFS(Games!$A$4:$A$1177,$A73,Games!$L$4:$L$1177,$C73,Games!$O$4:$O$1177,"W")</x:f>
        <x:v>0</x:v>
      </x:c>
      <x:c r="F73" t="n">
        <x:f>COUNTIFS(Games!$A$4:$A$1177,$A73,Games!$G$4:$G$1177,$C73,Games!$J$4:$J$1177,"L")+COUNTIFS(Games!$A$4:$A$1177,$A73,Games!$L$4:$L$1177,$C73,Games!$O$4:$O$1177,"L")</x:f>
        <x:v>1</x:v>
      </x:c>
      <x:c r="G73" t="n">
        <x:f>COUNTIFS(Games!$A$4:$A$1177,$A73,Games!$G$4:$G$1177,$C73,Games!$J$4:$J$1177,"T")+COUNTIFS(Games!$A$4:$A$1177,$A73,Games!$L$4:$L$1177,$C73,Games!$O$4:$O$1177,"T")</x:f>
        <x:v>0</x:v>
      </x:c>
      <x:c r="H73" t="n">
        <x:f>SUMIFS(Games!$H$4:$H$1177,Games!$A$4:$A$1177,$A73,Games!$D$4:$D$1177,"post",Games!$G$4:$G$1177,$C73)+SUMIFS(Games!$M$4:$M$1177,Games!$A$4:$A$1177,$A73,Games!$D$4:$D$1177,"post",Games!$L$4:$L$1177,$C73)</x:f>
        <x:v>3</x:v>
      </x:c>
      <x:c r="I73" t="n">
        <x:f>SUMIFS(Games!$M$4:$M$1177,Games!$A$4:$A$1177,$A73,Games!$D$4:$D$1177,"post",Games!$G$4:$G$1177,$C73)+SUMIFS(Games!$H$4:$H$1177,Games!$A$4:$A$1177,$A73,Games!$D$4:$D$1177,"post",Games!$L$4:$L$1177,$C73)</x:f>
        <x:v>31</x:v>
      </x:c>
      <x:c r="J73" t="str">
        <x:f>E73&amp;"-"&amp;F73&amp;IF(G73&gt;0,"-"&amp;G73,"")</x:f>
        <x:v>0-1</x:v>
      </x:c>
      <x:c r="K73" t="n">
        <x:f>COUNTIFS(Games!$A$4:$A$1177,$A73,Games!$D$4:$D$1177,"post",Games!$G$4:$G$1177,$C73,Games!$T$4:$T$1177,"&lt;&gt;")+COUNTIFS(Games!$A$4:$A$1177,$A73,Games!$D$4:$D$1177,"post",Games!$L$4:$L$1177,$C73,Games!$T$4:$T$1177,"&lt;&gt;")</x:f>
        <x:v>0</x:v>
      </x:c>
      <x:c r="L73" s="80" t="n">
        <x:f>IF(D73=0,0,K73/D73)</x:f>
        <x:v>0</x:v>
      </x:c>
      <x:c r="M73" t="str">
        <x:f>IF(AND(D73&gt;=2,K73&gt;=2,L73&gt;=75%),"YES","NO")</x:f>
        <x:v>NO</x:v>
      </x:c>
    </x:row>
    <x:row r="74">
      <x:c r="A74" t="str">
        <x:v>CFB</x:v>
      </x:c>
      <x:c r="B74" t="str">
        <x:v>Houston Cougars</x:v>
      </x:c>
      <x:c r="C74" t="str">
        <x:v>HOU</x:v>
      </x:c>
      <x:c r="D74" t="n">
        <x:f>COUNTIFS(Games!$A$4:$A$1177,$A74,Games!$D$4:$D$1177,"post",Games!$G$4:$G$1177,$C74)+COUNTIFS(Games!$A$4:$A$1177,$A74,Games!$D$4:$D$1177,"post",Games!$L$4:$L$1177,$C74)</x:f>
        <x:v>3</x:v>
      </x:c>
      <x:c r="E74" t="n">
        <x:f>COUNTIFS(Games!$A$4:$A$1177,$A74,Games!$G$4:$G$1177,$C74,Games!$J$4:$J$1177,"W")+COUNTIFS(Games!$A$4:$A$1177,$A74,Games!$L$4:$L$1177,$C74,Games!$O$4:$O$1177,"W")</x:f>
        <x:v>2</x:v>
      </x:c>
      <x:c r="F74" t="n">
        <x:f>COUNTIFS(Games!$A$4:$A$1177,$A74,Games!$G$4:$G$1177,$C74,Games!$J$4:$J$1177,"L")+COUNTIFS(Games!$A$4:$A$1177,$A74,Games!$L$4:$L$1177,$C74,Games!$O$4:$O$1177,"L")</x:f>
        <x:v>1</x:v>
      </x:c>
      <x:c r="G74" t="n">
        <x:f>COUNTIFS(Games!$A$4:$A$1177,$A74,Games!$G$4:$G$1177,$C74,Games!$J$4:$J$1177,"T")+COUNTIFS(Games!$A$4:$A$1177,$A74,Games!$L$4:$L$1177,$C74,Games!$O$4:$O$1177,"T")</x:f>
        <x:v>0</x:v>
      </x:c>
      <x:c r="H74" t="n">
        <x:f>SUMIFS(Games!$H$4:$H$1177,Games!$A$4:$A$1177,$A74,Games!$D$4:$D$1177,"post",Games!$G$4:$G$1177,$C74)+SUMIFS(Games!$M$4:$M$1177,Games!$A$4:$A$1177,$A74,Games!$D$4:$D$1177,"post",Games!$L$4:$L$1177,$C74)</x:f>
        <x:v>136</x:v>
      </x:c>
      <x:c r="I74" t="n">
        <x:f>SUMIFS(Games!$M$4:$M$1177,Games!$A$4:$A$1177,$A74,Games!$D$4:$D$1177,"post",Games!$G$4:$G$1177,$C74)+SUMIFS(Games!$H$4:$H$1177,Games!$A$4:$A$1177,$A74,Games!$D$4:$D$1177,"post",Games!$L$4:$L$1177,$C74)</x:f>
        <x:v>54</x:v>
      </x:c>
      <x:c r="J74" t="str">
        <x:f>E74&amp;"-"&amp;F74&amp;IF(G74&gt;0,"-"&amp;G74,"")</x:f>
        <x:v>2-1</x:v>
      </x:c>
      <x:c r="K74" t="n">
        <x:f>COUNTIFS(Games!$A$4:$A$1177,$A74,Games!$D$4:$D$1177,"post",Games!$G$4:$G$1177,$C74,Games!$T$4:$T$1177,"&lt;&gt;")+COUNTIFS(Games!$A$4:$A$1177,$A74,Games!$D$4:$D$1177,"post",Games!$L$4:$L$1177,$C74,Games!$T$4:$T$1177,"&lt;&gt;")</x:f>
        <x:v>0</x:v>
      </x:c>
      <x:c r="L74" s="80" t="n">
        <x:f>IF(D74=0,0,K74/D74)</x:f>
        <x:v>0</x:v>
      </x:c>
      <x:c r="M74" t="str">
        <x:f>IF(AND(D74&gt;=2,K74&gt;=2,L74&gt;=75%),"YES","NO")</x:f>
        <x:v>NO</x:v>
      </x:c>
    </x:row>
    <x:row r="75">
      <x:c r="A75" t="str">
        <x:v>CFB</x:v>
      </x:c>
      <x:c r="B75" t="str">
        <x:v>Howard Bison</x:v>
      </x:c>
      <x:c r="C75" t="str">
        <x:v>HOW</x:v>
      </x:c>
      <x:c r="D75" t="n">
        <x:f>COUNTIFS(Games!$A$4:$A$1177,$A75,Games!$D$4:$D$1177,"post",Games!$G$4:$G$1177,$C75)+COUNTIFS(Games!$A$4:$A$1177,$A75,Games!$D$4:$D$1177,"post",Games!$L$4:$L$1177,$C75)</x:f>
        <x:v>1</x:v>
      </x:c>
      <x:c r="E75" t="n">
        <x:f>COUNTIFS(Games!$A$4:$A$1177,$A75,Games!$G$4:$G$1177,$C75,Games!$J$4:$J$1177,"W")+COUNTIFS(Games!$A$4:$A$1177,$A75,Games!$L$4:$L$1177,$C75,Games!$O$4:$O$1177,"W")</x:f>
        <x:v>0</x:v>
      </x:c>
      <x:c r="F75" t="n">
        <x:f>COUNTIFS(Games!$A$4:$A$1177,$A75,Games!$G$4:$G$1177,$C75,Games!$J$4:$J$1177,"L")+COUNTIFS(Games!$A$4:$A$1177,$A75,Games!$L$4:$L$1177,$C75,Games!$O$4:$O$1177,"L")</x:f>
        <x:v>1</x:v>
      </x:c>
      <x:c r="G75" t="n">
        <x:f>COUNTIFS(Games!$A$4:$A$1177,$A75,Games!$G$4:$G$1177,$C75,Games!$J$4:$J$1177,"T")+COUNTIFS(Games!$A$4:$A$1177,$A75,Games!$L$4:$L$1177,$C75,Games!$O$4:$O$1177,"T")</x:f>
        <x:v>0</x:v>
      </x:c>
      <x:c r="H75" t="n">
        <x:f>SUMIFS(Games!$H$4:$H$1177,Games!$A$4:$A$1177,$A75,Games!$D$4:$D$1177,"post",Games!$G$4:$G$1177,$C75)+SUMIFS(Games!$M$4:$M$1177,Games!$A$4:$A$1177,$A75,Games!$D$4:$D$1177,"post",Games!$L$4:$L$1177,$C75)</x:f>
        <x:v>0</x:v>
      </x:c>
      <x:c r="I75" t="n">
        <x:f>SUMIFS(Games!$M$4:$M$1177,Games!$A$4:$A$1177,$A75,Games!$D$4:$D$1177,"post",Games!$G$4:$G$1177,$C75)+SUMIFS(Games!$H$4:$H$1177,Games!$A$4:$A$1177,$A75,Games!$D$4:$D$1177,"post",Games!$L$4:$L$1177,$C75)</x:f>
        <x:v>55</x:v>
      </x:c>
      <x:c r="J75" t="str">
        <x:f>E75&amp;"-"&amp;F75&amp;IF(G75&gt;0,"-"&amp;G75,"")</x:f>
        <x:v>0-1</x:v>
      </x:c>
      <x:c r="K75" t="n">
        <x:f>COUNTIFS(Games!$A$4:$A$1177,$A75,Games!$D$4:$D$1177,"post",Games!$G$4:$G$1177,$C75,Games!$T$4:$T$1177,"&lt;&gt;")+COUNTIFS(Games!$A$4:$A$1177,$A75,Games!$D$4:$D$1177,"post",Games!$L$4:$L$1177,$C75,Games!$T$4:$T$1177,"&lt;&gt;")</x:f>
        <x:v>0</x:v>
      </x:c>
      <x:c r="L75" s="80" t="n">
        <x:f>IF(D75=0,0,K75/D75)</x:f>
        <x:v>0</x:v>
      </x:c>
      <x:c r="M75" t="str">
        <x:f>IF(AND(D75&gt;=2,K75&gt;=2,L75&gt;=75%),"YES","NO")</x:f>
        <x:v>NO</x:v>
      </x:c>
    </x:row>
    <x:row r="76">
      <x:c r="A76" t="str">
        <x:v>CFB</x:v>
      </x:c>
      <x:c r="B76" t="str">
        <x:v>Idaho State Bengals</x:v>
      </x:c>
      <x:c r="C76" t="str">
        <x:v>IDST</x:v>
      </x:c>
      <x:c r="D76" t="n">
        <x:f>COUNTIFS(Games!$A$4:$A$1177,$A76,Games!$D$4:$D$1177,"post",Games!$G$4:$G$1177,$C76)+COUNTIFS(Games!$A$4:$A$1177,$A76,Games!$D$4:$D$1177,"post",Games!$L$4:$L$1177,$C76)</x:f>
        <x:v>1</x:v>
      </x:c>
      <x:c r="E76" t="n">
        <x:f>COUNTIFS(Games!$A$4:$A$1177,$A76,Games!$G$4:$G$1177,$C76,Games!$J$4:$J$1177,"W")+COUNTIFS(Games!$A$4:$A$1177,$A76,Games!$L$4:$L$1177,$C76,Games!$O$4:$O$1177,"W")</x:f>
        <x:v>1</x:v>
      </x:c>
      <x:c r="F76" t="n">
        <x:f>COUNTIFS(Games!$A$4:$A$1177,$A76,Games!$G$4:$G$1177,$C76,Games!$J$4:$J$1177,"L")+COUNTIFS(Games!$A$4:$A$1177,$A76,Games!$L$4:$L$1177,$C76,Games!$O$4:$O$1177,"L")</x:f>
        <x:v>0</x:v>
      </x:c>
      <x:c r="G76" t="n">
        <x:f>COUNTIFS(Games!$A$4:$A$1177,$A76,Games!$G$4:$G$1177,$C76,Games!$J$4:$J$1177,"T")+COUNTIFS(Games!$A$4:$A$1177,$A76,Games!$L$4:$L$1177,$C76,Games!$O$4:$O$1177,"T")</x:f>
        <x:v>0</x:v>
      </x:c>
      <x:c r="H76" t="n">
        <x:f>SUMIFS(Games!$H$4:$H$1177,Games!$A$4:$A$1177,$A76,Games!$D$4:$D$1177,"post",Games!$G$4:$G$1177,$C76)+SUMIFS(Games!$M$4:$M$1177,Games!$A$4:$A$1177,$A76,Games!$D$4:$D$1177,"post",Games!$L$4:$L$1177,$C76)</x:f>
        <x:v>29</x:v>
      </x:c>
      <x:c r="I76" t="n">
        <x:f>SUMIFS(Games!$M$4:$M$1177,Games!$A$4:$A$1177,$A76,Games!$D$4:$D$1177,"post",Games!$G$4:$G$1177,$C76)+SUMIFS(Games!$H$4:$H$1177,Games!$A$4:$A$1177,$A76,Games!$D$4:$D$1177,"post",Games!$L$4:$L$1177,$C76)</x:f>
        <x:v>17</x:v>
      </x:c>
      <x:c r="J76" t="str">
        <x:f>E76&amp;"-"&amp;F76&amp;IF(G76&gt;0,"-"&amp;G76,"")</x:f>
        <x:v>1-0</x:v>
      </x:c>
      <x:c r="K76" t="n">
        <x:f>COUNTIFS(Games!$A$4:$A$1177,$A76,Games!$D$4:$D$1177,"post",Games!$G$4:$G$1177,$C76,Games!$T$4:$T$1177,"&lt;&gt;")+COUNTIFS(Games!$A$4:$A$1177,$A76,Games!$D$4:$D$1177,"post",Games!$L$4:$L$1177,$C76,Games!$T$4:$T$1177,"&lt;&gt;")</x:f>
        <x:v>0</x:v>
      </x:c>
      <x:c r="L76" s="80" t="n">
        <x:f>IF(D76=0,0,K76/D76)</x:f>
        <x:v>0</x:v>
      </x:c>
      <x:c r="M76" t="str">
        <x:f>IF(AND(D76&gt;=2,K76&gt;=2,L76&gt;=75%),"YES","NO")</x:f>
        <x:v>NO</x:v>
      </x:c>
    </x:row>
    <x:row r="77">
      <x:c r="A77" t="str">
        <x:v>CFB</x:v>
      </x:c>
      <x:c r="B77" t="str">
        <x:v>Idaho Vandals</x:v>
      </x:c>
      <x:c r="C77" t="str">
        <x:v>IDHO</x:v>
      </x:c>
      <x:c r="D77" t="n">
        <x:f>COUNTIFS(Games!$A$4:$A$1177,$A77,Games!$D$4:$D$1177,"post",Games!$G$4:$G$1177,$C77)+COUNTIFS(Games!$A$4:$A$1177,$A77,Games!$D$4:$D$1177,"post",Games!$L$4:$L$1177,$C77)</x:f>
        <x:v>1</x:v>
      </x:c>
      <x:c r="E77" t="n">
        <x:f>COUNTIFS(Games!$A$4:$A$1177,$A77,Games!$G$4:$G$1177,$C77,Games!$J$4:$J$1177,"W")+COUNTIFS(Games!$A$4:$A$1177,$A77,Games!$L$4:$L$1177,$C77,Games!$O$4:$O$1177,"W")</x:f>
        <x:v>0</x:v>
      </x:c>
      <x:c r="F77" t="n">
        <x:f>COUNTIFS(Games!$A$4:$A$1177,$A77,Games!$G$4:$G$1177,$C77,Games!$J$4:$J$1177,"L")+COUNTIFS(Games!$A$4:$A$1177,$A77,Games!$L$4:$L$1177,$C77,Games!$O$4:$O$1177,"L")</x:f>
        <x:v>1</x:v>
      </x:c>
      <x:c r="G77" t="n">
        <x:f>COUNTIFS(Games!$A$4:$A$1177,$A77,Games!$G$4:$G$1177,$C77,Games!$J$4:$J$1177,"T")+COUNTIFS(Games!$A$4:$A$1177,$A77,Games!$L$4:$L$1177,$C77,Games!$O$4:$O$1177,"T")</x:f>
        <x:v>0</x:v>
      </x:c>
      <x:c r="H77" t="n">
        <x:f>SUMIFS(Games!$H$4:$H$1177,Games!$A$4:$A$1177,$A77,Games!$D$4:$D$1177,"post",Games!$G$4:$G$1177,$C77)+SUMIFS(Games!$M$4:$M$1177,Games!$A$4:$A$1177,$A77,Games!$D$4:$D$1177,"post",Games!$L$4:$L$1177,$C77)</x:f>
        <x:v>14</x:v>
      </x:c>
      <x:c r="I77" t="n">
        <x:f>SUMIFS(Games!$M$4:$M$1177,Games!$A$4:$A$1177,$A77,Games!$D$4:$D$1177,"post",Games!$G$4:$G$1177,$C77)+SUMIFS(Games!$H$4:$H$1177,Games!$A$4:$A$1177,$A77,Games!$D$4:$D$1177,"post",Games!$L$4:$L$1177,$C77)</x:f>
        <x:v>66</x:v>
      </x:c>
      <x:c r="J77" t="str">
        <x:f>E77&amp;"-"&amp;F77&amp;IF(G77&gt;0,"-"&amp;G77,"")</x:f>
        <x:v>0-1</x:v>
      </x:c>
      <x:c r="K77" t="n">
        <x:f>COUNTIFS(Games!$A$4:$A$1177,$A77,Games!$D$4:$D$1177,"post",Games!$G$4:$G$1177,$C77,Games!$T$4:$T$1177,"&lt;&gt;")+COUNTIFS(Games!$A$4:$A$1177,$A77,Games!$D$4:$D$1177,"post",Games!$L$4:$L$1177,$C77,Games!$T$4:$T$1177,"&lt;&gt;")</x:f>
        <x:v>0</x:v>
      </x:c>
      <x:c r="L77" s="80" t="n">
        <x:f>IF(D77=0,0,K77/D77)</x:f>
        <x:v>0</x:v>
      </x:c>
      <x:c r="M77" t="str">
        <x:f>IF(AND(D77&gt;=2,K77&gt;=2,L77&gt;=75%),"YES","NO")</x:f>
        <x:v>NO</x:v>
      </x:c>
    </x:row>
    <x:row r="78">
      <x:c r="A78" t="str">
        <x:v>CFB</x:v>
      </x:c>
      <x:c r="B78" t="str">
        <x:v>Illinois Fighting Illini</x:v>
      </x:c>
      <x:c r="C78" t="str">
        <x:v>ILL</x:v>
      </x:c>
      <x:c r="D78" t="n">
        <x:f>COUNTIFS(Games!$A$4:$A$1177,$A78,Games!$D$4:$D$1177,"post",Games!$G$4:$G$1177,$C78)+COUNTIFS(Games!$A$4:$A$1177,$A78,Games!$D$4:$D$1177,"post",Games!$L$4:$L$1177,$C78)</x:f>
        <x:v>3</x:v>
      </x:c>
      <x:c r="E78" t="n">
        <x:f>COUNTIFS(Games!$A$4:$A$1177,$A78,Games!$G$4:$G$1177,$C78,Games!$J$4:$J$1177,"W")+COUNTIFS(Games!$A$4:$A$1177,$A78,Games!$L$4:$L$1177,$C78,Games!$O$4:$O$1177,"W")</x:f>
        <x:v>2</x:v>
      </x:c>
      <x:c r="F78" t="n">
        <x:f>COUNTIFS(Games!$A$4:$A$1177,$A78,Games!$G$4:$G$1177,$C78,Games!$J$4:$J$1177,"L")+COUNTIFS(Games!$A$4:$A$1177,$A78,Games!$L$4:$L$1177,$C78,Games!$O$4:$O$1177,"L")</x:f>
        <x:v>1</x:v>
      </x:c>
      <x:c r="G78" t="n">
        <x:f>COUNTIFS(Games!$A$4:$A$1177,$A78,Games!$G$4:$G$1177,$C78,Games!$J$4:$J$1177,"T")+COUNTIFS(Games!$A$4:$A$1177,$A78,Games!$L$4:$L$1177,$C78,Games!$O$4:$O$1177,"T")</x:f>
        <x:v>0</x:v>
      </x:c>
      <x:c r="H78" t="n">
        <x:f>SUMIFS(Games!$H$4:$H$1177,Games!$A$4:$A$1177,$A78,Games!$D$4:$D$1177,"post",Games!$G$4:$G$1177,$C78)+SUMIFS(Games!$M$4:$M$1177,Games!$A$4:$A$1177,$A78,Games!$D$4:$D$1177,"post",Games!$L$4:$L$1177,$C78)</x:f>
        <x:v>117</x:v>
      </x:c>
      <x:c r="I78" t="n">
        <x:f>SUMIFS(Games!$M$4:$M$1177,Games!$A$4:$A$1177,$A78,Games!$D$4:$D$1177,"post",Games!$G$4:$G$1177,$C78)+SUMIFS(Games!$H$4:$H$1177,Games!$A$4:$A$1177,$A78,Games!$D$4:$D$1177,"post",Games!$L$4:$L$1177,$C78)</x:f>
        <x:v>64</x:v>
      </x:c>
      <x:c r="J78" t="str">
        <x:f>E78&amp;"-"&amp;F78&amp;IF(G78&gt;0,"-"&amp;G78,"")</x:f>
        <x:v>2-1</x:v>
      </x:c>
      <x:c r="K78" t="n">
        <x:f>COUNTIFS(Games!$A$4:$A$1177,$A78,Games!$D$4:$D$1177,"post",Games!$G$4:$G$1177,$C78,Games!$T$4:$T$1177,"&lt;&gt;")+COUNTIFS(Games!$A$4:$A$1177,$A78,Games!$D$4:$D$1177,"post",Games!$L$4:$L$1177,$C78,Games!$T$4:$T$1177,"&lt;&gt;")</x:f>
        <x:v>0</x:v>
      </x:c>
      <x:c r="L78" s="80" t="n">
        <x:f>IF(D78=0,0,K78/D78)</x:f>
        <x:v>0</x:v>
      </x:c>
      <x:c r="M78" t="str">
        <x:f>IF(AND(D78&gt;=2,K78&gt;=2,L78&gt;=75%),"YES","NO")</x:f>
        <x:v>NO</x:v>
      </x:c>
    </x:row>
    <x:row r="79">
      <x:c r="A79" t="str">
        <x:v>CFB</x:v>
      </x:c>
      <x:c r="B79" t="str">
        <x:v>Illinois State Redbirds</x:v>
      </x:c>
      <x:c r="C79" t="str">
        <x:v>ILST</x:v>
      </x:c>
      <x:c r="D79" t="n">
        <x:f>COUNTIFS(Games!$A$4:$A$1177,$A79,Games!$D$4:$D$1177,"post",Games!$G$4:$G$1177,$C79)+COUNTIFS(Games!$A$4:$A$1177,$A79,Games!$D$4:$D$1177,"post",Games!$L$4:$L$1177,$C79)</x:f>
        <x:v>1</x:v>
      </x:c>
      <x:c r="E79" t="n">
        <x:f>COUNTIFS(Games!$A$4:$A$1177,$A79,Games!$G$4:$G$1177,$C79,Games!$J$4:$J$1177,"W")+COUNTIFS(Games!$A$4:$A$1177,$A79,Games!$L$4:$L$1177,$C79,Games!$O$4:$O$1177,"W")</x:f>
        <x:v>1</x:v>
      </x:c>
      <x:c r="F79" t="n">
        <x:f>COUNTIFS(Games!$A$4:$A$1177,$A79,Games!$G$4:$G$1177,$C79,Games!$J$4:$J$1177,"L")+COUNTIFS(Games!$A$4:$A$1177,$A79,Games!$L$4:$L$1177,$C79,Games!$O$4:$O$1177,"L")</x:f>
        <x:v>0</x:v>
      </x:c>
      <x:c r="G79" t="n">
        <x:f>COUNTIFS(Games!$A$4:$A$1177,$A79,Games!$G$4:$G$1177,$C79,Games!$J$4:$J$1177,"T")+COUNTIFS(Games!$A$4:$A$1177,$A79,Games!$L$4:$L$1177,$C79,Games!$O$4:$O$1177,"T")</x:f>
        <x:v>0</x:v>
      </x:c>
      <x:c r="H79" t="n">
        <x:f>SUMIFS(Games!$H$4:$H$1177,Games!$A$4:$A$1177,$A79,Games!$D$4:$D$1177,"post",Games!$G$4:$G$1177,$C79)+SUMIFS(Games!$M$4:$M$1177,Games!$A$4:$A$1177,$A79,Games!$D$4:$D$1177,"post",Games!$L$4:$L$1177,$C79)</x:f>
        <x:v>28</x:v>
      </x:c>
      <x:c r="I79" t="n">
        <x:f>SUMIFS(Games!$M$4:$M$1177,Games!$A$4:$A$1177,$A79,Games!$D$4:$D$1177,"post",Games!$G$4:$G$1177,$C79)+SUMIFS(Games!$H$4:$H$1177,Games!$A$4:$A$1177,$A79,Games!$D$4:$D$1177,"post",Games!$L$4:$L$1177,$C79)</x:f>
        <x:v>24</x:v>
      </x:c>
      <x:c r="J79" t="str">
        <x:f>E79&amp;"-"&amp;F79&amp;IF(G79&gt;0,"-"&amp;G79,"")</x:f>
        <x:v>1-0</x:v>
      </x:c>
      <x:c r="K79" t="n">
        <x:f>COUNTIFS(Games!$A$4:$A$1177,$A79,Games!$D$4:$D$1177,"post",Games!$G$4:$G$1177,$C79,Games!$T$4:$T$1177,"&lt;&gt;")+COUNTIFS(Games!$A$4:$A$1177,$A79,Games!$D$4:$D$1177,"post",Games!$L$4:$L$1177,$C79,Games!$T$4:$T$1177,"&lt;&gt;")</x:f>
        <x:v>0</x:v>
      </x:c>
      <x:c r="L79" s="80" t="n">
        <x:f>IF(D79=0,0,K79/D79)</x:f>
        <x:v>0</x:v>
      </x:c>
      <x:c r="M79" t="str">
        <x:f>IF(AND(D79&gt;=2,K79&gt;=2,L79&gt;=75%),"YES","NO")</x:f>
        <x:v>NO</x:v>
      </x:c>
    </x:row>
    <x:row r="80">
      <x:c r="A80" t="str">
        <x:v>CFB</x:v>
      </x:c>
      <x:c r="B80" t="str">
        <x:v>Incarnate Word Cardinals</x:v>
      </x:c>
      <x:c r="C80" t="str">
        <x:v>UIW</x:v>
      </x:c>
      <x:c r="D80" t="n">
        <x:f>COUNTIFS(Games!$A$4:$A$1177,$A80,Games!$D$4:$D$1177,"post",Games!$G$4:$G$1177,$C80)+COUNTIFS(Games!$A$4:$A$1177,$A80,Games!$D$4:$D$1177,"post",Games!$L$4:$L$1177,$C80)</x:f>
        <x:v>0</x:v>
      </x:c>
      <x:c r="E80" t="n">
        <x:f>COUNTIFS(Games!$A$4:$A$1177,$A80,Games!$G$4:$G$1177,$C80,Games!$J$4:$J$1177,"W")+COUNTIFS(Games!$A$4:$A$1177,$A80,Games!$L$4:$L$1177,$C80,Games!$O$4:$O$1177,"W")</x:f>
        <x:v>0</x:v>
      </x:c>
      <x:c r="F80" t="n">
        <x:f>COUNTIFS(Games!$A$4:$A$1177,$A80,Games!$G$4:$G$1177,$C80,Games!$J$4:$J$1177,"L")+COUNTIFS(Games!$A$4:$A$1177,$A80,Games!$L$4:$L$1177,$C80,Games!$O$4:$O$1177,"L")</x:f>
        <x:v>0</x:v>
      </x:c>
      <x:c r="G80" t="n">
        <x:f>COUNTIFS(Games!$A$4:$A$1177,$A80,Games!$G$4:$G$1177,$C80,Games!$J$4:$J$1177,"T")+COUNTIFS(Games!$A$4:$A$1177,$A80,Games!$L$4:$L$1177,$C80,Games!$O$4:$O$1177,"T")</x:f>
        <x:v>0</x:v>
      </x:c>
      <x:c r="H80" t="n">
        <x:f>SUMIFS(Games!$H$4:$H$1177,Games!$A$4:$A$1177,$A80,Games!$D$4:$D$1177,"post",Games!$G$4:$G$1177,$C80)+SUMIFS(Games!$M$4:$M$1177,Games!$A$4:$A$1177,$A80,Games!$D$4:$D$1177,"post",Games!$L$4:$L$1177,$C80)</x:f>
        <x:v>0</x:v>
      </x:c>
      <x:c r="I80" t="n">
        <x:f>SUMIFS(Games!$M$4:$M$1177,Games!$A$4:$A$1177,$A80,Games!$D$4:$D$1177,"post",Games!$G$4:$G$1177,$C80)+SUMIFS(Games!$H$4:$H$1177,Games!$A$4:$A$1177,$A80,Games!$D$4:$D$1177,"post",Games!$L$4:$L$1177,$C80)</x:f>
        <x:v>0</x:v>
      </x:c>
      <x:c r="J80" t="str">
        <x:f>E80&amp;"-"&amp;F80&amp;IF(G80&gt;0,"-"&amp;G80,"")</x:f>
        <x:v>0-0</x:v>
      </x:c>
      <x:c r="K80" t="n">
        <x:f>COUNTIFS(Games!$A$4:$A$1177,$A80,Games!$D$4:$D$1177,"post",Games!$G$4:$G$1177,$C80,Games!$T$4:$T$1177,"&lt;&gt;")+COUNTIFS(Games!$A$4:$A$1177,$A80,Games!$D$4:$D$1177,"post",Games!$L$4:$L$1177,$C80,Games!$T$4:$T$1177,"&lt;&gt;")</x:f>
        <x:v>0</x:v>
      </x:c>
      <x:c r="L80" s="80" t="n">
        <x:f>IF(D80=0,0,K80/D80)</x:f>
        <x:v>0</x:v>
      </x:c>
      <x:c r="M80" t="str">
        <x:f>IF(AND(D80&gt;=2,K80&gt;=2,L80&gt;=75%),"YES","NO")</x:f>
        <x:v>NO</x:v>
      </x:c>
    </x:row>
    <x:row r="81">
      <x:c r="A81" t="str">
        <x:v>CFB</x:v>
      </x:c>
      <x:c r="B81" t="str">
        <x:v>Indiana Hoosiers</x:v>
      </x:c>
      <x:c r="C81" t="str">
        <x:v>IU</x:v>
      </x:c>
      <x:c r="D81" t="n">
        <x:f>COUNTIFS(Games!$A$4:$A$1177,$A81,Games!$D$4:$D$1177,"post",Games!$G$4:$G$1177,$C81)+COUNTIFS(Games!$A$4:$A$1177,$A81,Games!$D$4:$D$1177,"post",Games!$L$4:$L$1177,$C81)</x:f>
        <x:v>3</x:v>
      </x:c>
      <x:c r="E81" t="n">
        <x:f>COUNTIFS(Games!$A$4:$A$1177,$A81,Games!$G$4:$G$1177,$C81,Games!$J$4:$J$1177,"W")+COUNTIFS(Games!$A$4:$A$1177,$A81,Games!$L$4:$L$1177,$C81,Games!$O$4:$O$1177,"W")</x:f>
        <x:v>3</x:v>
      </x:c>
      <x:c r="F81" t="n">
        <x:f>COUNTIFS(Games!$A$4:$A$1177,$A81,Games!$G$4:$G$1177,$C81,Games!$J$4:$J$1177,"L")+COUNTIFS(Games!$A$4:$A$1177,$A81,Games!$L$4:$L$1177,$C81,Games!$O$4:$O$1177,"L")</x:f>
        <x:v>0</x:v>
      </x:c>
      <x:c r="G81" t="n">
        <x:f>COUNTIFS(Games!$A$4:$A$1177,$A81,Games!$G$4:$G$1177,$C81,Games!$J$4:$J$1177,"T")+COUNTIFS(Games!$A$4:$A$1177,$A81,Games!$L$4:$L$1177,$C81,Games!$O$4:$O$1177,"T")</x:f>
        <x:v>0</x:v>
      </x:c>
      <x:c r="H81" t="n">
        <x:f>SUMIFS(Games!$H$4:$H$1177,Games!$A$4:$A$1177,$A81,Games!$D$4:$D$1177,"post",Games!$G$4:$G$1177,$C81)+SUMIFS(Games!$M$4:$M$1177,Games!$A$4:$A$1177,$A81,Games!$D$4:$D$1177,"post",Games!$L$4:$L$1177,$C81)</x:f>
        <x:v>145</x:v>
      </x:c>
      <x:c r="I81" t="n">
        <x:f>SUMIFS(Games!$M$4:$M$1177,Games!$A$4:$A$1177,$A81,Games!$D$4:$D$1177,"post",Games!$G$4:$G$1177,$C81)+SUMIFS(Games!$H$4:$H$1177,Games!$A$4:$A$1177,$A81,Games!$D$4:$D$1177,"post",Games!$L$4:$L$1177,$C81)</x:f>
        <x:v>16</x:v>
      </x:c>
      <x:c r="J81" t="str">
        <x:f>E81&amp;"-"&amp;F81&amp;IF(G81&gt;0,"-"&amp;G81,"")</x:f>
        <x:v>3-0</x:v>
      </x:c>
      <x:c r="K81" t="n">
        <x:f>COUNTIFS(Games!$A$4:$A$1177,$A81,Games!$D$4:$D$1177,"post",Games!$G$4:$G$1177,$C81,Games!$T$4:$T$1177,"&lt;&gt;")+COUNTIFS(Games!$A$4:$A$1177,$A81,Games!$D$4:$D$1177,"post",Games!$L$4:$L$1177,$C81,Games!$T$4:$T$1177,"&lt;&gt;")</x:f>
        <x:v>0</x:v>
      </x:c>
      <x:c r="L81" s="80" t="n">
        <x:f>IF(D81=0,0,K81/D81)</x:f>
        <x:v>0</x:v>
      </x:c>
      <x:c r="M81" t="str">
        <x:f>IF(AND(D81&gt;=2,K81&gt;=2,L81&gt;=75%),"YES","NO")</x:f>
        <x:v>NO</x:v>
      </x:c>
    </x:row>
    <x:row r="82">
      <x:c r="A82" t="str">
        <x:v>CFB</x:v>
      </x:c>
      <x:c r="B82" t="str">
        <x:v>Indiana State Sycamores</x:v>
      </x:c>
      <x:c r="C82" t="str">
        <x:v>INST</x:v>
      </x:c>
      <x:c r="D82" t="n">
        <x:f>COUNTIFS(Games!$A$4:$A$1177,$A82,Games!$D$4:$D$1177,"post",Games!$G$4:$G$1177,$C82)+COUNTIFS(Games!$A$4:$A$1177,$A82,Games!$D$4:$D$1177,"post",Games!$L$4:$L$1177,$C82)</x:f>
        <x:v>1</x:v>
      </x:c>
      <x:c r="E82" t="n">
        <x:f>COUNTIFS(Games!$A$4:$A$1177,$A82,Games!$G$4:$G$1177,$C82,Games!$J$4:$J$1177,"W")+COUNTIFS(Games!$A$4:$A$1177,$A82,Games!$L$4:$L$1177,$C82,Games!$O$4:$O$1177,"W")</x:f>
        <x:v>0</x:v>
      </x:c>
      <x:c r="F82" t="n">
        <x:f>COUNTIFS(Games!$A$4:$A$1177,$A82,Games!$G$4:$G$1177,$C82,Games!$J$4:$J$1177,"L")+COUNTIFS(Games!$A$4:$A$1177,$A82,Games!$L$4:$L$1177,$C82,Games!$O$4:$O$1177,"L")</x:f>
        <x:v>1</x:v>
      </x:c>
      <x:c r="G82" t="n">
        <x:f>COUNTIFS(Games!$A$4:$A$1177,$A82,Games!$G$4:$G$1177,$C82,Games!$J$4:$J$1177,"T")+COUNTIFS(Games!$A$4:$A$1177,$A82,Games!$L$4:$L$1177,$C82,Games!$O$4:$O$1177,"T")</x:f>
        <x:v>0</x:v>
      </x:c>
      <x:c r="H82" t="n">
        <x:f>SUMIFS(Games!$H$4:$H$1177,Games!$A$4:$A$1177,$A82,Games!$D$4:$D$1177,"post",Games!$G$4:$G$1177,$C82)+SUMIFS(Games!$M$4:$M$1177,Games!$A$4:$A$1177,$A82,Games!$D$4:$D$1177,"post",Games!$L$4:$L$1177,$C82)</x:f>
        <x:v>19</x:v>
      </x:c>
      <x:c r="I82" t="n">
        <x:f>SUMIFS(Games!$M$4:$M$1177,Games!$A$4:$A$1177,$A82,Games!$D$4:$D$1177,"post",Games!$G$4:$G$1177,$C82)+SUMIFS(Games!$H$4:$H$1177,Games!$A$4:$A$1177,$A82,Games!$D$4:$D$1177,"post",Games!$L$4:$L$1177,$C82)</x:f>
        <x:v>44</x:v>
      </x:c>
      <x:c r="J82" t="str">
        <x:f>E82&amp;"-"&amp;F82&amp;IF(G82&gt;0,"-"&amp;G82,"")</x:f>
        <x:v>0-1</x:v>
      </x:c>
      <x:c r="K82" t="n">
        <x:f>COUNTIFS(Games!$A$4:$A$1177,$A82,Games!$D$4:$D$1177,"post",Games!$G$4:$G$1177,$C82,Games!$T$4:$T$1177,"&lt;&gt;")+COUNTIFS(Games!$A$4:$A$1177,$A82,Games!$D$4:$D$1177,"post",Games!$L$4:$L$1177,$C82,Games!$T$4:$T$1177,"&lt;&gt;")</x:f>
        <x:v>0</x:v>
      </x:c>
      <x:c r="L82" s="80" t="n">
        <x:f>IF(D82=0,0,K82/D82)</x:f>
        <x:v>0</x:v>
      </x:c>
      <x:c r="M82" t="str">
        <x:f>IF(AND(D82&gt;=2,K82&gt;=2,L82&gt;=75%),"YES","NO")</x:f>
        <x:v>NO</x:v>
      </x:c>
    </x:row>
    <x:row r="83">
      <x:c r="A83" t="str">
        <x:v>CFB</x:v>
      </x:c>
      <x:c r="B83" t="str">
        <x:v>Iowa Hawkeyes</x:v>
      </x:c>
      <x:c r="C83" t="str">
        <x:v>IOWA</x:v>
      </x:c>
      <x:c r="D83" t="n">
        <x:f>COUNTIFS(Games!$A$4:$A$1177,$A83,Games!$D$4:$D$1177,"post",Games!$G$4:$G$1177,$C83)+COUNTIFS(Games!$A$4:$A$1177,$A83,Games!$D$4:$D$1177,"post",Games!$L$4:$L$1177,$C83)</x:f>
        <x:v>3</x:v>
      </x:c>
      <x:c r="E83" t="n">
        <x:f>COUNTIFS(Games!$A$4:$A$1177,$A83,Games!$G$4:$G$1177,$C83,Games!$J$4:$J$1177,"W")+COUNTIFS(Games!$A$4:$A$1177,$A83,Games!$L$4:$L$1177,$C83,Games!$O$4:$O$1177,"W")</x:f>
        <x:v>3</x:v>
      </x:c>
      <x:c r="F83" t="n">
        <x:f>COUNTIFS(Games!$A$4:$A$1177,$A83,Games!$G$4:$G$1177,$C83,Games!$J$4:$J$1177,"L")+COUNTIFS(Games!$A$4:$A$1177,$A83,Games!$L$4:$L$1177,$C83,Games!$O$4:$O$1177,"L")</x:f>
        <x:v>0</x:v>
      </x:c>
      <x:c r="G83" t="n">
        <x:f>COUNTIFS(Games!$A$4:$A$1177,$A83,Games!$G$4:$G$1177,$C83,Games!$J$4:$J$1177,"T")+COUNTIFS(Games!$A$4:$A$1177,$A83,Games!$L$4:$L$1177,$C83,Games!$O$4:$O$1177,"T")</x:f>
        <x:v>0</x:v>
      </x:c>
      <x:c r="H83" t="n">
        <x:f>SUMIFS(Games!$H$4:$H$1177,Games!$A$4:$A$1177,$A83,Games!$D$4:$D$1177,"post",Games!$G$4:$G$1177,$C83)+SUMIFS(Games!$M$4:$M$1177,Games!$A$4:$A$1177,$A83,Games!$D$4:$D$1177,"post",Games!$L$4:$L$1177,$C83)</x:f>
        <x:v>111</x:v>
      </x:c>
      <x:c r="I83" t="n">
        <x:f>SUMIFS(Games!$M$4:$M$1177,Games!$A$4:$A$1177,$A83,Games!$D$4:$D$1177,"post",Games!$G$4:$G$1177,$C83)+SUMIFS(Games!$H$4:$H$1177,Games!$A$4:$A$1177,$A83,Games!$D$4:$D$1177,"post",Games!$L$4:$L$1177,$C83)</x:f>
        <x:v>13</x:v>
      </x:c>
      <x:c r="J83" t="str">
        <x:f>E83&amp;"-"&amp;F83&amp;IF(G83&gt;0,"-"&amp;G83,"")</x:f>
        <x:v>3-0</x:v>
      </x:c>
      <x:c r="K83" t="n">
        <x:f>COUNTIFS(Games!$A$4:$A$1177,$A83,Games!$D$4:$D$1177,"post",Games!$G$4:$G$1177,$C83,Games!$T$4:$T$1177,"&lt;&gt;")+COUNTIFS(Games!$A$4:$A$1177,$A83,Games!$D$4:$D$1177,"post",Games!$L$4:$L$1177,$C83,Games!$T$4:$T$1177,"&lt;&gt;")</x:f>
        <x:v>0</x:v>
      </x:c>
      <x:c r="L83" s="80" t="n">
        <x:f>IF(D83=0,0,K83/D83)</x:f>
        <x:v>0</x:v>
      </x:c>
      <x:c r="M83" t="str">
        <x:f>IF(AND(D83&gt;=2,K83&gt;=2,L83&gt;=75%),"YES","NO")</x:f>
        <x:v>NO</x:v>
      </x:c>
    </x:row>
    <x:row r="84">
      <x:c r="A84" t="str">
        <x:v>CFB</x:v>
      </x:c>
      <x:c r="B84" t="str">
        <x:v>Iowa State Cyclones</x:v>
      </x:c>
      <x:c r="C84" t="str">
        <x:v>ISU</x:v>
      </x:c>
      <x:c r="D84" t="n">
        <x:f>COUNTIFS(Games!$A$4:$A$1177,$A84,Games!$D$4:$D$1177,"post",Games!$G$4:$G$1177,$C84)+COUNTIFS(Games!$A$4:$A$1177,$A84,Games!$D$4:$D$1177,"post",Games!$L$4:$L$1177,$C84)</x:f>
        <x:v>3</x:v>
      </x:c>
      <x:c r="E84" t="n">
        <x:f>COUNTIFS(Games!$A$4:$A$1177,$A84,Games!$G$4:$G$1177,$C84,Games!$J$4:$J$1177,"W")+COUNTIFS(Games!$A$4:$A$1177,$A84,Games!$L$4:$L$1177,$C84,Games!$O$4:$O$1177,"W")</x:f>
        <x:v>2</x:v>
      </x:c>
      <x:c r="F84" t="n">
        <x:f>COUNTIFS(Games!$A$4:$A$1177,$A84,Games!$G$4:$G$1177,$C84,Games!$J$4:$J$1177,"L")+COUNTIFS(Games!$A$4:$A$1177,$A84,Games!$L$4:$L$1177,$C84,Games!$O$4:$O$1177,"L")</x:f>
        <x:v>1</x:v>
      </x:c>
      <x:c r="G84" t="n">
        <x:f>COUNTIFS(Games!$A$4:$A$1177,$A84,Games!$G$4:$G$1177,$C84,Games!$J$4:$J$1177,"T")+COUNTIFS(Games!$A$4:$A$1177,$A84,Games!$L$4:$L$1177,$C84,Games!$O$4:$O$1177,"T")</x:f>
        <x:v>0</x:v>
      </x:c>
      <x:c r="H84" t="n">
        <x:f>SUMIFS(Games!$H$4:$H$1177,Games!$A$4:$A$1177,$A84,Games!$D$4:$D$1177,"post",Games!$G$4:$G$1177,$C84)+SUMIFS(Games!$M$4:$M$1177,Games!$A$4:$A$1177,$A84,Games!$D$4:$D$1177,"post",Games!$L$4:$L$1177,$C84)</x:f>
        <x:v>106</x:v>
      </x:c>
      <x:c r="I84" t="n">
        <x:f>SUMIFS(Games!$M$4:$M$1177,Games!$A$4:$A$1177,$A84,Games!$D$4:$D$1177,"post",Games!$G$4:$G$1177,$C84)+SUMIFS(Games!$H$4:$H$1177,Games!$A$4:$A$1177,$A84,Games!$D$4:$D$1177,"post",Games!$L$4:$L$1177,$C84)</x:f>
        <x:v>33</x:v>
      </x:c>
      <x:c r="J84" t="str">
        <x:f>E84&amp;"-"&amp;F84&amp;IF(G84&gt;0,"-"&amp;G84,"")</x:f>
        <x:v>2-1</x:v>
      </x:c>
      <x:c r="K84" t="n">
        <x:f>COUNTIFS(Games!$A$4:$A$1177,$A84,Games!$D$4:$D$1177,"post",Games!$G$4:$G$1177,$C84,Games!$T$4:$T$1177,"&lt;&gt;")+COUNTIFS(Games!$A$4:$A$1177,$A84,Games!$D$4:$D$1177,"post",Games!$L$4:$L$1177,$C84,Games!$T$4:$T$1177,"&lt;&gt;")</x:f>
        <x:v>0</x:v>
      </x:c>
      <x:c r="L84" s="80" t="n">
        <x:f>IF(D84=0,0,K84/D84)</x:f>
        <x:v>0</x:v>
      </x:c>
      <x:c r="M84" t="str">
        <x:f>IF(AND(D84&gt;=2,K84&gt;=2,L84&gt;=75%),"YES","NO")</x:f>
        <x:v>NO</x:v>
      </x:c>
    </x:row>
    <x:row r="85">
      <x:c r="A85" t="str">
        <x:v>CFB</x:v>
      </x:c>
      <x:c r="B85" t="str">
        <x:v>Jacksonville State Gamecocks</x:v>
      </x:c>
      <x:c r="C85" t="str">
        <x:v>JXST</x:v>
      </x:c>
      <x:c r="D85" t="n">
        <x:f>COUNTIFS(Games!$A$4:$A$1177,$A85,Games!$D$4:$D$1177,"post",Games!$G$4:$G$1177,$C85)+COUNTIFS(Games!$A$4:$A$1177,$A85,Games!$D$4:$D$1177,"post",Games!$L$4:$L$1177,$C85)</x:f>
        <x:v>4</x:v>
      </x:c>
      <x:c r="E85" t="n">
        <x:f>COUNTIFS(Games!$A$4:$A$1177,$A85,Games!$G$4:$G$1177,$C85,Games!$J$4:$J$1177,"W")+COUNTIFS(Games!$A$4:$A$1177,$A85,Games!$L$4:$L$1177,$C85,Games!$O$4:$O$1177,"W")</x:f>
        <x:v>2</x:v>
      </x:c>
      <x:c r="F85" t="n">
        <x:f>COUNTIFS(Games!$A$4:$A$1177,$A85,Games!$G$4:$G$1177,$C85,Games!$J$4:$J$1177,"L")+COUNTIFS(Games!$A$4:$A$1177,$A85,Games!$L$4:$L$1177,$C85,Games!$O$4:$O$1177,"L")</x:f>
        <x:v>2</x:v>
      </x:c>
      <x:c r="G85" t="n">
        <x:f>COUNTIFS(Games!$A$4:$A$1177,$A85,Games!$G$4:$G$1177,$C85,Games!$J$4:$J$1177,"T")+COUNTIFS(Games!$A$4:$A$1177,$A85,Games!$L$4:$L$1177,$C85,Games!$O$4:$O$1177,"T")</x:f>
        <x:v>0</x:v>
      </x:c>
      <x:c r="H85" t="n">
        <x:f>SUMIFS(Games!$H$4:$H$1177,Games!$A$4:$A$1177,$A85,Games!$D$4:$D$1177,"post",Games!$G$4:$G$1177,$C85)+SUMIFS(Games!$M$4:$M$1177,Games!$A$4:$A$1177,$A85,Games!$D$4:$D$1177,"post",Games!$L$4:$L$1177,$C85)</x:f>
        <x:v>114</x:v>
      </x:c>
      <x:c r="I85" t="n">
        <x:f>SUMIFS(Games!$M$4:$M$1177,Games!$A$4:$A$1177,$A85,Games!$D$4:$D$1177,"post",Games!$G$4:$G$1177,$C85)+SUMIFS(Games!$H$4:$H$1177,Games!$A$4:$A$1177,$A85,Games!$D$4:$D$1177,"post",Games!$L$4:$L$1177,$C85)</x:f>
        <x:v>96</x:v>
      </x:c>
      <x:c r="J85" t="str">
        <x:f>E85&amp;"-"&amp;F85&amp;IF(G85&gt;0,"-"&amp;G85,"")</x:f>
        <x:v>2-2</x:v>
      </x:c>
      <x:c r="K85" t="n">
        <x:f>COUNTIFS(Games!$A$4:$A$1177,$A85,Games!$D$4:$D$1177,"post",Games!$G$4:$G$1177,$C85,Games!$T$4:$T$1177,"&lt;&gt;")+COUNTIFS(Games!$A$4:$A$1177,$A85,Games!$D$4:$D$1177,"post",Games!$L$4:$L$1177,$C85,Games!$T$4:$T$1177,"&lt;&gt;")</x:f>
        <x:v>0</x:v>
      </x:c>
      <x:c r="L85" s="80" t="n">
        <x:f>IF(D85=0,0,K85/D85)</x:f>
        <x:v>0</x:v>
      </x:c>
      <x:c r="M85" t="str">
        <x:f>IF(AND(D85&gt;=2,K85&gt;=2,L85&gt;=75%),"YES","NO")</x:f>
        <x:v>NO</x:v>
      </x:c>
    </x:row>
    <x:row r="86">
      <x:c r="A86" t="str">
        <x:v>CFB</x:v>
      </x:c>
      <x:c r="B86" t="str">
        <x:v>James Madison Dukes</x:v>
      </x:c>
      <x:c r="C86" t="str">
        <x:v>JMU</x:v>
      </x:c>
      <x:c r="D86" t="n">
        <x:f>COUNTIFS(Games!$A$4:$A$1177,$A86,Games!$D$4:$D$1177,"post",Games!$G$4:$G$1177,$C86)+COUNTIFS(Games!$A$4:$A$1177,$A86,Games!$D$4:$D$1177,"post",Games!$L$4:$L$1177,$C86)</x:f>
        <x:v>3</x:v>
      </x:c>
      <x:c r="E86" t="n">
        <x:f>COUNTIFS(Games!$A$4:$A$1177,$A86,Games!$G$4:$G$1177,$C86,Games!$J$4:$J$1177,"W")+COUNTIFS(Games!$A$4:$A$1177,$A86,Games!$L$4:$L$1177,$C86,Games!$O$4:$O$1177,"W")</x:f>
        <x:v>3</x:v>
      </x:c>
      <x:c r="F86" t="n">
        <x:f>COUNTIFS(Games!$A$4:$A$1177,$A86,Games!$G$4:$G$1177,$C86,Games!$J$4:$J$1177,"L")+COUNTIFS(Games!$A$4:$A$1177,$A86,Games!$L$4:$L$1177,$C86,Games!$O$4:$O$1177,"L")</x:f>
        <x:v>0</x:v>
      </x:c>
      <x:c r="G86" t="n">
        <x:f>COUNTIFS(Games!$A$4:$A$1177,$A86,Games!$G$4:$G$1177,$C86,Games!$J$4:$J$1177,"T")+COUNTIFS(Games!$A$4:$A$1177,$A86,Games!$L$4:$L$1177,$C86,Games!$O$4:$O$1177,"T")</x:f>
        <x:v>0</x:v>
      </x:c>
      <x:c r="H86" t="n">
        <x:f>SUMIFS(Games!$H$4:$H$1177,Games!$A$4:$A$1177,$A86,Games!$D$4:$D$1177,"post",Games!$G$4:$G$1177,$C86)+SUMIFS(Games!$M$4:$M$1177,Games!$A$4:$A$1177,$A86,Games!$D$4:$D$1177,"post",Games!$L$4:$L$1177,$C86)</x:f>
        <x:v>133</x:v>
      </x:c>
      <x:c r="I86" t="n">
        <x:f>SUMIFS(Games!$M$4:$M$1177,Games!$A$4:$A$1177,$A86,Games!$D$4:$D$1177,"post",Games!$G$4:$G$1177,$C86)+SUMIFS(Games!$H$4:$H$1177,Games!$A$4:$A$1177,$A86,Games!$D$4:$D$1177,"post",Games!$L$4:$L$1177,$C86)</x:f>
        <x:v>29</x:v>
      </x:c>
      <x:c r="J86" t="str">
        <x:f>E86&amp;"-"&amp;F86&amp;IF(G86&gt;0,"-"&amp;G86,"")</x:f>
        <x:v>3-0</x:v>
      </x:c>
      <x:c r="K86" t="n">
        <x:f>COUNTIFS(Games!$A$4:$A$1177,$A86,Games!$D$4:$D$1177,"post",Games!$G$4:$G$1177,$C86,Games!$T$4:$T$1177,"&lt;&gt;")+COUNTIFS(Games!$A$4:$A$1177,$A86,Games!$D$4:$D$1177,"post",Games!$L$4:$L$1177,$C86,Games!$T$4:$T$1177,"&lt;&gt;")</x:f>
        <x:v>0</x:v>
      </x:c>
      <x:c r="L86" s="80" t="n">
        <x:f>IF(D86=0,0,K86/D86)</x:f>
        <x:v>0</x:v>
      </x:c>
      <x:c r="M86" t="str">
        <x:f>IF(AND(D86&gt;=2,K86&gt;=2,L86&gt;=75%),"YES","NO")</x:f>
        <x:v>NO</x:v>
      </x:c>
    </x:row>
    <x:row r="87">
      <x:c r="A87" t="str">
        <x:v>CFB</x:v>
      </x:c>
      <x:c r="B87" t="str">
        <x:v>Kansas Jayhawks</x:v>
      </x:c>
      <x:c r="C87" t="str">
        <x:v>KU</x:v>
      </x:c>
      <x:c r="D87" t="n">
        <x:f>COUNTIFS(Games!$A$4:$A$1177,$A87,Games!$D$4:$D$1177,"post",Games!$G$4:$G$1177,$C87)+COUNTIFS(Games!$A$4:$A$1177,$A87,Games!$D$4:$D$1177,"post",Games!$L$4:$L$1177,$C87)</x:f>
        <x:v>3</x:v>
      </x:c>
      <x:c r="E87" t="n">
        <x:f>COUNTIFS(Games!$A$4:$A$1177,$A87,Games!$G$4:$G$1177,$C87,Games!$J$4:$J$1177,"W")+COUNTIFS(Games!$A$4:$A$1177,$A87,Games!$L$4:$L$1177,$C87,Games!$O$4:$O$1177,"W")</x:f>
        <x:v>1</x:v>
      </x:c>
      <x:c r="F87" t="n">
        <x:f>COUNTIFS(Games!$A$4:$A$1177,$A87,Games!$G$4:$G$1177,$C87,Games!$J$4:$J$1177,"L")+COUNTIFS(Games!$A$4:$A$1177,$A87,Games!$L$4:$L$1177,$C87,Games!$O$4:$O$1177,"L")</x:f>
        <x:v>2</x:v>
      </x:c>
      <x:c r="G87" t="n">
        <x:f>COUNTIFS(Games!$A$4:$A$1177,$A87,Games!$G$4:$G$1177,$C87,Games!$J$4:$J$1177,"T")+COUNTIFS(Games!$A$4:$A$1177,$A87,Games!$L$4:$L$1177,$C87,Games!$O$4:$O$1177,"T")</x:f>
        <x:v>0</x:v>
      </x:c>
      <x:c r="H87" t="n">
        <x:f>SUMIFS(Games!$H$4:$H$1177,Games!$A$4:$A$1177,$A87,Games!$D$4:$D$1177,"post",Games!$G$4:$G$1177,$C87)+SUMIFS(Games!$M$4:$M$1177,Games!$A$4:$A$1177,$A87,Games!$D$4:$D$1177,"post",Games!$L$4:$L$1177,$C87)</x:f>
        <x:v>89</x:v>
      </x:c>
      <x:c r="I87" t="n">
        <x:f>SUMIFS(Games!$M$4:$M$1177,Games!$A$4:$A$1177,$A87,Games!$D$4:$D$1177,"post",Games!$G$4:$G$1177,$C87)+SUMIFS(Games!$H$4:$H$1177,Games!$A$4:$A$1177,$A87,Games!$D$4:$D$1177,"post",Games!$L$4:$L$1177,$C87)</x:f>
        <x:v>68</x:v>
      </x:c>
      <x:c r="J87" t="str">
        <x:f>E87&amp;"-"&amp;F87&amp;IF(G87&gt;0,"-"&amp;G87,"")</x:f>
        <x:v>1-2</x:v>
      </x:c>
      <x:c r="K87" t="n">
        <x:f>COUNTIFS(Games!$A$4:$A$1177,$A87,Games!$D$4:$D$1177,"post",Games!$G$4:$G$1177,$C87,Games!$T$4:$T$1177,"&lt;&gt;")+COUNTIFS(Games!$A$4:$A$1177,$A87,Games!$D$4:$D$1177,"post",Games!$L$4:$L$1177,$C87,Games!$T$4:$T$1177,"&lt;&gt;")</x:f>
        <x:v>0</x:v>
      </x:c>
      <x:c r="L87" s="80" t="n">
        <x:f>IF(D87=0,0,K87/D87)</x:f>
        <x:v>0</x:v>
      </x:c>
      <x:c r="M87" t="str">
        <x:f>IF(AND(D87&gt;=2,K87&gt;=2,L87&gt;=75%),"YES","NO")</x:f>
        <x:v>NO</x:v>
      </x:c>
    </x:row>
    <x:row r="88">
      <x:c r="A88" t="str">
        <x:v>CFB</x:v>
      </x:c>
      <x:c r="B88" t="str">
        <x:v>Kansas State Wildcats</x:v>
      </x:c>
      <x:c r="C88" t="str">
        <x:v>KSU</x:v>
      </x:c>
      <x:c r="D88" t="n">
        <x:f>COUNTIFS(Games!$A$4:$A$1177,$A88,Games!$D$4:$D$1177,"post",Games!$G$4:$G$1177,$C88)+COUNTIFS(Games!$A$4:$A$1177,$A88,Games!$D$4:$D$1177,"post",Games!$L$4:$L$1177,$C88)</x:f>
        <x:v>3</x:v>
      </x:c>
      <x:c r="E88" t="n">
        <x:f>COUNTIFS(Games!$A$4:$A$1177,$A88,Games!$G$4:$G$1177,$C88,Games!$J$4:$J$1177,"W")+COUNTIFS(Games!$A$4:$A$1177,$A88,Games!$L$4:$L$1177,$C88,Games!$O$4:$O$1177,"W")</x:f>
        <x:v>3</x:v>
      </x:c>
      <x:c r="F88" t="n">
        <x:f>COUNTIFS(Games!$A$4:$A$1177,$A88,Games!$G$4:$G$1177,$C88,Games!$J$4:$J$1177,"L")+COUNTIFS(Games!$A$4:$A$1177,$A88,Games!$L$4:$L$1177,$C88,Games!$O$4:$O$1177,"L")</x:f>
        <x:v>0</x:v>
      </x:c>
      <x:c r="G88" t="n">
        <x:f>COUNTIFS(Games!$A$4:$A$1177,$A88,Games!$G$4:$G$1177,$C88,Games!$J$4:$J$1177,"T")+COUNTIFS(Games!$A$4:$A$1177,$A88,Games!$L$4:$L$1177,$C88,Games!$O$4:$O$1177,"T")</x:f>
        <x:v>0</x:v>
      </x:c>
      <x:c r="H88" t="n">
        <x:f>SUMIFS(Games!$H$4:$H$1177,Games!$A$4:$A$1177,$A88,Games!$D$4:$D$1177,"post",Games!$G$4:$G$1177,$C88)+SUMIFS(Games!$M$4:$M$1177,Games!$A$4:$A$1177,$A88,Games!$D$4:$D$1177,"post",Games!$L$4:$L$1177,$C88)</x:f>
        <x:v>136</x:v>
      </x:c>
      <x:c r="I88" t="n">
        <x:f>SUMIFS(Games!$M$4:$M$1177,Games!$A$4:$A$1177,$A88,Games!$D$4:$D$1177,"post",Games!$G$4:$G$1177,$C88)+SUMIFS(Games!$H$4:$H$1177,Games!$A$4:$A$1177,$A88,Games!$D$4:$D$1177,"post",Games!$L$4:$L$1177,$C88)</x:f>
        <x:v>30</x:v>
      </x:c>
      <x:c r="J88" t="str">
        <x:f>E88&amp;"-"&amp;F88&amp;IF(G88&gt;0,"-"&amp;G88,"")</x:f>
        <x:v>3-0</x:v>
      </x:c>
      <x:c r="K88" t="n">
        <x:f>COUNTIFS(Games!$A$4:$A$1177,$A88,Games!$D$4:$D$1177,"post",Games!$G$4:$G$1177,$C88,Games!$T$4:$T$1177,"&lt;&gt;")+COUNTIFS(Games!$A$4:$A$1177,$A88,Games!$D$4:$D$1177,"post",Games!$L$4:$L$1177,$C88,Games!$T$4:$T$1177,"&lt;&gt;")</x:f>
        <x:v>0</x:v>
      </x:c>
      <x:c r="L88" s="80" t="n">
        <x:f>IF(D88=0,0,K88/D88)</x:f>
        <x:v>0</x:v>
      </x:c>
      <x:c r="M88" t="str">
        <x:f>IF(AND(D88&gt;=2,K88&gt;=2,L88&gt;=75%),"YES","NO")</x:f>
        <x:v>NO</x:v>
      </x:c>
    </x:row>
    <x:row r="89">
      <x:c r="A89" t="str">
        <x:v>CFB</x:v>
      </x:c>
      <x:c r="B89" t="str">
        <x:v>Kennesaw State Owls</x:v>
      </x:c>
      <x:c r="C89" t="str">
        <x:v>KENN</x:v>
      </x:c>
      <x:c r="D89" t="n">
        <x:f>COUNTIFS(Games!$A$4:$A$1177,$A89,Games!$D$4:$D$1177,"post",Games!$G$4:$G$1177,$C89)+COUNTIFS(Games!$A$4:$A$1177,$A89,Games!$D$4:$D$1177,"post",Games!$L$4:$L$1177,$C89)</x:f>
        <x:v>3</x:v>
      </x:c>
      <x:c r="E89" t="n">
        <x:f>COUNTIFS(Games!$A$4:$A$1177,$A89,Games!$G$4:$G$1177,$C89,Games!$J$4:$J$1177,"W")+COUNTIFS(Games!$A$4:$A$1177,$A89,Games!$L$4:$L$1177,$C89,Games!$O$4:$O$1177,"W")</x:f>
        <x:v>1</x:v>
      </x:c>
      <x:c r="F89" t="n">
        <x:f>COUNTIFS(Games!$A$4:$A$1177,$A89,Games!$G$4:$G$1177,$C89,Games!$J$4:$J$1177,"L")+COUNTIFS(Games!$A$4:$A$1177,$A89,Games!$L$4:$L$1177,$C89,Games!$O$4:$O$1177,"L")</x:f>
        <x:v>2</x:v>
      </x:c>
      <x:c r="G89" t="n">
        <x:f>COUNTIFS(Games!$A$4:$A$1177,$A89,Games!$G$4:$G$1177,$C89,Games!$J$4:$J$1177,"T")+COUNTIFS(Games!$A$4:$A$1177,$A89,Games!$L$4:$L$1177,$C89,Games!$O$4:$O$1177,"T")</x:f>
        <x:v>0</x:v>
      </x:c>
      <x:c r="H89" t="n">
        <x:f>SUMIFS(Games!$H$4:$H$1177,Games!$A$4:$A$1177,$A89,Games!$D$4:$D$1177,"post",Games!$G$4:$G$1177,$C89)+SUMIFS(Games!$M$4:$M$1177,Games!$A$4:$A$1177,$A89,Games!$D$4:$D$1177,"post",Games!$L$4:$L$1177,$C89)</x:f>
        <x:v>73</x:v>
      </x:c>
      <x:c r="I89" t="n">
        <x:f>SUMIFS(Games!$M$4:$M$1177,Games!$A$4:$A$1177,$A89,Games!$D$4:$D$1177,"post",Games!$G$4:$G$1177,$C89)+SUMIFS(Games!$H$4:$H$1177,Games!$A$4:$A$1177,$A89,Games!$D$4:$D$1177,"post",Games!$L$4:$L$1177,$C89)</x:f>
        <x:v>73</x:v>
      </x:c>
      <x:c r="J89" t="str">
        <x:f>E89&amp;"-"&amp;F89&amp;IF(G89&gt;0,"-"&amp;G89,"")</x:f>
        <x:v>1-2</x:v>
      </x:c>
      <x:c r="K89" t="n">
        <x:f>COUNTIFS(Games!$A$4:$A$1177,$A89,Games!$D$4:$D$1177,"post",Games!$G$4:$G$1177,$C89,Games!$T$4:$T$1177,"&lt;&gt;")+COUNTIFS(Games!$A$4:$A$1177,$A89,Games!$D$4:$D$1177,"post",Games!$L$4:$L$1177,$C89,Games!$T$4:$T$1177,"&lt;&gt;")</x:f>
        <x:v>0</x:v>
      </x:c>
      <x:c r="L89" s="80" t="n">
        <x:f>IF(D89=0,0,K89/D89)</x:f>
        <x:v>0</x:v>
      </x:c>
      <x:c r="M89" t="str">
        <x:f>IF(AND(D89&gt;=2,K89&gt;=2,L89&gt;=75%),"YES","NO")</x:f>
        <x:v>NO</x:v>
      </x:c>
    </x:row>
    <x:row r="90">
      <x:c r="A90" t="str">
        <x:v>CFB</x:v>
      </x:c>
      <x:c r="B90" t="str">
        <x:v>Kent State Golden Flashes</x:v>
      </x:c>
      <x:c r="C90" t="str">
        <x:v>KENT</x:v>
      </x:c>
      <x:c r="D90" t="n">
        <x:f>COUNTIFS(Games!$A$4:$A$1177,$A90,Games!$D$4:$D$1177,"post",Games!$G$4:$G$1177,$C90)+COUNTIFS(Games!$A$4:$A$1177,$A90,Games!$D$4:$D$1177,"post",Games!$L$4:$L$1177,$C90)</x:f>
        <x:v>3</x:v>
      </x:c>
      <x:c r="E90" t="n">
        <x:f>COUNTIFS(Games!$A$4:$A$1177,$A90,Games!$G$4:$G$1177,$C90,Games!$J$4:$J$1177,"W")+COUNTIFS(Games!$A$4:$A$1177,$A90,Games!$L$4:$L$1177,$C90,Games!$O$4:$O$1177,"W")</x:f>
        <x:v>1</x:v>
      </x:c>
      <x:c r="F90" t="n">
        <x:f>COUNTIFS(Games!$A$4:$A$1177,$A90,Games!$G$4:$G$1177,$C90,Games!$J$4:$J$1177,"L")+COUNTIFS(Games!$A$4:$A$1177,$A90,Games!$L$4:$L$1177,$C90,Games!$O$4:$O$1177,"L")</x:f>
        <x:v>2</x:v>
      </x:c>
      <x:c r="G90" t="n">
        <x:f>COUNTIFS(Games!$A$4:$A$1177,$A90,Games!$G$4:$G$1177,$C90,Games!$J$4:$J$1177,"T")+COUNTIFS(Games!$A$4:$A$1177,$A90,Games!$L$4:$L$1177,$C90,Games!$O$4:$O$1177,"T")</x:f>
        <x:v>0</x:v>
      </x:c>
      <x:c r="H90" t="n">
        <x:f>SUMIFS(Games!$H$4:$H$1177,Games!$A$4:$A$1177,$A90,Games!$D$4:$D$1177,"post",Games!$G$4:$G$1177,$C90)+SUMIFS(Games!$M$4:$M$1177,Games!$A$4:$A$1177,$A90,Games!$D$4:$D$1177,"post",Games!$L$4:$L$1177,$C90)</x:f>
        <x:v>39</x:v>
      </x:c>
      <x:c r="I90" t="n">
        <x:f>SUMIFS(Games!$M$4:$M$1177,Games!$A$4:$A$1177,$A90,Games!$D$4:$D$1177,"post",Games!$G$4:$G$1177,$C90)+SUMIFS(Games!$H$4:$H$1177,Games!$A$4:$A$1177,$A90,Games!$D$4:$D$1177,"post",Games!$L$4:$L$1177,$C90)</x:f>
        <x:v>131</x:v>
      </x:c>
      <x:c r="J90" t="str">
        <x:f>E90&amp;"-"&amp;F90&amp;IF(G90&gt;0,"-"&amp;G90,"")</x:f>
        <x:v>1-2</x:v>
      </x:c>
      <x:c r="K90" t="n">
        <x:f>COUNTIFS(Games!$A$4:$A$1177,$A90,Games!$D$4:$D$1177,"post",Games!$G$4:$G$1177,$C90,Games!$T$4:$T$1177,"&lt;&gt;")+COUNTIFS(Games!$A$4:$A$1177,$A90,Games!$D$4:$D$1177,"post",Games!$L$4:$L$1177,$C90,Games!$T$4:$T$1177,"&lt;&gt;")</x:f>
        <x:v>0</x:v>
      </x:c>
      <x:c r="L90" s="80" t="n">
        <x:f>IF(D90=0,0,K90/D90)</x:f>
        <x:v>0</x:v>
      </x:c>
      <x:c r="M90" t="str">
        <x:f>IF(AND(D90&gt;=2,K90&gt;=2,L90&gt;=75%),"YES","NO")</x:f>
        <x:v>NO</x:v>
      </x:c>
    </x:row>
    <x:row r="91">
      <x:c r="A91" t="str">
        <x:v>CFB</x:v>
      </x:c>
      <x:c r="B91" t="str">
        <x:v>Kentucky Wildcats</x:v>
      </x:c>
      <x:c r="C91" t="str">
        <x:v>UK</x:v>
      </x:c>
      <x:c r="D91" t="n">
        <x:f>COUNTIFS(Games!$A$4:$A$1177,$A91,Games!$D$4:$D$1177,"post",Games!$G$4:$G$1177,$C91)+COUNTIFS(Games!$A$4:$A$1177,$A91,Games!$D$4:$D$1177,"post",Games!$L$4:$L$1177,$C91)</x:f>
        <x:v>3</x:v>
      </x:c>
      <x:c r="E91" t="n">
        <x:f>COUNTIFS(Games!$A$4:$A$1177,$A91,Games!$G$4:$G$1177,$C91,Games!$J$4:$J$1177,"W")+COUNTIFS(Games!$A$4:$A$1177,$A91,Games!$L$4:$L$1177,$C91,Games!$O$4:$O$1177,"W")</x:f>
        <x:v>2</x:v>
      </x:c>
      <x:c r="F91" t="n">
        <x:f>COUNTIFS(Games!$A$4:$A$1177,$A91,Games!$G$4:$G$1177,$C91,Games!$J$4:$J$1177,"L")+COUNTIFS(Games!$A$4:$A$1177,$A91,Games!$L$4:$L$1177,$C91,Games!$O$4:$O$1177,"L")</x:f>
        <x:v>1</x:v>
      </x:c>
      <x:c r="G91" t="n">
        <x:f>COUNTIFS(Games!$A$4:$A$1177,$A91,Games!$G$4:$G$1177,$C91,Games!$J$4:$J$1177,"T")+COUNTIFS(Games!$A$4:$A$1177,$A91,Games!$L$4:$L$1177,$C91,Games!$O$4:$O$1177,"T")</x:f>
        <x:v>0</x:v>
      </x:c>
      <x:c r="H91" t="n">
        <x:f>SUMIFS(Games!$H$4:$H$1177,Games!$A$4:$A$1177,$A91,Games!$D$4:$D$1177,"post",Games!$G$4:$G$1177,$C91)+SUMIFS(Games!$M$4:$M$1177,Games!$A$4:$A$1177,$A91,Games!$D$4:$D$1177,"post",Games!$L$4:$L$1177,$C91)</x:f>
        <x:v>93</x:v>
      </x:c>
      <x:c r="I91" t="n">
        <x:f>SUMIFS(Games!$M$4:$M$1177,Games!$A$4:$A$1177,$A91,Games!$D$4:$D$1177,"post",Games!$G$4:$G$1177,$C91)+SUMIFS(Games!$H$4:$H$1177,Games!$A$4:$A$1177,$A91,Games!$D$4:$D$1177,"post",Games!$L$4:$L$1177,$C91)</x:f>
        <x:v>79</x:v>
      </x:c>
      <x:c r="J91" t="str">
        <x:f>E91&amp;"-"&amp;F91&amp;IF(G91&gt;0,"-"&amp;G91,"")</x:f>
        <x:v>2-1</x:v>
      </x:c>
      <x:c r="K91" t="n">
        <x:f>COUNTIFS(Games!$A$4:$A$1177,$A91,Games!$D$4:$D$1177,"post",Games!$G$4:$G$1177,$C91,Games!$T$4:$T$1177,"&lt;&gt;")+COUNTIFS(Games!$A$4:$A$1177,$A91,Games!$D$4:$D$1177,"post",Games!$L$4:$L$1177,$C91,Games!$T$4:$T$1177,"&lt;&gt;")</x:f>
        <x:v>0</x:v>
      </x:c>
      <x:c r="L91" s="80" t="n">
        <x:f>IF(D91=0,0,K91/D91)</x:f>
        <x:v>0</x:v>
      </x:c>
      <x:c r="M91" t="str">
        <x:f>IF(AND(D91&gt;=2,K91&gt;=2,L91&gt;=75%),"YES","NO")</x:f>
        <x:v>NO</x:v>
      </x:c>
    </x:row>
    <x:row r="92">
      <x:c r="A92" t="str">
        <x:v>CFB</x:v>
      </x:c>
      <x:c r="B92" t="str">
        <x:v>Lafayette Leopards</x:v>
      </x:c>
      <x:c r="C92" t="str">
        <x:v>LAF</x:v>
      </x:c>
      <x:c r="D92" t="n">
        <x:f>COUNTIFS(Games!$A$4:$A$1177,$A92,Games!$D$4:$D$1177,"post",Games!$G$4:$G$1177,$C92)+COUNTIFS(Games!$A$4:$A$1177,$A92,Games!$D$4:$D$1177,"post",Games!$L$4:$L$1177,$C92)</x:f>
        <x:v>1</x:v>
      </x:c>
      <x:c r="E92" t="n">
        <x:f>COUNTIFS(Games!$A$4:$A$1177,$A92,Games!$G$4:$G$1177,$C92,Games!$J$4:$J$1177,"W")+COUNTIFS(Games!$A$4:$A$1177,$A92,Games!$L$4:$L$1177,$C92,Games!$O$4:$O$1177,"W")</x:f>
        <x:v>0</x:v>
      </x:c>
      <x:c r="F92" t="n">
        <x:f>COUNTIFS(Games!$A$4:$A$1177,$A92,Games!$G$4:$G$1177,$C92,Games!$J$4:$J$1177,"L")+COUNTIFS(Games!$A$4:$A$1177,$A92,Games!$L$4:$L$1177,$C92,Games!$O$4:$O$1177,"L")</x:f>
        <x:v>1</x:v>
      </x:c>
      <x:c r="G92" t="n">
        <x:f>COUNTIFS(Games!$A$4:$A$1177,$A92,Games!$G$4:$G$1177,$C92,Games!$J$4:$J$1177,"T")+COUNTIFS(Games!$A$4:$A$1177,$A92,Games!$L$4:$L$1177,$C92,Games!$O$4:$O$1177,"T")</x:f>
        <x:v>0</x:v>
      </x:c>
      <x:c r="H92" t="n">
        <x:f>SUMIFS(Games!$H$4:$H$1177,Games!$A$4:$A$1177,$A92,Games!$D$4:$D$1177,"post",Games!$G$4:$G$1177,$C92)+SUMIFS(Games!$M$4:$M$1177,Games!$A$4:$A$1177,$A92,Games!$D$4:$D$1177,"post",Games!$L$4:$L$1177,$C92)</x:f>
        <x:v>7</x:v>
      </x:c>
      <x:c r="I92" t="n">
        <x:f>SUMIFS(Games!$M$4:$M$1177,Games!$A$4:$A$1177,$A92,Games!$D$4:$D$1177,"post",Games!$G$4:$G$1177,$C92)+SUMIFS(Games!$H$4:$H$1177,Games!$A$4:$A$1177,$A92,Games!$D$4:$D$1177,"post",Games!$L$4:$L$1177,$C92)</x:f>
        <x:v>56</x:v>
      </x:c>
      <x:c r="J92" t="str">
        <x:f>E92&amp;"-"&amp;F92&amp;IF(G92&gt;0,"-"&amp;G92,"")</x:f>
        <x:v>0-1</x:v>
      </x:c>
      <x:c r="K92" t="n">
        <x:f>COUNTIFS(Games!$A$4:$A$1177,$A92,Games!$D$4:$D$1177,"post",Games!$G$4:$G$1177,$C92,Games!$T$4:$T$1177,"&lt;&gt;")+COUNTIFS(Games!$A$4:$A$1177,$A92,Games!$D$4:$D$1177,"post",Games!$L$4:$L$1177,$C92,Games!$T$4:$T$1177,"&lt;&gt;")</x:f>
        <x:v>0</x:v>
      </x:c>
      <x:c r="L92" s="80" t="n">
        <x:f>IF(D92=0,0,K92/D92)</x:f>
        <x:v>0</x:v>
      </x:c>
      <x:c r="M92" t="str">
        <x:f>IF(AND(D92&gt;=2,K92&gt;=2,L92&gt;=75%),"YES","NO")</x:f>
        <x:v>NO</x:v>
      </x:c>
    </x:row>
    <x:row r="93">
      <x:c r="A93" t="str">
        <x:v>CFB</x:v>
      </x:c>
      <x:c r="B93" t="str">
        <x:v>Lamar Cardinals</x:v>
      </x:c>
      <x:c r="C93" t="str">
        <x:v>LAM</x:v>
      </x:c>
      <x:c r="D93" t="n">
        <x:f>COUNTIFS(Games!$A$4:$A$1177,$A93,Games!$D$4:$D$1177,"post",Games!$G$4:$G$1177,$C93)+COUNTIFS(Games!$A$4:$A$1177,$A93,Games!$D$4:$D$1177,"post",Games!$L$4:$L$1177,$C93)</x:f>
        <x:v>1</x:v>
      </x:c>
      <x:c r="E93" t="n">
        <x:f>COUNTIFS(Games!$A$4:$A$1177,$A93,Games!$G$4:$G$1177,$C93,Games!$J$4:$J$1177,"W")+COUNTIFS(Games!$A$4:$A$1177,$A93,Games!$L$4:$L$1177,$C93,Games!$O$4:$O$1177,"W")</x:f>
        <x:v>0</x:v>
      </x:c>
      <x:c r="F93" t="n">
        <x:f>COUNTIFS(Games!$A$4:$A$1177,$A93,Games!$G$4:$G$1177,$C93,Games!$J$4:$J$1177,"L")+COUNTIFS(Games!$A$4:$A$1177,$A93,Games!$L$4:$L$1177,$C93,Games!$O$4:$O$1177,"L")</x:f>
        <x:v>1</x:v>
      </x:c>
      <x:c r="G93" t="n">
        <x:f>COUNTIFS(Games!$A$4:$A$1177,$A93,Games!$G$4:$G$1177,$C93,Games!$J$4:$J$1177,"T")+COUNTIFS(Games!$A$4:$A$1177,$A93,Games!$L$4:$L$1177,$C93,Games!$O$4:$O$1177,"T")</x:f>
        <x:v>0</x:v>
      </x:c>
      <x:c r="H93" t="n">
        <x:f>SUMIFS(Games!$H$4:$H$1177,Games!$A$4:$A$1177,$A93,Games!$D$4:$D$1177,"post",Games!$G$4:$G$1177,$C93)+SUMIFS(Games!$M$4:$M$1177,Games!$A$4:$A$1177,$A93,Games!$D$4:$D$1177,"post",Games!$L$4:$L$1177,$C93)</x:f>
        <x:v>7</x:v>
      </x:c>
      <x:c r="I93" t="n">
        <x:f>SUMIFS(Games!$M$4:$M$1177,Games!$A$4:$A$1177,$A93,Games!$D$4:$D$1177,"post",Games!$G$4:$G$1177,$C93)+SUMIFS(Games!$H$4:$H$1177,Games!$A$4:$A$1177,$A93,Games!$D$4:$D$1177,"post",Games!$L$4:$L$1177,$C93)</x:f>
        <x:v>38</x:v>
      </x:c>
      <x:c r="J93" t="str">
        <x:f>E93&amp;"-"&amp;F93&amp;IF(G93&gt;0,"-"&amp;G93,"")</x:f>
        <x:v>0-1</x:v>
      </x:c>
      <x:c r="K93" t="n">
        <x:f>COUNTIFS(Games!$A$4:$A$1177,$A93,Games!$D$4:$D$1177,"post",Games!$G$4:$G$1177,$C93,Games!$T$4:$T$1177,"&lt;&gt;")+COUNTIFS(Games!$A$4:$A$1177,$A93,Games!$D$4:$D$1177,"post",Games!$L$4:$L$1177,$C93,Games!$T$4:$T$1177,"&lt;&gt;")</x:f>
        <x:v>0</x:v>
      </x:c>
      <x:c r="L93" s="80" t="n">
        <x:f>IF(D93=0,0,K93/D93)</x:f>
        <x:v>0</x:v>
      </x:c>
      <x:c r="M93" t="str">
        <x:f>IF(AND(D93&gt;=2,K93&gt;=2,L93&gt;=75%),"YES","NO")</x:f>
        <x:v>NO</x:v>
      </x:c>
    </x:row>
    <x:row r="94">
      <x:c r="A94" t="str">
        <x:v>CFB</x:v>
      </x:c>
      <x:c r="B94" t="str">
        <x:v>Liberty Flames</x:v>
      </x:c>
      <x:c r="C94" t="str">
        <x:v>LIB</x:v>
      </x:c>
      <x:c r="D94" t="n">
        <x:f>COUNTIFS(Games!$A$4:$A$1177,$A94,Games!$D$4:$D$1177,"post",Games!$G$4:$G$1177,$C94)+COUNTIFS(Games!$A$4:$A$1177,$A94,Games!$D$4:$D$1177,"post",Games!$L$4:$L$1177,$C94)</x:f>
        <x:v>3</x:v>
      </x:c>
      <x:c r="E94" t="n">
        <x:f>COUNTIFS(Games!$A$4:$A$1177,$A94,Games!$G$4:$G$1177,$C94,Games!$J$4:$J$1177,"W")+COUNTIFS(Games!$A$4:$A$1177,$A94,Games!$L$4:$L$1177,$C94,Games!$O$4:$O$1177,"W")</x:f>
        <x:v>2</x:v>
      </x:c>
      <x:c r="F94" t="n">
        <x:f>COUNTIFS(Games!$A$4:$A$1177,$A94,Games!$G$4:$G$1177,$C94,Games!$J$4:$J$1177,"L")+COUNTIFS(Games!$A$4:$A$1177,$A94,Games!$L$4:$L$1177,$C94,Games!$O$4:$O$1177,"L")</x:f>
        <x:v>1</x:v>
      </x:c>
      <x:c r="G94" t="n">
        <x:f>COUNTIFS(Games!$A$4:$A$1177,$A94,Games!$G$4:$G$1177,$C94,Games!$J$4:$J$1177,"T")+COUNTIFS(Games!$A$4:$A$1177,$A94,Games!$L$4:$L$1177,$C94,Games!$O$4:$O$1177,"T")</x:f>
        <x:v>0</x:v>
      </x:c>
      <x:c r="H94" t="n">
        <x:f>SUMIFS(Games!$H$4:$H$1177,Games!$A$4:$A$1177,$A94,Games!$D$4:$D$1177,"post",Games!$G$4:$G$1177,$C94)+SUMIFS(Games!$M$4:$M$1177,Games!$A$4:$A$1177,$A94,Games!$D$4:$D$1177,"post",Games!$L$4:$L$1177,$C94)</x:f>
        <x:v>88</x:v>
      </x:c>
      <x:c r="I94" t="n">
        <x:f>SUMIFS(Games!$M$4:$M$1177,Games!$A$4:$A$1177,$A94,Games!$D$4:$D$1177,"post",Games!$G$4:$G$1177,$C94)+SUMIFS(Games!$H$4:$H$1177,Games!$A$4:$A$1177,$A94,Games!$D$4:$D$1177,"post",Games!$L$4:$L$1177,$C94)</x:f>
        <x:v>58</x:v>
      </x:c>
      <x:c r="J94" t="str">
        <x:f>E94&amp;"-"&amp;F94&amp;IF(G94&gt;0,"-"&amp;G94,"")</x:f>
        <x:v>2-1</x:v>
      </x:c>
      <x:c r="K94" t="n">
        <x:f>COUNTIFS(Games!$A$4:$A$1177,$A94,Games!$D$4:$D$1177,"post",Games!$G$4:$G$1177,$C94,Games!$T$4:$T$1177,"&lt;&gt;")+COUNTIFS(Games!$A$4:$A$1177,$A94,Games!$D$4:$D$1177,"post",Games!$L$4:$L$1177,$C94,Games!$T$4:$T$1177,"&lt;&gt;")</x:f>
        <x:v>0</x:v>
      </x:c>
      <x:c r="L94" s="80" t="n">
        <x:f>IF(D94=0,0,K94/D94)</x:f>
        <x:v>0</x:v>
      </x:c>
      <x:c r="M94" t="str">
        <x:f>IF(AND(D94&gt;=2,K94&gt;=2,L94&gt;=75%),"YES","NO")</x:f>
        <x:v>NO</x:v>
      </x:c>
    </x:row>
    <x:row r="95">
      <x:c r="A95" t="str">
        <x:v>CFB</x:v>
      </x:c>
      <x:c r="B95" t="str">
        <x:v>Lindenwood Lions</x:v>
      </x:c>
      <x:c r="C95" t="str">
        <x:v>LIN</x:v>
      </x:c>
      <x:c r="D95" t="n">
        <x:f>COUNTIFS(Games!$A$4:$A$1177,$A95,Games!$D$4:$D$1177,"post",Games!$G$4:$G$1177,$C95)+COUNTIFS(Games!$A$4:$A$1177,$A95,Games!$D$4:$D$1177,"post",Games!$L$4:$L$1177,$C95)</x:f>
        <x:v>1</x:v>
      </x:c>
      <x:c r="E95" t="n">
        <x:f>COUNTIFS(Games!$A$4:$A$1177,$A95,Games!$G$4:$G$1177,$C95,Games!$J$4:$J$1177,"W")+COUNTIFS(Games!$A$4:$A$1177,$A95,Games!$L$4:$L$1177,$C95,Games!$O$4:$O$1177,"W")</x:f>
        <x:v>0</x:v>
      </x:c>
      <x:c r="F95" t="n">
        <x:f>COUNTIFS(Games!$A$4:$A$1177,$A95,Games!$G$4:$G$1177,$C95,Games!$J$4:$J$1177,"L")+COUNTIFS(Games!$A$4:$A$1177,$A95,Games!$L$4:$L$1177,$C95,Games!$O$4:$O$1177,"L")</x:f>
        <x:v>1</x:v>
      </x:c>
      <x:c r="G95" t="n">
        <x:f>COUNTIFS(Games!$A$4:$A$1177,$A95,Games!$G$4:$G$1177,$C95,Games!$J$4:$J$1177,"T")+COUNTIFS(Games!$A$4:$A$1177,$A95,Games!$L$4:$L$1177,$C95,Games!$O$4:$O$1177,"T")</x:f>
        <x:v>0</x:v>
      </x:c>
      <x:c r="H95" t="n">
        <x:f>SUMIFS(Games!$H$4:$H$1177,Games!$A$4:$A$1177,$A95,Games!$D$4:$D$1177,"post",Games!$G$4:$G$1177,$C95)+SUMIFS(Games!$M$4:$M$1177,Games!$A$4:$A$1177,$A95,Games!$D$4:$D$1177,"post",Games!$L$4:$L$1177,$C95)</x:f>
        <x:v>14</x:v>
      </x:c>
      <x:c r="I95" t="n">
        <x:f>SUMIFS(Games!$M$4:$M$1177,Games!$A$4:$A$1177,$A95,Games!$D$4:$D$1177,"post",Games!$G$4:$G$1177,$C95)+SUMIFS(Games!$H$4:$H$1177,Games!$A$4:$A$1177,$A95,Games!$D$4:$D$1177,"post",Games!$L$4:$L$1177,$C95)</x:f>
        <x:v>48</x:v>
      </x:c>
      <x:c r="J95" t="str">
        <x:f>E95&amp;"-"&amp;F95&amp;IF(G95&gt;0,"-"&amp;G95,"")</x:f>
        <x:v>0-1</x:v>
      </x:c>
      <x:c r="K95" t="n">
        <x:f>COUNTIFS(Games!$A$4:$A$1177,$A95,Games!$D$4:$D$1177,"post",Games!$G$4:$G$1177,$C95,Games!$T$4:$T$1177,"&lt;&gt;")+COUNTIFS(Games!$A$4:$A$1177,$A95,Games!$D$4:$D$1177,"post",Games!$L$4:$L$1177,$C95,Games!$T$4:$T$1177,"&lt;&gt;")</x:f>
        <x:v>0</x:v>
      </x:c>
      <x:c r="L95" s="80" t="n">
        <x:f>IF(D95=0,0,K95/D95)</x:f>
        <x:v>0</x:v>
      </x:c>
      <x:c r="M95" t="str">
        <x:f>IF(AND(D95&gt;=2,K95&gt;=2,L95&gt;=75%),"YES","NO")</x:f>
        <x:v>NO</x:v>
      </x:c>
    </x:row>
    <x:row r="96">
      <x:c r="A96" t="str">
        <x:v>CFB</x:v>
      </x:c>
      <x:c r="B96" t="str">
        <x:v>Long Island University Sharks</x:v>
      </x:c>
      <x:c r="C96" t="str">
        <x:v>LIU</x:v>
      </x:c>
      <x:c r="D96" t="n">
        <x:f>COUNTIFS(Games!$A$4:$A$1177,$A96,Games!$D$4:$D$1177,"post",Games!$G$4:$G$1177,$C96)+COUNTIFS(Games!$A$4:$A$1177,$A96,Games!$D$4:$D$1177,"post",Games!$L$4:$L$1177,$C96)</x:f>
        <x:v>1</x:v>
      </x:c>
      <x:c r="E96" t="n">
        <x:f>COUNTIFS(Games!$A$4:$A$1177,$A96,Games!$G$4:$G$1177,$C96,Games!$J$4:$J$1177,"W")+COUNTIFS(Games!$A$4:$A$1177,$A96,Games!$L$4:$L$1177,$C96,Games!$O$4:$O$1177,"W")</x:f>
        <x:v>0</x:v>
      </x:c>
      <x:c r="F96" t="n">
        <x:f>COUNTIFS(Games!$A$4:$A$1177,$A96,Games!$G$4:$G$1177,$C96,Games!$J$4:$J$1177,"L")+COUNTIFS(Games!$A$4:$A$1177,$A96,Games!$L$4:$L$1177,$C96,Games!$O$4:$O$1177,"L")</x:f>
        <x:v>1</x:v>
      </x:c>
      <x:c r="G96" t="n">
        <x:f>COUNTIFS(Games!$A$4:$A$1177,$A96,Games!$G$4:$G$1177,$C96,Games!$J$4:$J$1177,"T")+COUNTIFS(Games!$A$4:$A$1177,$A96,Games!$L$4:$L$1177,$C96,Games!$O$4:$O$1177,"T")</x:f>
        <x:v>0</x:v>
      </x:c>
      <x:c r="H96" t="n">
        <x:f>SUMIFS(Games!$H$4:$H$1177,Games!$A$4:$A$1177,$A96,Games!$D$4:$D$1177,"post",Games!$G$4:$G$1177,$C96)+SUMIFS(Games!$M$4:$M$1177,Games!$A$4:$A$1177,$A96,Games!$D$4:$D$1177,"post",Games!$L$4:$L$1177,$C96)</x:f>
        <x:v>6</x:v>
      </x:c>
      <x:c r="I96" t="n">
        <x:f>SUMIFS(Games!$M$4:$M$1177,Games!$A$4:$A$1177,$A96,Games!$D$4:$D$1177,"post",Games!$G$4:$G$1177,$C96)+SUMIFS(Games!$H$4:$H$1177,Games!$A$4:$A$1177,$A96,Games!$D$4:$D$1177,"post",Games!$L$4:$L$1177,$C96)</x:f>
        <x:v>51</x:v>
      </x:c>
      <x:c r="J96" t="str">
        <x:f>E96&amp;"-"&amp;F96&amp;IF(G96&gt;0,"-"&amp;G96,"")</x:f>
        <x:v>0-1</x:v>
      </x:c>
      <x:c r="K96" t="n">
        <x:f>COUNTIFS(Games!$A$4:$A$1177,$A96,Games!$D$4:$D$1177,"post",Games!$G$4:$G$1177,$C96,Games!$T$4:$T$1177,"&lt;&gt;")+COUNTIFS(Games!$A$4:$A$1177,$A96,Games!$D$4:$D$1177,"post",Games!$L$4:$L$1177,$C96,Games!$T$4:$T$1177,"&lt;&gt;")</x:f>
        <x:v>0</x:v>
      </x:c>
      <x:c r="L96" s="80" t="n">
        <x:f>IF(D96=0,0,K96/D96)</x:f>
        <x:v>0</x:v>
      </x:c>
      <x:c r="M96" t="str">
        <x:f>IF(AND(D96&gt;=2,K96&gt;=2,L96&gt;=75%),"YES","NO")</x:f>
        <x:v>NO</x:v>
      </x:c>
    </x:row>
    <x:row r="97">
      <x:c r="A97" t="str">
        <x:v>CFB</x:v>
      </x:c>
      <x:c r="B97" t="str">
        <x:v>Louisiana Ragin' Cajuns</x:v>
      </x:c>
      <x:c r="C97" t="str">
        <x:v>UL</x:v>
      </x:c>
      <x:c r="D97" t="n">
        <x:f>COUNTIFS(Games!$A$4:$A$1177,$A97,Games!$D$4:$D$1177,"post",Games!$G$4:$G$1177,$C97)+COUNTIFS(Games!$A$4:$A$1177,$A97,Games!$D$4:$D$1177,"post",Games!$L$4:$L$1177,$C97)</x:f>
        <x:v>3</x:v>
      </x:c>
      <x:c r="E97" t="n">
        <x:f>COUNTIFS(Games!$A$4:$A$1177,$A97,Games!$G$4:$G$1177,$C97,Games!$J$4:$J$1177,"W")+COUNTIFS(Games!$A$4:$A$1177,$A97,Games!$L$4:$L$1177,$C97,Games!$O$4:$O$1177,"W")</x:f>
        <x:v>2</x:v>
      </x:c>
      <x:c r="F97" t="n">
        <x:f>COUNTIFS(Games!$A$4:$A$1177,$A97,Games!$G$4:$G$1177,$C97,Games!$J$4:$J$1177,"L")+COUNTIFS(Games!$A$4:$A$1177,$A97,Games!$L$4:$L$1177,$C97,Games!$O$4:$O$1177,"L")</x:f>
        <x:v>1</x:v>
      </x:c>
      <x:c r="G97" t="n">
        <x:f>COUNTIFS(Games!$A$4:$A$1177,$A97,Games!$G$4:$G$1177,$C97,Games!$J$4:$J$1177,"T")+COUNTIFS(Games!$A$4:$A$1177,$A97,Games!$L$4:$L$1177,$C97,Games!$O$4:$O$1177,"T")</x:f>
        <x:v>0</x:v>
      </x:c>
      <x:c r="H97" t="n">
        <x:f>SUMIFS(Games!$H$4:$H$1177,Games!$A$4:$A$1177,$A97,Games!$D$4:$D$1177,"post",Games!$G$4:$G$1177,$C97)+SUMIFS(Games!$M$4:$M$1177,Games!$A$4:$A$1177,$A97,Games!$D$4:$D$1177,"post",Games!$L$4:$L$1177,$C97)</x:f>
        <x:v>89</x:v>
      </x:c>
      <x:c r="I97" t="n">
        <x:f>SUMIFS(Games!$M$4:$M$1177,Games!$A$4:$A$1177,$A97,Games!$D$4:$D$1177,"post",Games!$G$4:$G$1177,$C97)+SUMIFS(Games!$H$4:$H$1177,Games!$A$4:$A$1177,$A97,Games!$D$4:$D$1177,"post",Games!$L$4:$L$1177,$C97)</x:f>
        <x:v>70</x:v>
      </x:c>
      <x:c r="J97" t="str">
        <x:f>E97&amp;"-"&amp;F97&amp;IF(G97&gt;0,"-"&amp;G97,"")</x:f>
        <x:v>2-1</x:v>
      </x:c>
      <x:c r="K97" t="n">
        <x:f>COUNTIFS(Games!$A$4:$A$1177,$A97,Games!$D$4:$D$1177,"post",Games!$G$4:$G$1177,$C97,Games!$T$4:$T$1177,"&lt;&gt;")+COUNTIFS(Games!$A$4:$A$1177,$A97,Games!$D$4:$D$1177,"post",Games!$L$4:$L$1177,$C97,Games!$T$4:$T$1177,"&lt;&gt;")</x:f>
        <x:v>0</x:v>
      </x:c>
      <x:c r="L97" s="80" t="n">
        <x:f>IF(D97=0,0,K97/D97)</x:f>
        <x:v>0</x:v>
      </x:c>
      <x:c r="M97" t="str">
        <x:f>IF(AND(D97&gt;=2,K97&gt;=2,L97&gt;=75%),"YES","NO")</x:f>
        <x:v>NO</x:v>
      </x:c>
    </x:row>
    <x:row r="98">
      <x:c r="A98" t="str">
        <x:v>CFB</x:v>
      </x:c>
      <x:c r="B98" t="str">
        <x:v>Louisiana Tech Bulldogs</x:v>
      </x:c>
      <x:c r="C98" t="str">
        <x:v>LT</x:v>
      </x:c>
      <x:c r="D98" t="n">
        <x:f>COUNTIFS(Games!$A$4:$A$1177,$A98,Games!$D$4:$D$1177,"post",Games!$G$4:$G$1177,$C98)+COUNTIFS(Games!$A$4:$A$1177,$A98,Games!$D$4:$D$1177,"post",Games!$L$4:$L$1177,$C98)</x:f>
        <x:v>3</x:v>
      </x:c>
      <x:c r="E98" t="n">
        <x:f>COUNTIFS(Games!$A$4:$A$1177,$A98,Games!$G$4:$G$1177,$C98,Games!$J$4:$J$1177,"W")+COUNTIFS(Games!$A$4:$A$1177,$A98,Games!$L$4:$L$1177,$C98,Games!$O$4:$O$1177,"W")</x:f>
        <x:v>1</x:v>
      </x:c>
      <x:c r="F98" t="n">
        <x:f>COUNTIFS(Games!$A$4:$A$1177,$A98,Games!$G$4:$G$1177,$C98,Games!$J$4:$J$1177,"L")+COUNTIFS(Games!$A$4:$A$1177,$A98,Games!$L$4:$L$1177,$C98,Games!$O$4:$O$1177,"L")</x:f>
        <x:v>2</x:v>
      </x:c>
      <x:c r="G98" t="n">
        <x:f>COUNTIFS(Games!$A$4:$A$1177,$A98,Games!$G$4:$G$1177,$C98,Games!$J$4:$J$1177,"T")+COUNTIFS(Games!$A$4:$A$1177,$A98,Games!$L$4:$L$1177,$C98,Games!$O$4:$O$1177,"T")</x:f>
        <x:v>0</x:v>
      </x:c>
      <x:c r="H98" t="n">
        <x:f>SUMIFS(Games!$H$4:$H$1177,Games!$A$4:$A$1177,$A98,Games!$D$4:$D$1177,"post",Games!$G$4:$G$1177,$C98)+SUMIFS(Games!$M$4:$M$1177,Games!$A$4:$A$1177,$A98,Games!$D$4:$D$1177,"post",Games!$L$4:$L$1177,$C98)</x:f>
        <x:v>113</x:v>
      </x:c>
      <x:c r="I98" t="n">
        <x:f>SUMIFS(Games!$M$4:$M$1177,Games!$A$4:$A$1177,$A98,Games!$D$4:$D$1177,"post",Games!$G$4:$G$1177,$C98)+SUMIFS(Games!$H$4:$H$1177,Games!$A$4:$A$1177,$A98,Games!$D$4:$D$1177,"post",Games!$L$4:$L$1177,$C98)</x:f>
        <x:v>87</x:v>
      </x:c>
      <x:c r="J98" t="str">
        <x:f>E98&amp;"-"&amp;F98&amp;IF(G98&gt;0,"-"&amp;G98,"")</x:f>
        <x:v>1-2</x:v>
      </x:c>
      <x:c r="K98" t="n">
        <x:f>COUNTIFS(Games!$A$4:$A$1177,$A98,Games!$D$4:$D$1177,"post",Games!$G$4:$G$1177,$C98,Games!$T$4:$T$1177,"&lt;&gt;")+COUNTIFS(Games!$A$4:$A$1177,$A98,Games!$D$4:$D$1177,"post",Games!$L$4:$L$1177,$C98,Games!$T$4:$T$1177,"&lt;&gt;")</x:f>
        <x:v>0</x:v>
      </x:c>
      <x:c r="L98" s="80" t="n">
        <x:f>IF(D98=0,0,K98/D98)</x:f>
        <x:v>0</x:v>
      </x:c>
      <x:c r="M98" t="str">
        <x:f>IF(AND(D98&gt;=2,K98&gt;=2,L98&gt;=75%),"YES","NO")</x:f>
        <x:v>NO</x:v>
      </x:c>
    </x:row>
    <x:row r="99">
      <x:c r="A99" t="str">
        <x:v>CFB</x:v>
      </x:c>
      <x:c r="B99" t="str">
        <x:v>Louisville Cardinals</x:v>
      </x:c>
      <x:c r="C99" t="str">
        <x:v>LOU</x:v>
      </x:c>
      <x:c r="D99" t="n">
        <x:f>COUNTIFS(Games!$A$4:$A$1177,$A99,Games!$D$4:$D$1177,"post",Games!$G$4:$G$1177,$C99)+COUNTIFS(Games!$A$4:$A$1177,$A99,Games!$D$4:$D$1177,"post",Games!$L$4:$L$1177,$C99)</x:f>
        <x:v>3</x:v>
      </x:c>
      <x:c r="E99" t="n">
        <x:f>COUNTIFS(Games!$A$4:$A$1177,$A99,Games!$G$4:$G$1177,$C99,Games!$J$4:$J$1177,"W")+COUNTIFS(Games!$A$4:$A$1177,$A99,Games!$L$4:$L$1177,$C99,Games!$O$4:$O$1177,"W")</x:f>
        <x:v>2</x:v>
      </x:c>
      <x:c r="F99" t="n">
        <x:f>COUNTIFS(Games!$A$4:$A$1177,$A99,Games!$G$4:$G$1177,$C99,Games!$J$4:$J$1177,"L")+COUNTIFS(Games!$A$4:$A$1177,$A99,Games!$L$4:$L$1177,$C99,Games!$O$4:$O$1177,"L")</x:f>
        <x:v>1</x:v>
      </x:c>
      <x:c r="G99" t="n">
        <x:f>COUNTIFS(Games!$A$4:$A$1177,$A99,Games!$G$4:$G$1177,$C99,Games!$J$4:$J$1177,"T")+COUNTIFS(Games!$A$4:$A$1177,$A99,Games!$L$4:$L$1177,$C99,Games!$O$4:$O$1177,"T")</x:f>
        <x:v>0</x:v>
      </x:c>
      <x:c r="H99" t="n">
        <x:f>SUMIFS(Games!$H$4:$H$1177,Games!$A$4:$A$1177,$A99,Games!$D$4:$D$1177,"post",Games!$G$4:$G$1177,$C99)+SUMIFS(Games!$M$4:$M$1177,Games!$A$4:$A$1177,$A99,Games!$D$4:$D$1177,"post",Games!$L$4:$L$1177,$C99)</x:f>
        <x:v>138</x:v>
      </x:c>
      <x:c r="I99" t="n">
        <x:f>SUMIFS(Games!$M$4:$M$1177,Games!$A$4:$A$1177,$A99,Games!$D$4:$D$1177,"post",Games!$G$4:$G$1177,$C99)+SUMIFS(Games!$H$4:$H$1177,Games!$A$4:$A$1177,$A99,Games!$D$4:$D$1177,"post",Games!$L$4:$L$1177,$C99)</x:f>
        <x:v>85</x:v>
      </x:c>
      <x:c r="J99" t="str">
        <x:f>E99&amp;"-"&amp;F99&amp;IF(G99&gt;0,"-"&amp;G99,"")</x:f>
        <x:v>2-1</x:v>
      </x:c>
      <x:c r="K99" t="n">
        <x:f>COUNTIFS(Games!$A$4:$A$1177,$A99,Games!$D$4:$D$1177,"post",Games!$G$4:$G$1177,$C99,Games!$T$4:$T$1177,"&lt;&gt;")+COUNTIFS(Games!$A$4:$A$1177,$A99,Games!$D$4:$D$1177,"post",Games!$L$4:$L$1177,$C99,Games!$T$4:$T$1177,"&lt;&gt;")</x:f>
        <x:v>0</x:v>
      </x:c>
      <x:c r="L99" s="80" t="n">
        <x:f>IF(D99=0,0,K99/D99)</x:f>
        <x:v>0</x:v>
      </x:c>
      <x:c r="M99" t="str">
        <x:f>IF(AND(D99&gt;=2,K99&gt;=2,L99&gt;=75%),"YES","NO")</x:f>
        <x:v>NO</x:v>
      </x:c>
    </x:row>
    <x:row r="100">
      <x:c r="A100" t="str">
        <x:v>CFB</x:v>
      </x:c>
      <x:c r="B100" t="str">
        <x:v>LSU Tigers</x:v>
      </x:c>
      <x:c r="C100" t="str">
        <x:v>LSU</x:v>
      </x:c>
      <x:c r="D100" t="n">
        <x:f>COUNTIFS(Games!$A$4:$A$1177,$A100,Games!$D$4:$D$1177,"post",Games!$G$4:$G$1177,$C100)+COUNTIFS(Games!$A$4:$A$1177,$A100,Games!$D$4:$D$1177,"post",Games!$L$4:$L$1177,$C100)</x:f>
        <x:v>3</x:v>
      </x:c>
      <x:c r="E100" t="n">
        <x:f>COUNTIFS(Games!$A$4:$A$1177,$A100,Games!$G$4:$G$1177,$C100,Games!$J$4:$J$1177,"W")+COUNTIFS(Games!$A$4:$A$1177,$A100,Games!$L$4:$L$1177,$C100,Games!$O$4:$O$1177,"W")</x:f>
        <x:v>2</x:v>
      </x:c>
      <x:c r="F100" t="n">
        <x:f>COUNTIFS(Games!$A$4:$A$1177,$A100,Games!$G$4:$G$1177,$C100,Games!$J$4:$J$1177,"L")+COUNTIFS(Games!$A$4:$A$1177,$A100,Games!$L$4:$L$1177,$C100,Games!$O$4:$O$1177,"L")</x:f>
        <x:v>1</x:v>
      </x:c>
      <x:c r="G100" t="n">
        <x:f>COUNTIFS(Games!$A$4:$A$1177,$A100,Games!$G$4:$G$1177,$C100,Games!$J$4:$J$1177,"T")+COUNTIFS(Games!$A$4:$A$1177,$A100,Games!$L$4:$L$1177,$C100,Games!$O$4:$O$1177,"T")</x:f>
        <x:v>0</x:v>
      </x:c>
      <x:c r="H100" t="n">
        <x:f>SUMIFS(Games!$H$4:$H$1177,Games!$A$4:$A$1177,$A100,Games!$D$4:$D$1177,"post",Games!$G$4:$G$1177,$C100)+SUMIFS(Games!$M$4:$M$1177,Games!$A$4:$A$1177,$A100,Games!$D$4:$D$1177,"post",Games!$L$4:$L$1177,$C100)</x:f>
        <x:v>120</x:v>
      </x:c>
      <x:c r="I100" t="n">
        <x:f>SUMIFS(Games!$M$4:$M$1177,Games!$A$4:$A$1177,$A100,Games!$D$4:$D$1177,"post",Games!$G$4:$G$1177,$C100)+SUMIFS(Games!$H$4:$H$1177,Games!$A$4:$A$1177,$A100,Games!$D$4:$D$1177,"post",Games!$L$4:$L$1177,$C100)</x:f>
        <x:v>56</x:v>
      </x:c>
      <x:c r="J100" t="str">
        <x:f>E100&amp;"-"&amp;F100&amp;IF(G100&gt;0,"-"&amp;G100,"")</x:f>
        <x:v>2-1</x:v>
      </x:c>
      <x:c r="K100" t="n">
        <x:f>COUNTIFS(Games!$A$4:$A$1177,$A100,Games!$D$4:$D$1177,"post",Games!$G$4:$G$1177,$C100,Games!$T$4:$T$1177,"&lt;&gt;")+COUNTIFS(Games!$A$4:$A$1177,$A100,Games!$D$4:$D$1177,"post",Games!$L$4:$L$1177,$C100,Games!$T$4:$T$1177,"&lt;&gt;")</x:f>
        <x:v>0</x:v>
      </x:c>
      <x:c r="L100" s="80" t="n">
        <x:f>IF(D100=0,0,K100/D100)</x:f>
        <x:v>0</x:v>
      </x:c>
      <x:c r="M100" t="str">
        <x:f>IF(AND(D100&gt;=2,K100&gt;=2,L100&gt;=75%),"YES","NO")</x:f>
        <x:v>NO</x:v>
      </x:c>
    </x:row>
    <x:row r="101">
      <x:c r="A101" t="str">
        <x:v>CFB</x:v>
      </x:c>
      <x:c r="B101" t="str">
        <x:v>Maine Black Bears</x:v>
      </x:c>
      <x:c r="C101" t="str">
        <x:v>ME</x:v>
      </x:c>
      <x:c r="D101" t="n">
        <x:f>COUNTIFS(Games!$A$4:$A$1177,$A101,Games!$D$4:$D$1177,"post",Games!$G$4:$G$1177,$C101)+COUNTIFS(Games!$A$4:$A$1177,$A101,Games!$D$4:$D$1177,"post",Games!$L$4:$L$1177,$C101)</x:f>
        <x:v>2</x:v>
      </x:c>
      <x:c r="E101" t="n">
        <x:f>COUNTIFS(Games!$A$4:$A$1177,$A101,Games!$G$4:$G$1177,$C101,Games!$J$4:$J$1177,"W")+COUNTIFS(Games!$A$4:$A$1177,$A101,Games!$L$4:$L$1177,$C101,Games!$O$4:$O$1177,"W")</x:f>
        <x:v>0</x:v>
      </x:c>
      <x:c r="F101" t="n">
        <x:f>COUNTIFS(Games!$A$4:$A$1177,$A101,Games!$G$4:$G$1177,$C101,Games!$J$4:$J$1177,"L")+COUNTIFS(Games!$A$4:$A$1177,$A101,Games!$L$4:$L$1177,$C101,Games!$O$4:$O$1177,"L")</x:f>
        <x:v>2</x:v>
      </x:c>
      <x:c r="G101" t="n">
        <x:f>COUNTIFS(Games!$A$4:$A$1177,$A101,Games!$G$4:$G$1177,$C101,Games!$J$4:$J$1177,"T")+COUNTIFS(Games!$A$4:$A$1177,$A101,Games!$L$4:$L$1177,$C101,Games!$O$4:$O$1177,"T")</x:f>
        <x:v>0</x:v>
      </x:c>
      <x:c r="H101" t="n">
        <x:f>SUMIFS(Games!$H$4:$H$1177,Games!$A$4:$A$1177,$A101,Games!$D$4:$D$1177,"post",Games!$G$4:$G$1177,$C101)+SUMIFS(Games!$M$4:$M$1177,Games!$A$4:$A$1177,$A101,Games!$D$4:$D$1177,"post",Games!$L$4:$L$1177,$C101)</x:f>
        <x:v>19</x:v>
      </x:c>
      <x:c r="I101" t="n">
        <x:f>SUMIFS(Games!$M$4:$M$1177,Games!$A$4:$A$1177,$A101,Games!$D$4:$D$1177,"post",Games!$G$4:$G$1177,$C101)+SUMIFS(Games!$H$4:$H$1177,Games!$A$4:$A$1177,$A101,Games!$D$4:$D$1177,"post",Games!$L$4:$L$1177,$C101)</x:f>
        <x:v>77</x:v>
      </x:c>
      <x:c r="J101" t="str">
        <x:f>E101&amp;"-"&amp;F101&amp;IF(G101&gt;0,"-"&amp;G101,"")</x:f>
        <x:v>0-2</x:v>
      </x:c>
      <x:c r="K101" t="n">
        <x:f>COUNTIFS(Games!$A$4:$A$1177,$A101,Games!$D$4:$D$1177,"post",Games!$G$4:$G$1177,$C101,Games!$T$4:$T$1177,"&lt;&gt;")+COUNTIFS(Games!$A$4:$A$1177,$A101,Games!$D$4:$D$1177,"post",Games!$L$4:$L$1177,$C101,Games!$T$4:$T$1177,"&lt;&gt;")</x:f>
        <x:v>0</x:v>
      </x:c>
      <x:c r="L101" s="80" t="n">
        <x:f>IF(D101=0,0,K101/D101)</x:f>
        <x:v>0</x:v>
      </x:c>
      <x:c r="M101" t="str">
        <x:f>IF(AND(D101&gt;=2,K101&gt;=2,L101&gt;=75%),"YES","NO")</x:f>
        <x:v>NO</x:v>
      </x:c>
    </x:row>
    <x:row r="102">
      <x:c r="A102" t="str">
        <x:v>CFB</x:v>
      </x:c>
      <x:c r="B102" t="str">
        <x:v>Marshall Thundering Herd</x:v>
      </x:c>
      <x:c r="C102" t="str">
        <x:v>MRSH</x:v>
      </x:c>
      <x:c r="D102" t="n">
        <x:f>COUNTIFS(Games!$A$4:$A$1177,$A102,Games!$D$4:$D$1177,"post",Games!$G$4:$G$1177,$C102)+COUNTIFS(Games!$A$4:$A$1177,$A102,Games!$D$4:$D$1177,"post",Games!$L$4:$L$1177,$C102)</x:f>
        <x:v>3</x:v>
      </x:c>
      <x:c r="E102" t="n">
        <x:f>COUNTIFS(Games!$A$4:$A$1177,$A102,Games!$G$4:$G$1177,$C102,Games!$J$4:$J$1177,"W")+COUNTIFS(Games!$A$4:$A$1177,$A102,Games!$L$4:$L$1177,$C102,Games!$O$4:$O$1177,"W")</x:f>
        <x:v>2</x:v>
      </x:c>
      <x:c r="F102" t="n">
        <x:f>COUNTIFS(Games!$A$4:$A$1177,$A102,Games!$G$4:$G$1177,$C102,Games!$J$4:$J$1177,"L")+COUNTIFS(Games!$A$4:$A$1177,$A102,Games!$L$4:$L$1177,$C102,Games!$O$4:$O$1177,"L")</x:f>
        <x:v>1</x:v>
      </x:c>
      <x:c r="G102" t="n">
        <x:f>COUNTIFS(Games!$A$4:$A$1177,$A102,Games!$G$4:$G$1177,$C102,Games!$J$4:$J$1177,"T")+COUNTIFS(Games!$A$4:$A$1177,$A102,Games!$L$4:$L$1177,$C102,Games!$O$4:$O$1177,"T")</x:f>
        <x:v>0</x:v>
      </x:c>
      <x:c r="H102" t="n">
        <x:f>SUMIFS(Games!$H$4:$H$1177,Games!$A$4:$A$1177,$A102,Games!$D$4:$D$1177,"post",Games!$G$4:$G$1177,$C102)+SUMIFS(Games!$M$4:$M$1177,Games!$A$4:$A$1177,$A102,Games!$D$4:$D$1177,"post",Games!$L$4:$L$1177,$C102)</x:f>
        <x:v>58</x:v>
      </x:c>
      <x:c r="I102" t="n">
        <x:f>SUMIFS(Games!$M$4:$M$1177,Games!$A$4:$A$1177,$A102,Games!$D$4:$D$1177,"post",Games!$G$4:$G$1177,$C102)+SUMIFS(Games!$H$4:$H$1177,Games!$A$4:$A$1177,$A102,Games!$D$4:$D$1177,"post",Games!$L$4:$L$1177,$C102)</x:f>
        <x:v>95</x:v>
      </x:c>
      <x:c r="J102" t="str">
        <x:f>E102&amp;"-"&amp;F102&amp;IF(G102&gt;0,"-"&amp;G102,"")</x:f>
        <x:v>2-1</x:v>
      </x:c>
      <x:c r="K102" t="n">
        <x:f>COUNTIFS(Games!$A$4:$A$1177,$A102,Games!$D$4:$D$1177,"post",Games!$G$4:$G$1177,$C102,Games!$T$4:$T$1177,"&lt;&gt;")+COUNTIFS(Games!$A$4:$A$1177,$A102,Games!$D$4:$D$1177,"post",Games!$L$4:$L$1177,$C102,Games!$T$4:$T$1177,"&lt;&gt;")</x:f>
        <x:v>0</x:v>
      </x:c>
      <x:c r="L102" s="80" t="n">
        <x:f>IF(D102=0,0,K102/D102)</x:f>
        <x:v>0</x:v>
      </x:c>
      <x:c r="M102" t="str">
        <x:f>IF(AND(D102&gt;=2,K102&gt;=2,L102&gt;=75%),"YES","NO")</x:f>
        <x:v>NO</x:v>
      </x:c>
    </x:row>
    <x:row r="103">
      <x:c r="A103" t="str">
        <x:v>CFB</x:v>
      </x:c>
      <x:c r="B103" t="str">
        <x:v>Maryland Terrapins</x:v>
      </x:c>
      <x:c r="C103" t="str">
        <x:v>MD</x:v>
      </x:c>
      <x:c r="D103" t="n">
        <x:f>COUNTIFS(Games!$A$4:$A$1177,$A103,Games!$D$4:$D$1177,"post",Games!$G$4:$G$1177,$C103)+COUNTIFS(Games!$A$4:$A$1177,$A103,Games!$D$4:$D$1177,"post",Games!$L$4:$L$1177,$C103)</x:f>
        <x:v>3</x:v>
      </x:c>
      <x:c r="E103" t="n">
        <x:f>COUNTIFS(Games!$A$4:$A$1177,$A103,Games!$G$4:$G$1177,$C103,Games!$J$4:$J$1177,"W")+COUNTIFS(Games!$A$4:$A$1177,$A103,Games!$L$4:$L$1177,$C103,Games!$O$4:$O$1177,"W")</x:f>
        <x:v>2</x:v>
      </x:c>
      <x:c r="F103" t="n">
        <x:f>COUNTIFS(Games!$A$4:$A$1177,$A103,Games!$G$4:$G$1177,$C103,Games!$J$4:$J$1177,"L")+COUNTIFS(Games!$A$4:$A$1177,$A103,Games!$L$4:$L$1177,$C103,Games!$O$4:$O$1177,"L")</x:f>
        <x:v>1</x:v>
      </x:c>
      <x:c r="G103" t="n">
        <x:f>COUNTIFS(Games!$A$4:$A$1177,$A103,Games!$G$4:$G$1177,$C103,Games!$J$4:$J$1177,"T")+COUNTIFS(Games!$A$4:$A$1177,$A103,Games!$L$4:$L$1177,$C103,Games!$O$4:$O$1177,"T")</x:f>
        <x:v>0</x:v>
      </x:c>
      <x:c r="H103" t="n">
        <x:f>SUMIFS(Games!$H$4:$H$1177,Games!$A$4:$A$1177,$A103,Games!$D$4:$D$1177,"post",Games!$G$4:$G$1177,$C103)+SUMIFS(Games!$M$4:$M$1177,Games!$A$4:$A$1177,$A103,Games!$D$4:$D$1177,"post",Games!$L$4:$L$1177,$C103)</x:f>
        <x:v>126</x:v>
      </x:c>
      <x:c r="I103" t="n">
        <x:f>SUMIFS(Games!$M$4:$M$1177,Games!$A$4:$A$1177,$A103,Games!$D$4:$D$1177,"post",Games!$G$4:$G$1177,$C103)+SUMIFS(Games!$H$4:$H$1177,Games!$A$4:$A$1177,$A103,Games!$D$4:$D$1177,"post",Games!$L$4:$L$1177,$C103)</x:f>
        <x:v>49</x:v>
      </x:c>
      <x:c r="J103" t="str">
        <x:f>E103&amp;"-"&amp;F103&amp;IF(G103&gt;0,"-"&amp;G103,"")</x:f>
        <x:v>2-1</x:v>
      </x:c>
      <x:c r="K103" t="n">
        <x:f>COUNTIFS(Games!$A$4:$A$1177,$A103,Games!$D$4:$D$1177,"post",Games!$G$4:$G$1177,$C103,Games!$T$4:$T$1177,"&lt;&gt;")+COUNTIFS(Games!$A$4:$A$1177,$A103,Games!$D$4:$D$1177,"post",Games!$L$4:$L$1177,$C103,Games!$T$4:$T$1177,"&lt;&gt;")</x:f>
        <x:v>0</x:v>
      </x:c>
      <x:c r="L103" s="80" t="n">
        <x:f>IF(D103=0,0,K103/D103)</x:f>
        <x:v>0</x:v>
      </x:c>
      <x:c r="M103" t="str">
        <x:f>IF(AND(D103&gt;=2,K103&gt;=2,L103&gt;=75%),"YES","NO")</x:f>
        <x:v>NO</x:v>
      </x:c>
    </x:row>
    <x:row r="104">
      <x:c r="A104" t="str">
        <x:v>CFB</x:v>
      </x:c>
      <x:c r="B104" t="str">
        <x:v>Massachusetts Minutemen</x:v>
      </x:c>
      <x:c r="C104" t="str">
        <x:v>MASS</x:v>
      </x:c>
      <x:c r="D104" t="n">
        <x:f>COUNTIFS(Games!$A$4:$A$1177,$A104,Games!$D$4:$D$1177,"post",Games!$G$4:$G$1177,$C104)+COUNTIFS(Games!$A$4:$A$1177,$A104,Games!$D$4:$D$1177,"post",Games!$L$4:$L$1177,$C104)</x:f>
        <x:v>3</x:v>
      </x:c>
      <x:c r="E104" t="n">
        <x:f>COUNTIFS(Games!$A$4:$A$1177,$A104,Games!$G$4:$G$1177,$C104,Games!$J$4:$J$1177,"W")+COUNTIFS(Games!$A$4:$A$1177,$A104,Games!$L$4:$L$1177,$C104,Games!$O$4:$O$1177,"W")</x:f>
        <x:v>3</x:v>
      </x:c>
      <x:c r="F104" t="n">
        <x:f>COUNTIFS(Games!$A$4:$A$1177,$A104,Games!$G$4:$G$1177,$C104,Games!$J$4:$J$1177,"L")+COUNTIFS(Games!$A$4:$A$1177,$A104,Games!$L$4:$L$1177,$C104,Games!$O$4:$O$1177,"L")</x:f>
        <x:v>0</x:v>
      </x:c>
      <x:c r="G104" t="n">
        <x:f>COUNTIFS(Games!$A$4:$A$1177,$A104,Games!$G$4:$G$1177,$C104,Games!$J$4:$J$1177,"T")+COUNTIFS(Games!$A$4:$A$1177,$A104,Games!$L$4:$L$1177,$C104,Games!$O$4:$O$1177,"T")</x:f>
        <x:v>0</x:v>
      </x:c>
      <x:c r="H104" t="n">
        <x:f>SUMIFS(Games!$H$4:$H$1177,Games!$A$4:$A$1177,$A104,Games!$D$4:$D$1177,"post",Games!$G$4:$G$1177,$C104)+SUMIFS(Games!$M$4:$M$1177,Games!$A$4:$A$1177,$A104,Games!$D$4:$D$1177,"post",Games!$L$4:$L$1177,$C104)</x:f>
        <x:v>110</x:v>
      </x:c>
      <x:c r="I104" t="n">
        <x:f>SUMIFS(Games!$M$4:$M$1177,Games!$A$4:$A$1177,$A104,Games!$D$4:$D$1177,"post",Games!$G$4:$G$1177,$C104)+SUMIFS(Games!$H$4:$H$1177,Games!$A$4:$A$1177,$A104,Games!$D$4:$D$1177,"post",Games!$L$4:$L$1177,$C104)</x:f>
        <x:v>45</x:v>
      </x:c>
      <x:c r="J104" t="str">
        <x:f>E104&amp;"-"&amp;F104&amp;IF(G104&gt;0,"-"&amp;G104,"")</x:f>
        <x:v>3-0</x:v>
      </x:c>
      <x:c r="K104" t="n">
        <x:f>COUNTIFS(Games!$A$4:$A$1177,$A104,Games!$D$4:$D$1177,"post",Games!$G$4:$G$1177,$C104,Games!$T$4:$T$1177,"&lt;&gt;")+COUNTIFS(Games!$A$4:$A$1177,$A104,Games!$D$4:$D$1177,"post",Games!$L$4:$L$1177,$C104,Games!$T$4:$T$1177,"&lt;&gt;")</x:f>
        <x:v>0</x:v>
      </x:c>
      <x:c r="L104" s="80" t="n">
        <x:f>IF(D104=0,0,K104/D104)</x:f>
        <x:v>0</x:v>
      </x:c>
      <x:c r="M104" t="str">
        <x:f>IF(AND(D104&gt;=2,K104&gt;=2,L104&gt;=75%),"YES","NO")</x:f>
        <x:v>NO</x:v>
      </x:c>
    </x:row>
    <x:row r="105">
      <x:c r="A105" t="str">
        <x:v>CFB</x:v>
      </x:c>
      <x:c r="B105" t="str">
        <x:v>McNeese Cowboys</x:v>
      </x:c>
      <x:c r="C105" t="str">
        <x:v>MCN</x:v>
      </x:c>
      <x:c r="D105" t="n">
        <x:f>COUNTIFS(Games!$A$4:$A$1177,$A105,Games!$D$4:$D$1177,"post",Games!$G$4:$G$1177,$C105)+COUNTIFS(Games!$A$4:$A$1177,$A105,Games!$D$4:$D$1177,"post",Games!$L$4:$L$1177,$C105)</x:f>
        <x:v>0</x:v>
      </x:c>
      <x:c r="E105" t="n">
        <x:f>COUNTIFS(Games!$A$4:$A$1177,$A105,Games!$G$4:$G$1177,$C105,Games!$J$4:$J$1177,"W")+COUNTIFS(Games!$A$4:$A$1177,$A105,Games!$L$4:$L$1177,$C105,Games!$O$4:$O$1177,"W")</x:f>
        <x:v>0</x:v>
      </x:c>
      <x:c r="F105" t="n">
        <x:f>COUNTIFS(Games!$A$4:$A$1177,$A105,Games!$G$4:$G$1177,$C105,Games!$J$4:$J$1177,"L")+COUNTIFS(Games!$A$4:$A$1177,$A105,Games!$L$4:$L$1177,$C105,Games!$O$4:$O$1177,"L")</x:f>
        <x:v>0</x:v>
      </x:c>
      <x:c r="G105" t="n">
        <x:f>COUNTIFS(Games!$A$4:$A$1177,$A105,Games!$G$4:$G$1177,$C105,Games!$J$4:$J$1177,"T")+COUNTIFS(Games!$A$4:$A$1177,$A105,Games!$L$4:$L$1177,$C105,Games!$O$4:$O$1177,"T")</x:f>
        <x:v>0</x:v>
      </x:c>
      <x:c r="H105" t="n">
        <x:f>SUMIFS(Games!$H$4:$H$1177,Games!$A$4:$A$1177,$A105,Games!$D$4:$D$1177,"post",Games!$G$4:$G$1177,$C105)+SUMIFS(Games!$M$4:$M$1177,Games!$A$4:$A$1177,$A105,Games!$D$4:$D$1177,"post",Games!$L$4:$L$1177,$C105)</x:f>
        <x:v>0</x:v>
      </x:c>
      <x:c r="I105" t="n">
        <x:f>SUMIFS(Games!$M$4:$M$1177,Games!$A$4:$A$1177,$A105,Games!$D$4:$D$1177,"post",Games!$G$4:$G$1177,$C105)+SUMIFS(Games!$H$4:$H$1177,Games!$A$4:$A$1177,$A105,Games!$D$4:$D$1177,"post",Games!$L$4:$L$1177,$C105)</x:f>
        <x:v>0</x:v>
      </x:c>
      <x:c r="J105" t="str">
        <x:f>E105&amp;"-"&amp;F105&amp;IF(G105&gt;0,"-"&amp;G105,"")</x:f>
        <x:v>0-0</x:v>
      </x:c>
      <x:c r="K105" t="n">
        <x:f>COUNTIFS(Games!$A$4:$A$1177,$A105,Games!$D$4:$D$1177,"post",Games!$G$4:$G$1177,$C105,Games!$T$4:$T$1177,"&lt;&gt;")+COUNTIFS(Games!$A$4:$A$1177,$A105,Games!$D$4:$D$1177,"post",Games!$L$4:$L$1177,$C105,Games!$T$4:$T$1177,"&lt;&gt;")</x:f>
        <x:v>0</x:v>
      </x:c>
      <x:c r="L105" s="80" t="n">
        <x:f>IF(D105=0,0,K105/D105)</x:f>
        <x:v>0</x:v>
      </x:c>
      <x:c r="M105" t="str">
        <x:f>IF(AND(D105&gt;=2,K105&gt;=2,L105&gt;=75%),"YES","NO")</x:f>
        <x:v>NO</x:v>
      </x:c>
    </x:row>
    <x:row r="106">
      <x:c r="A106" t="str">
        <x:v>CFB</x:v>
      </x:c>
      <x:c r="B106" t="str">
        <x:v>Memphis Tigers</x:v>
      </x:c>
      <x:c r="C106" t="str">
        <x:v>MEM</x:v>
      </x:c>
      <x:c r="D106" t="n">
        <x:f>COUNTIFS(Games!$A$4:$A$1177,$A106,Games!$D$4:$D$1177,"post",Games!$G$4:$G$1177,$C106)+COUNTIFS(Games!$A$4:$A$1177,$A106,Games!$D$4:$D$1177,"post",Games!$L$4:$L$1177,$C106)</x:f>
        <x:v>4</x:v>
      </x:c>
      <x:c r="E106" t="n">
        <x:f>COUNTIFS(Games!$A$4:$A$1177,$A106,Games!$G$4:$G$1177,$C106,Games!$J$4:$J$1177,"W")+COUNTIFS(Games!$A$4:$A$1177,$A106,Games!$L$4:$L$1177,$C106,Games!$O$4:$O$1177,"W")</x:f>
        <x:v>3</x:v>
      </x:c>
      <x:c r="F106" t="n">
        <x:f>COUNTIFS(Games!$A$4:$A$1177,$A106,Games!$G$4:$G$1177,$C106,Games!$J$4:$J$1177,"L")+COUNTIFS(Games!$A$4:$A$1177,$A106,Games!$L$4:$L$1177,$C106,Games!$O$4:$O$1177,"L")</x:f>
        <x:v>1</x:v>
      </x:c>
      <x:c r="G106" t="n">
        <x:f>COUNTIFS(Games!$A$4:$A$1177,$A106,Games!$G$4:$G$1177,$C106,Games!$J$4:$J$1177,"T")+COUNTIFS(Games!$A$4:$A$1177,$A106,Games!$L$4:$L$1177,$C106,Games!$O$4:$O$1177,"T")</x:f>
        <x:v>0</x:v>
      </x:c>
      <x:c r="H106" t="n">
        <x:f>SUMIFS(Games!$H$4:$H$1177,Games!$A$4:$A$1177,$A106,Games!$D$4:$D$1177,"post",Games!$G$4:$G$1177,$C106)+SUMIFS(Games!$M$4:$M$1177,Games!$A$4:$A$1177,$A106,Games!$D$4:$D$1177,"post",Games!$L$4:$L$1177,$C106)</x:f>
        <x:v>134</x:v>
      </x:c>
      <x:c r="I106" t="n">
        <x:f>SUMIFS(Games!$M$4:$M$1177,Games!$A$4:$A$1177,$A106,Games!$D$4:$D$1177,"post",Games!$G$4:$G$1177,$C106)+SUMIFS(Games!$H$4:$H$1177,Games!$A$4:$A$1177,$A106,Games!$D$4:$D$1177,"post",Games!$L$4:$L$1177,$C106)</x:f>
        <x:v>104</x:v>
      </x:c>
      <x:c r="J106" t="str">
        <x:f>E106&amp;"-"&amp;F106&amp;IF(G106&gt;0,"-"&amp;G106,"")</x:f>
        <x:v>3-1</x:v>
      </x:c>
      <x:c r="K106" t="n">
        <x:f>COUNTIFS(Games!$A$4:$A$1177,$A106,Games!$D$4:$D$1177,"post",Games!$G$4:$G$1177,$C106,Games!$T$4:$T$1177,"&lt;&gt;")+COUNTIFS(Games!$A$4:$A$1177,$A106,Games!$D$4:$D$1177,"post",Games!$L$4:$L$1177,$C106,Games!$T$4:$T$1177,"&lt;&gt;")</x:f>
        <x:v>0</x:v>
      </x:c>
      <x:c r="L106" s="80" t="n">
        <x:f>IF(D106=0,0,K106/D106)</x:f>
        <x:v>0</x:v>
      </x:c>
      <x:c r="M106" t="str">
        <x:f>IF(AND(D106&gt;=2,K106&gt;=2,L106&gt;=75%),"YES","NO")</x:f>
        <x:v>NO</x:v>
      </x:c>
    </x:row>
    <x:row r="107">
      <x:c r="A107" t="str">
        <x:v>CFB</x:v>
      </x:c>
      <x:c r="B107" t="str">
        <x:v>Mercer Bears</x:v>
      </x:c>
      <x:c r="C107" t="str">
        <x:v>MER</x:v>
      </x:c>
      <x:c r="D107" t="n">
        <x:f>COUNTIFS(Games!$A$4:$A$1177,$A107,Games!$D$4:$D$1177,"post",Games!$G$4:$G$1177,$C107)+COUNTIFS(Games!$A$4:$A$1177,$A107,Games!$D$4:$D$1177,"post",Games!$L$4:$L$1177,$C107)</x:f>
        <x:v>1</x:v>
      </x:c>
      <x:c r="E107" t="n">
        <x:f>COUNTIFS(Games!$A$4:$A$1177,$A107,Games!$G$4:$G$1177,$C107,Games!$J$4:$J$1177,"W")+COUNTIFS(Games!$A$4:$A$1177,$A107,Games!$L$4:$L$1177,$C107,Games!$O$4:$O$1177,"W")</x:f>
        <x:v>0</x:v>
      </x:c>
      <x:c r="F107" t="n">
        <x:f>COUNTIFS(Games!$A$4:$A$1177,$A107,Games!$G$4:$G$1177,$C107,Games!$J$4:$J$1177,"L")+COUNTIFS(Games!$A$4:$A$1177,$A107,Games!$L$4:$L$1177,$C107,Games!$O$4:$O$1177,"L")</x:f>
        <x:v>1</x:v>
      </x:c>
      <x:c r="G107" t="n">
        <x:f>COUNTIFS(Games!$A$4:$A$1177,$A107,Games!$G$4:$G$1177,$C107,Games!$J$4:$J$1177,"T")+COUNTIFS(Games!$A$4:$A$1177,$A107,Games!$L$4:$L$1177,$C107,Games!$O$4:$O$1177,"T")</x:f>
        <x:v>0</x:v>
      </x:c>
      <x:c r="H107" t="n">
        <x:f>SUMIFS(Games!$H$4:$H$1177,Games!$A$4:$A$1177,$A107,Games!$D$4:$D$1177,"post",Games!$G$4:$G$1177,$C107)+SUMIFS(Games!$M$4:$M$1177,Games!$A$4:$A$1177,$A107,Games!$D$4:$D$1177,"post",Games!$L$4:$L$1177,$C107)</x:f>
        <x:v>11</x:v>
      </x:c>
      <x:c r="I107" t="n">
        <x:f>SUMIFS(Games!$M$4:$M$1177,Games!$A$4:$A$1177,$A107,Games!$D$4:$D$1177,"post",Games!$G$4:$G$1177,$C107)+SUMIFS(Games!$H$4:$H$1177,Games!$A$4:$A$1177,$A107,Games!$D$4:$D$1177,"post",Games!$L$4:$L$1177,$C107)</x:f>
        <x:v>44</x:v>
      </x:c>
      <x:c r="J107" t="str">
        <x:f>E107&amp;"-"&amp;F107&amp;IF(G107&gt;0,"-"&amp;G107,"")</x:f>
        <x:v>0-1</x:v>
      </x:c>
      <x:c r="K107" t="n">
        <x:f>COUNTIFS(Games!$A$4:$A$1177,$A107,Games!$D$4:$D$1177,"post",Games!$G$4:$G$1177,$C107,Games!$T$4:$T$1177,"&lt;&gt;")+COUNTIFS(Games!$A$4:$A$1177,$A107,Games!$D$4:$D$1177,"post",Games!$L$4:$L$1177,$C107,Games!$T$4:$T$1177,"&lt;&gt;")</x:f>
        <x:v>0</x:v>
      </x:c>
      <x:c r="L107" s="80" t="n">
        <x:f>IF(D107=0,0,K107/D107)</x:f>
        <x:v>0</x:v>
      </x:c>
      <x:c r="M107" t="str">
        <x:f>IF(AND(D107&gt;=2,K107&gt;=2,L107&gt;=75%),"YES","NO")</x:f>
        <x:v>NO</x:v>
      </x:c>
    </x:row>
    <x:row r="108">
      <x:c r="A108" t="str">
        <x:v>CFB</x:v>
      </x:c>
      <x:c r="B108" t="str">
        <x:v>Mercyhurst Lakers</x:v>
      </x:c>
      <x:c r="C108" t="str">
        <x:v>MERC</x:v>
      </x:c>
      <x:c r="D108" t="n">
        <x:f>COUNTIFS(Games!$A$4:$A$1177,$A108,Games!$D$4:$D$1177,"post",Games!$G$4:$G$1177,$C108)+COUNTIFS(Games!$A$4:$A$1177,$A108,Games!$D$4:$D$1177,"post",Games!$L$4:$L$1177,$C108)</x:f>
        <x:v>2</x:v>
      </x:c>
      <x:c r="E108" t="n">
        <x:f>COUNTIFS(Games!$A$4:$A$1177,$A108,Games!$G$4:$G$1177,$C108,Games!$J$4:$J$1177,"W")+COUNTIFS(Games!$A$4:$A$1177,$A108,Games!$L$4:$L$1177,$C108,Games!$O$4:$O$1177,"W")</x:f>
        <x:v>0</x:v>
      </x:c>
      <x:c r="F108" t="n">
        <x:f>COUNTIFS(Games!$A$4:$A$1177,$A108,Games!$G$4:$G$1177,$C108,Games!$J$4:$J$1177,"L")+COUNTIFS(Games!$A$4:$A$1177,$A108,Games!$L$4:$L$1177,$C108,Games!$O$4:$O$1177,"L")</x:f>
        <x:v>2</x:v>
      </x:c>
      <x:c r="G108" t="n">
        <x:f>COUNTIFS(Games!$A$4:$A$1177,$A108,Games!$G$4:$G$1177,$C108,Games!$J$4:$J$1177,"T")+COUNTIFS(Games!$A$4:$A$1177,$A108,Games!$L$4:$L$1177,$C108,Games!$O$4:$O$1177,"T")</x:f>
        <x:v>0</x:v>
      </x:c>
      <x:c r="H108" t="n">
        <x:f>SUMIFS(Games!$H$4:$H$1177,Games!$A$4:$A$1177,$A108,Games!$D$4:$D$1177,"post",Games!$G$4:$G$1177,$C108)+SUMIFS(Games!$M$4:$M$1177,Games!$A$4:$A$1177,$A108,Games!$D$4:$D$1177,"post",Games!$L$4:$L$1177,$C108)</x:f>
        <x:v>21</x:v>
      </x:c>
      <x:c r="I108" t="n">
        <x:f>SUMIFS(Games!$M$4:$M$1177,Games!$A$4:$A$1177,$A108,Games!$D$4:$D$1177,"post",Games!$G$4:$G$1177,$C108)+SUMIFS(Games!$H$4:$H$1177,Games!$A$4:$A$1177,$A108,Games!$D$4:$D$1177,"post",Games!$L$4:$L$1177,$C108)</x:f>
        <x:v>121</x:v>
      </x:c>
      <x:c r="J108" t="str">
        <x:f>E108&amp;"-"&amp;F108&amp;IF(G108&gt;0,"-"&amp;G108,"")</x:f>
        <x:v>0-2</x:v>
      </x:c>
      <x:c r="K108" t="n">
        <x:f>COUNTIFS(Games!$A$4:$A$1177,$A108,Games!$D$4:$D$1177,"post",Games!$G$4:$G$1177,$C108,Games!$T$4:$T$1177,"&lt;&gt;")+COUNTIFS(Games!$A$4:$A$1177,$A108,Games!$D$4:$D$1177,"post",Games!$L$4:$L$1177,$C108,Games!$T$4:$T$1177,"&lt;&gt;")</x:f>
        <x:v>0</x:v>
      </x:c>
      <x:c r="L108" s="80" t="n">
        <x:f>IF(D108=0,0,K108/D108)</x:f>
        <x:v>0</x:v>
      </x:c>
      <x:c r="M108" t="str">
        <x:f>IF(AND(D108&gt;=2,K108&gt;=2,L108&gt;=75%),"YES","NO")</x:f>
        <x:v>NO</x:v>
      </x:c>
    </x:row>
    <x:row r="109">
      <x:c r="A109" t="str">
        <x:v>CFB</x:v>
      </x:c>
      <x:c r="B109" t="str">
        <x:v>Merrimack Warriors</x:v>
      </x:c>
      <x:c r="C109" t="str">
        <x:v>MRMK</x:v>
      </x:c>
      <x:c r="D109" t="n">
        <x:f>COUNTIFS(Games!$A$4:$A$1177,$A109,Games!$D$4:$D$1177,"post",Games!$G$4:$G$1177,$C109)+COUNTIFS(Games!$A$4:$A$1177,$A109,Games!$D$4:$D$1177,"post",Games!$L$4:$L$1177,$C109)</x:f>
        <x:v>1</x:v>
      </x:c>
      <x:c r="E109" t="n">
        <x:f>COUNTIFS(Games!$A$4:$A$1177,$A109,Games!$G$4:$G$1177,$C109,Games!$J$4:$J$1177,"W")+COUNTIFS(Games!$A$4:$A$1177,$A109,Games!$L$4:$L$1177,$C109,Games!$O$4:$O$1177,"W")</x:f>
        <x:v>0</x:v>
      </x:c>
      <x:c r="F109" t="n">
        <x:f>COUNTIFS(Games!$A$4:$A$1177,$A109,Games!$G$4:$G$1177,$C109,Games!$J$4:$J$1177,"L")+COUNTIFS(Games!$A$4:$A$1177,$A109,Games!$L$4:$L$1177,$C109,Games!$O$4:$O$1177,"L")</x:f>
        <x:v>1</x:v>
      </x:c>
      <x:c r="G109" t="n">
        <x:f>COUNTIFS(Games!$A$4:$A$1177,$A109,Games!$G$4:$G$1177,$C109,Games!$J$4:$J$1177,"T")+COUNTIFS(Games!$A$4:$A$1177,$A109,Games!$L$4:$L$1177,$C109,Games!$O$4:$O$1177,"T")</x:f>
        <x:v>0</x:v>
      </x:c>
      <x:c r="H109" t="n">
        <x:f>SUMIFS(Games!$H$4:$H$1177,Games!$A$4:$A$1177,$A109,Games!$D$4:$D$1177,"post",Games!$G$4:$G$1177,$C109)+SUMIFS(Games!$M$4:$M$1177,Games!$A$4:$A$1177,$A109,Games!$D$4:$D$1177,"post",Games!$L$4:$L$1177,$C109)</x:f>
        <x:v>7</x:v>
      </x:c>
      <x:c r="I109" t="n">
        <x:f>SUMIFS(Games!$M$4:$M$1177,Games!$A$4:$A$1177,$A109,Games!$D$4:$D$1177,"post",Games!$G$4:$G$1177,$C109)+SUMIFS(Games!$H$4:$H$1177,Games!$A$4:$A$1177,$A109,Games!$D$4:$D$1177,"post",Games!$L$4:$L$1177,$C109)</x:f>
        <x:v>42</x:v>
      </x:c>
      <x:c r="J109" t="str">
        <x:f>E109&amp;"-"&amp;F109&amp;IF(G109&gt;0,"-"&amp;G109,"")</x:f>
        <x:v>0-1</x:v>
      </x:c>
      <x:c r="K109" t="n">
        <x:f>COUNTIFS(Games!$A$4:$A$1177,$A109,Games!$D$4:$D$1177,"post",Games!$G$4:$G$1177,$C109,Games!$T$4:$T$1177,"&lt;&gt;")+COUNTIFS(Games!$A$4:$A$1177,$A109,Games!$D$4:$D$1177,"post",Games!$L$4:$L$1177,$C109,Games!$T$4:$T$1177,"&lt;&gt;")</x:f>
        <x:v>0</x:v>
      </x:c>
      <x:c r="L109" s="80" t="n">
        <x:f>IF(D109=0,0,K109/D109)</x:f>
        <x:v>0</x:v>
      </x:c>
      <x:c r="M109" t="str">
        <x:f>IF(AND(D109&gt;=2,K109&gt;=2,L109&gt;=75%),"YES","NO")</x:f>
        <x:v>NO</x:v>
      </x:c>
    </x:row>
    <x:row r="110">
      <x:c r="A110" t="str">
        <x:v>CFB</x:v>
      </x:c>
      <x:c r="B110" t="str">
        <x:v>Miami (OH) RedHawks</x:v>
      </x:c>
      <x:c r="C110" t="str">
        <x:v>M-OH</x:v>
      </x:c>
      <x:c r="D110" t="n">
        <x:f>COUNTIFS(Games!$A$4:$A$1177,$A110,Games!$D$4:$D$1177,"post",Games!$G$4:$G$1177,$C110)+COUNTIFS(Games!$A$4:$A$1177,$A110,Games!$D$4:$D$1177,"post",Games!$L$4:$L$1177,$C110)</x:f>
        <x:v>3</x:v>
      </x:c>
      <x:c r="E110" t="n">
        <x:f>COUNTIFS(Games!$A$4:$A$1177,$A110,Games!$G$4:$G$1177,$C110,Games!$J$4:$J$1177,"W")+COUNTIFS(Games!$A$4:$A$1177,$A110,Games!$L$4:$L$1177,$C110,Games!$O$4:$O$1177,"W")</x:f>
        <x:v>1</x:v>
      </x:c>
      <x:c r="F110" t="n">
        <x:f>COUNTIFS(Games!$A$4:$A$1177,$A110,Games!$G$4:$G$1177,$C110,Games!$J$4:$J$1177,"L")+COUNTIFS(Games!$A$4:$A$1177,$A110,Games!$L$4:$L$1177,$C110,Games!$O$4:$O$1177,"L")</x:f>
        <x:v>2</x:v>
      </x:c>
      <x:c r="G110" t="n">
        <x:f>COUNTIFS(Games!$A$4:$A$1177,$A110,Games!$G$4:$G$1177,$C110,Games!$J$4:$J$1177,"T")+COUNTIFS(Games!$A$4:$A$1177,$A110,Games!$L$4:$L$1177,$C110,Games!$O$4:$O$1177,"T")</x:f>
        <x:v>0</x:v>
      </x:c>
      <x:c r="H110" t="n">
        <x:f>SUMIFS(Games!$H$4:$H$1177,Games!$A$4:$A$1177,$A110,Games!$D$4:$D$1177,"post",Games!$G$4:$G$1177,$C110)+SUMIFS(Games!$M$4:$M$1177,Games!$A$4:$A$1177,$A110,Games!$D$4:$D$1177,"post",Games!$L$4:$L$1177,$C110)</x:f>
        <x:v>90</x:v>
      </x:c>
      <x:c r="I110" t="n">
        <x:f>SUMIFS(Games!$M$4:$M$1177,Games!$A$4:$A$1177,$A110,Games!$D$4:$D$1177,"post",Games!$G$4:$G$1177,$C110)+SUMIFS(Games!$H$4:$H$1177,Games!$A$4:$A$1177,$A110,Games!$D$4:$D$1177,"post",Games!$L$4:$L$1177,$C110)</x:f>
        <x:v>101</x:v>
      </x:c>
      <x:c r="J110" t="str">
        <x:f>E110&amp;"-"&amp;F110&amp;IF(G110&gt;0,"-"&amp;G110,"")</x:f>
        <x:v>1-2</x:v>
      </x:c>
      <x:c r="K110" t="n">
        <x:f>COUNTIFS(Games!$A$4:$A$1177,$A110,Games!$D$4:$D$1177,"post",Games!$G$4:$G$1177,$C110,Games!$T$4:$T$1177,"&lt;&gt;")+COUNTIFS(Games!$A$4:$A$1177,$A110,Games!$D$4:$D$1177,"post",Games!$L$4:$L$1177,$C110,Games!$T$4:$T$1177,"&lt;&gt;")</x:f>
        <x:v>0</x:v>
      </x:c>
      <x:c r="L110" s="80" t="n">
        <x:f>IF(D110=0,0,K110/D110)</x:f>
        <x:v>0</x:v>
      </x:c>
      <x:c r="M110" t="str">
        <x:f>IF(AND(D110&gt;=2,K110&gt;=2,L110&gt;=75%),"YES","NO")</x:f>
        <x:v>NO</x:v>
      </x:c>
    </x:row>
    <x:row r="111">
      <x:c r="A111" t="str">
        <x:v>CFB</x:v>
      </x:c>
      <x:c r="B111" t="str">
        <x:v>Miami Hurricanes</x:v>
      </x:c>
      <x:c r="C111" t="str">
        <x:v>MIA</x:v>
      </x:c>
      <x:c r="D111" t="n">
        <x:f>COUNTIFS(Games!$A$4:$A$1177,$A111,Games!$D$4:$D$1177,"post",Games!$G$4:$G$1177,$C111)+COUNTIFS(Games!$A$4:$A$1177,$A111,Games!$D$4:$D$1177,"post",Games!$L$4:$L$1177,$C111)</x:f>
        <x:v>3</x:v>
      </x:c>
      <x:c r="E111" t="n">
        <x:f>COUNTIFS(Games!$A$4:$A$1177,$A111,Games!$G$4:$G$1177,$C111,Games!$J$4:$J$1177,"W")+COUNTIFS(Games!$A$4:$A$1177,$A111,Games!$L$4:$L$1177,$C111,Games!$O$4:$O$1177,"W")</x:f>
        <x:v>3</x:v>
      </x:c>
      <x:c r="F111" t="n">
        <x:f>COUNTIFS(Games!$A$4:$A$1177,$A111,Games!$G$4:$G$1177,$C111,Games!$J$4:$J$1177,"L")+COUNTIFS(Games!$A$4:$A$1177,$A111,Games!$L$4:$L$1177,$C111,Games!$O$4:$O$1177,"L")</x:f>
        <x:v>0</x:v>
      </x:c>
      <x:c r="G111" t="n">
        <x:f>COUNTIFS(Games!$A$4:$A$1177,$A111,Games!$G$4:$G$1177,$C111,Games!$J$4:$J$1177,"T")+COUNTIFS(Games!$A$4:$A$1177,$A111,Games!$L$4:$L$1177,$C111,Games!$O$4:$O$1177,"T")</x:f>
        <x:v>0</x:v>
      </x:c>
      <x:c r="H111" t="n">
        <x:f>SUMIFS(Games!$H$4:$H$1177,Games!$A$4:$A$1177,$A111,Games!$D$4:$D$1177,"post",Games!$G$4:$G$1177,$C111)+SUMIFS(Games!$M$4:$M$1177,Games!$A$4:$A$1177,$A111,Games!$D$4:$D$1177,"post",Games!$L$4:$L$1177,$C111)</x:f>
        <x:v>155</x:v>
      </x:c>
      <x:c r="I111" t="n">
        <x:f>SUMIFS(Games!$M$4:$M$1177,Games!$A$4:$A$1177,$A111,Games!$D$4:$D$1177,"post",Games!$G$4:$G$1177,$C111)+SUMIFS(Games!$H$4:$H$1177,Games!$A$4:$A$1177,$A111,Games!$D$4:$D$1177,"post",Games!$L$4:$L$1177,$C111)</x:f>
        <x:v>33</x:v>
      </x:c>
      <x:c r="J111" t="str">
        <x:f>E111&amp;"-"&amp;F111&amp;IF(G111&gt;0,"-"&amp;G111,"")</x:f>
        <x:v>3-0</x:v>
      </x:c>
      <x:c r="K111" t="n">
        <x:f>COUNTIFS(Games!$A$4:$A$1177,$A111,Games!$D$4:$D$1177,"post",Games!$G$4:$G$1177,$C111,Games!$T$4:$T$1177,"&lt;&gt;")+COUNTIFS(Games!$A$4:$A$1177,$A111,Games!$D$4:$D$1177,"post",Games!$L$4:$L$1177,$C111,Games!$T$4:$T$1177,"&lt;&gt;")</x:f>
        <x:v>0</x:v>
      </x:c>
      <x:c r="L111" s="80" t="n">
        <x:f>IF(D111=0,0,K111/D111)</x:f>
        <x:v>0</x:v>
      </x:c>
      <x:c r="M111" t="str">
        <x:f>IF(AND(D111&gt;=2,K111&gt;=2,L111&gt;=75%),"YES","NO")</x:f>
        <x:v>NO</x:v>
      </x:c>
    </x:row>
    <x:row r="112">
      <x:c r="A112" t="str">
        <x:v>CFB</x:v>
      </x:c>
      <x:c r="B112" t="str">
        <x:v>Michigan State Spartans</x:v>
      </x:c>
      <x:c r="C112" t="str">
        <x:v>MSU</x:v>
      </x:c>
      <x:c r="D112" t="n">
        <x:f>COUNTIFS(Games!$A$4:$A$1177,$A112,Games!$D$4:$D$1177,"post",Games!$G$4:$G$1177,$C112)+COUNTIFS(Games!$A$4:$A$1177,$A112,Games!$D$4:$D$1177,"post",Games!$L$4:$L$1177,$C112)</x:f>
        <x:v>3</x:v>
      </x:c>
      <x:c r="E112" t="n">
        <x:f>COUNTIFS(Games!$A$4:$A$1177,$A112,Games!$G$4:$G$1177,$C112,Games!$J$4:$J$1177,"W")+COUNTIFS(Games!$A$4:$A$1177,$A112,Games!$L$4:$L$1177,$C112,Games!$O$4:$O$1177,"W")</x:f>
        <x:v>2</x:v>
      </x:c>
      <x:c r="F112" t="n">
        <x:f>COUNTIFS(Games!$A$4:$A$1177,$A112,Games!$G$4:$G$1177,$C112,Games!$J$4:$J$1177,"L")+COUNTIFS(Games!$A$4:$A$1177,$A112,Games!$L$4:$L$1177,$C112,Games!$O$4:$O$1177,"L")</x:f>
        <x:v>1</x:v>
      </x:c>
      <x:c r="G112" t="n">
        <x:f>COUNTIFS(Games!$A$4:$A$1177,$A112,Games!$G$4:$G$1177,$C112,Games!$J$4:$J$1177,"T")+COUNTIFS(Games!$A$4:$A$1177,$A112,Games!$L$4:$L$1177,$C112,Games!$O$4:$O$1177,"T")</x:f>
        <x:v>0</x:v>
      </x:c>
      <x:c r="H112" t="n">
        <x:f>SUMIFS(Games!$H$4:$H$1177,Games!$A$4:$A$1177,$A112,Games!$D$4:$D$1177,"post",Games!$G$4:$G$1177,$C112)+SUMIFS(Games!$M$4:$M$1177,Games!$A$4:$A$1177,$A112,Games!$D$4:$D$1177,"post",Games!$L$4:$L$1177,$C112)</x:f>
        <x:v>75</x:v>
      </x:c>
      <x:c r="I112" t="n">
        <x:f>SUMIFS(Games!$M$4:$M$1177,Games!$A$4:$A$1177,$A112,Games!$D$4:$D$1177,"post",Games!$G$4:$G$1177,$C112)+SUMIFS(Games!$H$4:$H$1177,Games!$A$4:$A$1177,$A112,Games!$D$4:$D$1177,"post",Games!$L$4:$L$1177,$C112)</x:f>
        <x:v>54</x:v>
      </x:c>
      <x:c r="J112" t="str">
        <x:f>E112&amp;"-"&amp;F112&amp;IF(G112&gt;0,"-"&amp;G112,"")</x:f>
        <x:v>2-1</x:v>
      </x:c>
      <x:c r="K112" t="n">
        <x:f>COUNTIFS(Games!$A$4:$A$1177,$A112,Games!$D$4:$D$1177,"post",Games!$G$4:$G$1177,$C112,Games!$T$4:$T$1177,"&lt;&gt;")+COUNTIFS(Games!$A$4:$A$1177,$A112,Games!$D$4:$D$1177,"post",Games!$L$4:$L$1177,$C112,Games!$T$4:$T$1177,"&lt;&gt;")</x:f>
        <x:v>0</x:v>
      </x:c>
      <x:c r="L112" s="80" t="n">
        <x:f>IF(D112=0,0,K112/D112)</x:f>
        <x:v>0</x:v>
      </x:c>
      <x:c r="M112" t="str">
        <x:f>IF(AND(D112&gt;=2,K112&gt;=2,L112&gt;=75%),"YES","NO")</x:f>
        <x:v>NO</x:v>
      </x:c>
    </x:row>
    <x:row r="113">
      <x:c r="A113" t="str">
        <x:v>CFB</x:v>
      </x:c>
      <x:c r="B113" t="str">
        <x:v>Michigan Wolverines</x:v>
      </x:c>
      <x:c r="C113" t="str">
        <x:v>MICH</x:v>
      </x:c>
      <x:c r="D113" t="n">
        <x:f>COUNTIFS(Games!$A$4:$A$1177,$A113,Games!$D$4:$D$1177,"post",Games!$G$4:$G$1177,$C113)+COUNTIFS(Games!$A$4:$A$1177,$A113,Games!$D$4:$D$1177,"post",Games!$L$4:$L$1177,$C113)</x:f>
        <x:v>3</x:v>
      </x:c>
      <x:c r="E113" t="n">
        <x:f>COUNTIFS(Games!$A$4:$A$1177,$A113,Games!$G$4:$G$1177,$C113,Games!$J$4:$J$1177,"W")+COUNTIFS(Games!$A$4:$A$1177,$A113,Games!$L$4:$L$1177,$C113,Games!$O$4:$O$1177,"W")</x:f>
        <x:v>3</x:v>
      </x:c>
      <x:c r="F113" t="n">
        <x:f>COUNTIFS(Games!$A$4:$A$1177,$A113,Games!$G$4:$G$1177,$C113,Games!$J$4:$J$1177,"L")+COUNTIFS(Games!$A$4:$A$1177,$A113,Games!$L$4:$L$1177,$C113,Games!$O$4:$O$1177,"L")</x:f>
        <x:v>0</x:v>
      </x:c>
      <x:c r="G113" t="n">
        <x:f>COUNTIFS(Games!$A$4:$A$1177,$A113,Games!$G$4:$G$1177,$C113,Games!$J$4:$J$1177,"T")+COUNTIFS(Games!$A$4:$A$1177,$A113,Games!$L$4:$L$1177,$C113,Games!$O$4:$O$1177,"T")</x:f>
        <x:v>0</x:v>
      </x:c>
      <x:c r="H113" t="n">
        <x:f>SUMIFS(Games!$H$4:$H$1177,Games!$A$4:$A$1177,$A113,Games!$D$4:$D$1177,"post",Games!$G$4:$G$1177,$C113)+SUMIFS(Games!$M$4:$M$1177,Games!$A$4:$A$1177,$A113,Games!$D$4:$D$1177,"post",Games!$L$4:$L$1177,$C113)</x:f>
        <x:v>82</x:v>
      </x:c>
      <x:c r="I113" t="n">
        <x:f>SUMIFS(Games!$M$4:$M$1177,Games!$A$4:$A$1177,$A113,Games!$D$4:$D$1177,"post",Games!$G$4:$G$1177,$C113)+SUMIFS(Games!$H$4:$H$1177,Games!$A$4:$A$1177,$A113,Games!$D$4:$D$1177,"post",Games!$L$4:$L$1177,$C113)</x:f>
        <x:v>39</x:v>
      </x:c>
      <x:c r="J113" t="str">
        <x:f>E113&amp;"-"&amp;F113&amp;IF(G113&gt;0,"-"&amp;G113,"")</x:f>
        <x:v>3-0</x:v>
      </x:c>
      <x:c r="K113" t="n">
        <x:f>COUNTIFS(Games!$A$4:$A$1177,$A113,Games!$D$4:$D$1177,"post",Games!$G$4:$G$1177,$C113,Games!$T$4:$T$1177,"&lt;&gt;")+COUNTIFS(Games!$A$4:$A$1177,$A113,Games!$D$4:$D$1177,"post",Games!$L$4:$L$1177,$C113,Games!$T$4:$T$1177,"&lt;&gt;")</x:f>
        <x:v>0</x:v>
      </x:c>
      <x:c r="L113" s="80" t="n">
        <x:f>IF(D113=0,0,K113/D113)</x:f>
        <x:v>0</x:v>
      </x:c>
      <x:c r="M113" t="str">
        <x:f>IF(AND(D113&gt;=2,K113&gt;=2,L113&gt;=75%),"YES","NO")</x:f>
        <x:v>NO</x:v>
      </x:c>
    </x:row>
    <x:row r="114">
      <x:c r="A114" t="str">
        <x:v>CFB</x:v>
      </x:c>
      <x:c r="B114" t="str">
        <x:v>Middle Tennessee Blue Raiders</x:v>
      </x:c>
      <x:c r="C114" t="str">
        <x:v>MTSU</x:v>
      </x:c>
      <x:c r="D114" t="n">
        <x:f>COUNTIFS(Games!$A$4:$A$1177,$A114,Games!$D$4:$D$1177,"post",Games!$G$4:$G$1177,$C114)+COUNTIFS(Games!$A$4:$A$1177,$A114,Games!$D$4:$D$1177,"post",Games!$L$4:$L$1177,$C114)</x:f>
        <x:v>3</x:v>
      </x:c>
      <x:c r="E114" t="n">
        <x:f>COUNTIFS(Games!$A$4:$A$1177,$A114,Games!$G$4:$G$1177,$C114,Games!$J$4:$J$1177,"W")+COUNTIFS(Games!$A$4:$A$1177,$A114,Games!$L$4:$L$1177,$C114,Games!$O$4:$O$1177,"W")</x:f>
        <x:v>2</x:v>
      </x:c>
      <x:c r="F114" t="n">
        <x:f>COUNTIFS(Games!$A$4:$A$1177,$A114,Games!$G$4:$G$1177,$C114,Games!$J$4:$J$1177,"L")+COUNTIFS(Games!$A$4:$A$1177,$A114,Games!$L$4:$L$1177,$C114,Games!$O$4:$O$1177,"L")</x:f>
        <x:v>1</x:v>
      </x:c>
      <x:c r="G114" t="n">
        <x:f>COUNTIFS(Games!$A$4:$A$1177,$A114,Games!$G$4:$G$1177,$C114,Games!$J$4:$J$1177,"T")+COUNTIFS(Games!$A$4:$A$1177,$A114,Games!$L$4:$L$1177,$C114,Games!$O$4:$O$1177,"T")</x:f>
        <x:v>0</x:v>
      </x:c>
      <x:c r="H114" t="n">
        <x:f>SUMIFS(Games!$H$4:$H$1177,Games!$A$4:$A$1177,$A114,Games!$D$4:$D$1177,"post",Games!$G$4:$G$1177,$C114)+SUMIFS(Games!$M$4:$M$1177,Games!$A$4:$A$1177,$A114,Games!$D$4:$D$1177,"post",Games!$L$4:$L$1177,$C114)</x:f>
        <x:v>91</x:v>
      </x:c>
      <x:c r="I114" t="n">
        <x:f>SUMIFS(Games!$M$4:$M$1177,Games!$A$4:$A$1177,$A114,Games!$D$4:$D$1177,"post",Games!$G$4:$G$1177,$C114)+SUMIFS(Games!$H$4:$H$1177,Games!$A$4:$A$1177,$A114,Games!$D$4:$D$1177,"post",Games!$L$4:$L$1177,$C114)</x:f>
        <x:v>62</x:v>
      </x:c>
      <x:c r="J114" t="str">
        <x:f>E114&amp;"-"&amp;F114&amp;IF(G114&gt;0,"-"&amp;G114,"")</x:f>
        <x:v>2-1</x:v>
      </x:c>
      <x:c r="K114" t="n">
        <x:f>COUNTIFS(Games!$A$4:$A$1177,$A114,Games!$D$4:$D$1177,"post",Games!$G$4:$G$1177,$C114,Games!$T$4:$T$1177,"&lt;&gt;")+COUNTIFS(Games!$A$4:$A$1177,$A114,Games!$D$4:$D$1177,"post",Games!$L$4:$L$1177,$C114,Games!$T$4:$T$1177,"&lt;&gt;")</x:f>
        <x:v>0</x:v>
      </x:c>
      <x:c r="L114" s="80" t="n">
        <x:f>IF(D114=0,0,K114/D114)</x:f>
        <x:v>0</x:v>
      </x:c>
      <x:c r="M114" t="str">
        <x:f>IF(AND(D114&gt;=2,K114&gt;=2,L114&gt;=75%),"YES","NO")</x:f>
        <x:v>NO</x:v>
      </x:c>
    </x:row>
    <x:row r="115">
      <x:c r="A115" t="str">
        <x:v>CFB</x:v>
      </x:c>
      <x:c r="B115" t="str">
        <x:v>Minnesota Golden Gophers</x:v>
      </x:c>
      <x:c r="C115" t="str">
        <x:v>MINN</x:v>
      </x:c>
      <x:c r="D115" t="n">
        <x:f>COUNTIFS(Games!$A$4:$A$1177,$A115,Games!$D$4:$D$1177,"post",Games!$G$4:$G$1177,$C115)+COUNTIFS(Games!$A$4:$A$1177,$A115,Games!$D$4:$D$1177,"post",Games!$L$4:$L$1177,$C115)</x:f>
        <x:v>3</x:v>
      </x:c>
      <x:c r="E115" t="n">
        <x:f>COUNTIFS(Games!$A$4:$A$1177,$A115,Games!$G$4:$G$1177,$C115,Games!$J$4:$J$1177,"W")+COUNTIFS(Games!$A$4:$A$1177,$A115,Games!$L$4:$L$1177,$C115,Games!$O$4:$O$1177,"W")</x:f>
        <x:v>2</x:v>
      </x:c>
      <x:c r="F115" t="n">
        <x:f>COUNTIFS(Games!$A$4:$A$1177,$A115,Games!$G$4:$G$1177,$C115,Games!$J$4:$J$1177,"L")+COUNTIFS(Games!$A$4:$A$1177,$A115,Games!$L$4:$L$1177,$C115,Games!$O$4:$O$1177,"L")</x:f>
        <x:v>1</x:v>
      </x:c>
      <x:c r="G115" t="n">
        <x:f>COUNTIFS(Games!$A$4:$A$1177,$A115,Games!$G$4:$G$1177,$C115,Games!$J$4:$J$1177,"T")+COUNTIFS(Games!$A$4:$A$1177,$A115,Games!$L$4:$L$1177,$C115,Games!$O$4:$O$1177,"T")</x:f>
        <x:v>0</x:v>
      </x:c>
      <x:c r="H115" t="n">
        <x:f>SUMIFS(Games!$H$4:$H$1177,Games!$A$4:$A$1177,$A115,Games!$D$4:$D$1177,"post",Games!$G$4:$G$1177,$C115)+SUMIFS(Games!$M$4:$M$1177,Games!$A$4:$A$1177,$A115,Games!$D$4:$D$1177,"post",Games!$L$4:$L$1177,$C115)</x:f>
        <x:v>113</x:v>
      </x:c>
      <x:c r="I115" t="n">
        <x:f>SUMIFS(Games!$M$4:$M$1177,Games!$A$4:$A$1177,$A115,Games!$D$4:$D$1177,"post",Games!$G$4:$G$1177,$C115)+SUMIFS(Games!$H$4:$H$1177,Games!$A$4:$A$1177,$A115,Games!$D$4:$D$1177,"post",Games!$L$4:$L$1177,$C115)</x:f>
        <x:v>52</x:v>
      </x:c>
      <x:c r="J115" t="str">
        <x:f>E115&amp;"-"&amp;F115&amp;IF(G115&gt;0,"-"&amp;G115,"")</x:f>
        <x:v>2-1</x:v>
      </x:c>
      <x:c r="K115" t="n">
        <x:f>COUNTIFS(Games!$A$4:$A$1177,$A115,Games!$D$4:$D$1177,"post",Games!$G$4:$G$1177,$C115,Games!$T$4:$T$1177,"&lt;&gt;")+COUNTIFS(Games!$A$4:$A$1177,$A115,Games!$D$4:$D$1177,"post",Games!$L$4:$L$1177,$C115,Games!$T$4:$T$1177,"&lt;&gt;")</x:f>
        <x:v>0</x:v>
      </x:c>
      <x:c r="L115" s="80" t="n">
        <x:f>IF(D115=0,0,K115/D115)</x:f>
        <x:v>0</x:v>
      </x:c>
      <x:c r="M115" t="str">
        <x:f>IF(AND(D115&gt;=2,K115&gt;=2,L115&gt;=75%),"YES","NO")</x:f>
        <x:v>NO</x:v>
      </x:c>
    </x:row>
    <x:row r="116">
      <x:c r="A116" t="str">
        <x:v>CFB</x:v>
      </x:c>
      <x:c r="B116" t="str">
        <x:v>Mississippi State Bulldogs</x:v>
      </x:c>
      <x:c r="C116" t="str">
        <x:v>MSST</x:v>
      </x:c>
      <x:c r="D116" t="n">
        <x:f>COUNTIFS(Games!$A$4:$A$1177,$A116,Games!$D$4:$D$1177,"post",Games!$G$4:$G$1177,$C116)+COUNTIFS(Games!$A$4:$A$1177,$A116,Games!$D$4:$D$1177,"post",Games!$L$4:$L$1177,$C116)</x:f>
        <x:v>3</x:v>
      </x:c>
      <x:c r="E116" t="n">
        <x:f>COUNTIFS(Games!$A$4:$A$1177,$A116,Games!$G$4:$G$1177,$C116,Games!$J$4:$J$1177,"W")+COUNTIFS(Games!$A$4:$A$1177,$A116,Games!$L$4:$L$1177,$C116,Games!$O$4:$O$1177,"W")</x:f>
        <x:v>3</x:v>
      </x:c>
      <x:c r="F116" t="n">
        <x:f>COUNTIFS(Games!$A$4:$A$1177,$A116,Games!$G$4:$G$1177,$C116,Games!$J$4:$J$1177,"L")+COUNTIFS(Games!$A$4:$A$1177,$A116,Games!$L$4:$L$1177,$C116,Games!$O$4:$O$1177,"L")</x:f>
        <x:v>0</x:v>
      </x:c>
      <x:c r="G116" t="n">
        <x:f>COUNTIFS(Games!$A$4:$A$1177,$A116,Games!$G$4:$G$1177,$C116,Games!$J$4:$J$1177,"T")+COUNTIFS(Games!$A$4:$A$1177,$A116,Games!$L$4:$L$1177,$C116,Games!$O$4:$O$1177,"T")</x:f>
        <x:v>0</x:v>
      </x:c>
      <x:c r="H116" t="n">
        <x:f>SUMIFS(Games!$H$4:$H$1177,Games!$A$4:$A$1177,$A116,Games!$D$4:$D$1177,"post",Games!$G$4:$G$1177,$C116)+SUMIFS(Games!$M$4:$M$1177,Games!$A$4:$A$1177,$A116,Games!$D$4:$D$1177,"post",Games!$L$4:$L$1177,$C116)</x:f>
        <x:v>141</x:v>
      </x:c>
      <x:c r="I116" t="n">
        <x:f>SUMIFS(Games!$M$4:$M$1177,Games!$A$4:$A$1177,$A116,Games!$D$4:$D$1177,"post",Games!$G$4:$G$1177,$C116)+SUMIFS(Games!$H$4:$H$1177,Games!$A$4:$A$1177,$A116,Games!$D$4:$D$1177,"post",Games!$L$4:$L$1177,$C116)</x:f>
        <x:v>60</x:v>
      </x:c>
      <x:c r="J116" t="str">
        <x:f>E116&amp;"-"&amp;F116&amp;IF(G116&gt;0,"-"&amp;G116,"")</x:f>
        <x:v>3-0</x:v>
      </x:c>
      <x:c r="K116" t="n">
        <x:f>COUNTIFS(Games!$A$4:$A$1177,$A116,Games!$D$4:$D$1177,"post",Games!$G$4:$G$1177,$C116,Games!$T$4:$T$1177,"&lt;&gt;")+COUNTIFS(Games!$A$4:$A$1177,$A116,Games!$D$4:$D$1177,"post",Games!$L$4:$L$1177,$C116,Games!$T$4:$T$1177,"&lt;&gt;")</x:f>
        <x:v>0</x:v>
      </x:c>
      <x:c r="L116" s="80" t="n">
        <x:f>IF(D116=0,0,K116/D116)</x:f>
        <x:v>0</x:v>
      </x:c>
      <x:c r="M116" t="str">
        <x:f>IF(AND(D116&gt;=2,K116&gt;=2,L116&gt;=75%),"YES","NO")</x:f>
        <x:v>NO</x:v>
      </x:c>
    </x:row>
    <x:row r="117">
      <x:c r="A117" t="str">
        <x:v>CFB</x:v>
      </x:c>
      <x:c r="B117" t="str">
        <x:v>Mississippi Valley State Delta Devils</x:v>
      </x:c>
      <x:c r="C117" t="str">
        <x:v>MVSU</x:v>
      </x:c>
      <x:c r="D117" t="n">
        <x:f>COUNTIFS(Games!$A$4:$A$1177,$A117,Games!$D$4:$D$1177,"post",Games!$G$4:$G$1177,$C117)+COUNTIFS(Games!$A$4:$A$1177,$A117,Games!$D$4:$D$1177,"post",Games!$L$4:$L$1177,$C117)</x:f>
        <x:v>1</x:v>
      </x:c>
      <x:c r="E117" t="n">
        <x:f>COUNTIFS(Games!$A$4:$A$1177,$A117,Games!$G$4:$G$1177,$C117,Games!$J$4:$J$1177,"W")+COUNTIFS(Games!$A$4:$A$1177,$A117,Games!$L$4:$L$1177,$C117,Games!$O$4:$O$1177,"W")</x:f>
        <x:v>0</x:v>
      </x:c>
      <x:c r="F117" t="n">
        <x:f>COUNTIFS(Games!$A$4:$A$1177,$A117,Games!$G$4:$G$1177,$C117,Games!$J$4:$J$1177,"L")+COUNTIFS(Games!$A$4:$A$1177,$A117,Games!$L$4:$L$1177,$C117,Games!$O$4:$O$1177,"L")</x:f>
        <x:v>1</x:v>
      </x:c>
      <x:c r="G117" t="n">
        <x:f>COUNTIFS(Games!$A$4:$A$1177,$A117,Games!$G$4:$G$1177,$C117,Games!$J$4:$J$1177,"T")+COUNTIFS(Games!$A$4:$A$1177,$A117,Games!$L$4:$L$1177,$C117,Games!$O$4:$O$1177,"T")</x:f>
        <x:v>0</x:v>
      </x:c>
      <x:c r="H117" t="n">
        <x:f>SUMIFS(Games!$H$4:$H$1177,Games!$A$4:$A$1177,$A117,Games!$D$4:$D$1177,"post",Games!$G$4:$G$1177,$C117)+SUMIFS(Games!$M$4:$M$1177,Games!$A$4:$A$1177,$A117,Games!$D$4:$D$1177,"post",Games!$L$4:$L$1177,$C117)</x:f>
        <x:v>0</x:v>
      </x:c>
      <x:c r="I117" t="n">
        <x:f>SUMIFS(Games!$M$4:$M$1177,Games!$A$4:$A$1177,$A117,Games!$D$4:$D$1177,"post",Games!$G$4:$G$1177,$C117)+SUMIFS(Games!$H$4:$H$1177,Games!$A$4:$A$1177,$A117,Games!$D$4:$D$1177,"post",Games!$L$4:$L$1177,$C117)</x:f>
        <x:v>52</x:v>
      </x:c>
      <x:c r="J117" t="str">
        <x:f>E117&amp;"-"&amp;F117&amp;IF(G117&gt;0,"-"&amp;G117,"")</x:f>
        <x:v>0-1</x:v>
      </x:c>
      <x:c r="K117" t="n">
        <x:f>COUNTIFS(Games!$A$4:$A$1177,$A117,Games!$D$4:$D$1177,"post",Games!$G$4:$G$1177,$C117,Games!$T$4:$T$1177,"&lt;&gt;")+COUNTIFS(Games!$A$4:$A$1177,$A117,Games!$D$4:$D$1177,"post",Games!$L$4:$L$1177,$C117,Games!$T$4:$T$1177,"&lt;&gt;")</x:f>
        <x:v>0</x:v>
      </x:c>
      <x:c r="L117" s="80" t="n">
        <x:f>IF(D117=0,0,K117/D117)</x:f>
        <x:v>0</x:v>
      </x:c>
      <x:c r="M117" t="str">
        <x:f>IF(AND(D117&gt;=2,K117&gt;=2,L117&gt;=75%),"YES","NO")</x:f>
        <x:v>NO</x:v>
      </x:c>
    </x:row>
    <x:row r="118">
      <x:c r="A118" t="str">
        <x:v>CFB</x:v>
      </x:c>
      <x:c r="B118" t="str">
        <x:v>Missouri State Bears</x:v>
      </x:c>
      <x:c r="C118" t="str">
        <x:v>MOST</x:v>
      </x:c>
      <x:c r="D118" t="n">
        <x:f>COUNTIFS(Games!$A$4:$A$1177,$A118,Games!$D$4:$D$1177,"post",Games!$G$4:$G$1177,$C118)+COUNTIFS(Games!$A$4:$A$1177,$A118,Games!$D$4:$D$1177,"post",Games!$L$4:$L$1177,$C118)</x:f>
        <x:v>3</x:v>
      </x:c>
      <x:c r="E118" t="n">
        <x:f>COUNTIFS(Games!$A$4:$A$1177,$A118,Games!$G$4:$G$1177,$C118,Games!$J$4:$J$1177,"W")+COUNTIFS(Games!$A$4:$A$1177,$A118,Games!$L$4:$L$1177,$C118,Games!$O$4:$O$1177,"W")</x:f>
        <x:v>1</x:v>
      </x:c>
      <x:c r="F118" t="n">
        <x:f>COUNTIFS(Games!$A$4:$A$1177,$A118,Games!$G$4:$G$1177,$C118,Games!$J$4:$J$1177,"L")+COUNTIFS(Games!$A$4:$A$1177,$A118,Games!$L$4:$L$1177,$C118,Games!$O$4:$O$1177,"L")</x:f>
        <x:v>2</x:v>
      </x:c>
      <x:c r="G118" t="n">
        <x:f>COUNTIFS(Games!$A$4:$A$1177,$A118,Games!$G$4:$G$1177,$C118,Games!$J$4:$J$1177,"T")+COUNTIFS(Games!$A$4:$A$1177,$A118,Games!$L$4:$L$1177,$C118,Games!$O$4:$O$1177,"T")</x:f>
        <x:v>0</x:v>
      </x:c>
      <x:c r="H118" t="n">
        <x:f>SUMIFS(Games!$H$4:$H$1177,Games!$A$4:$A$1177,$A118,Games!$D$4:$D$1177,"post",Games!$G$4:$G$1177,$C118)+SUMIFS(Games!$M$4:$M$1177,Games!$A$4:$A$1177,$A118,Games!$D$4:$D$1177,"post",Games!$L$4:$L$1177,$C118)</x:f>
        <x:v>72</x:v>
      </x:c>
      <x:c r="I118" t="n">
        <x:f>SUMIFS(Games!$M$4:$M$1177,Games!$A$4:$A$1177,$A118,Games!$D$4:$D$1177,"post",Games!$G$4:$G$1177,$C118)+SUMIFS(Games!$H$4:$H$1177,Games!$A$4:$A$1177,$A118,Games!$D$4:$D$1177,"post",Games!$L$4:$L$1177,$C118)</x:f>
        <x:v>94</x:v>
      </x:c>
      <x:c r="J118" t="str">
        <x:f>E118&amp;"-"&amp;F118&amp;IF(G118&gt;0,"-"&amp;G118,"")</x:f>
        <x:v>1-2</x:v>
      </x:c>
      <x:c r="K118" t="n">
        <x:f>COUNTIFS(Games!$A$4:$A$1177,$A118,Games!$D$4:$D$1177,"post",Games!$G$4:$G$1177,$C118,Games!$T$4:$T$1177,"&lt;&gt;")+COUNTIFS(Games!$A$4:$A$1177,$A118,Games!$D$4:$D$1177,"post",Games!$L$4:$L$1177,$C118,Games!$T$4:$T$1177,"&lt;&gt;")</x:f>
        <x:v>0</x:v>
      </x:c>
      <x:c r="L118" s="80" t="n">
        <x:f>IF(D118=0,0,K118/D118)</x:f>
        <x:v>0</x:v>
      </x:c>
      <x:c r="M118" t="str">
        <x:f>IF(AND(D118&gt;=2,K118&gt;=2,L118&gt;=75%),"YES","NO")</x:f>
        <x:v>NO</x:v>
      </x:c>
    </x:row>
    <x:row r="119">
      <x:c r="A119" t="str">
        <x:v>CFB</x:v>
      </x:c>
      <x:c r="B119" t="str">
        <x:v>Missouri Tigers</x:v>
      </x:c>
      <x:c r="C119" t="str">
        <x:v>MIZ</x:v>
      </x:c>
      <x:c r="D119" t="n">
        <x:f>COUNTIFS(Games!$A$4:$A$1177,$A119,Games!$D$4:$D$1177,"post",Games!$G$4:$G$1177,$C119)+COUNTIFS(Games!$A$4:$A$1177,$A119,Games!$D$4:$D$1177,"post",Games!$L$4:$L$1177,$C119)</x:f>
        <x:v>3</x:v>
      </x:c>
      <x:c r="E119" t="n">
        <x:f>COUNTIFS(Games!$A$4:$A$1177,$A119,Games!$G$4:$G$1177,$C119,Games!$J$4:$J$1177,"W")+COUNTIFS(Games!$A$4:$A$1177,$A119,Games!$L$4:$L$1177,$C119,Games!$O$4:$O$1177,"W")</x:f>
        <x:v>3</x:v>
      </x:c>
      <x:c r="F119" t="n">
        <x:f>COUNTIFS(Games!$A$4:$A$1177,$A119,Games!$G$4:$G$1177,$C119,Games!$J$4:$J$1177,"L")+COUNTIFS(Games!$A$4:$A$1177,$A119,Games!$L$4:$L$1177,$C119,Games!$O$4:$O$1177,"L")</x:f>
        <x:v>0</x:v>
      </x:c>
      <x:c r="G119" t="n">
        <x:f>COUNTIFS(Games!$A$4:$A$1177,$A119,Games!$G$4:$G$1177,$C119,Games!$J$4:$J$1177,"T")+COUNTIFS(Games!$A$4:$A$1177,$A119,Games!$L$4:$L$1177,$C119,Games!$O$4:$O$1177,"T")</x:f>
        <x:v>0</x:v>
      </x:c>
      <x:c r="H119" t="n">
        <x:f>SUMIFS(Games!$H$4:$H$1177,Games!$A$4:$A$1177,$A119,Games!$D$4:$D$1177,"post",Games!$G$4:$G$1177,$C119)+SUMIFS(Games!$M$4:$M$1177,Games!$A$4:$A$1177,$A119,Games!$D$4:$D$1177,"post",Games!$L$4:$L$1177,$C119)</x:f>
        <x:v>119</x:v>
      </x:c>
      <x:c r="I119" t="n">
        <x:f>SUMIFS(Games!$M$4:$M$1177,Games!$A$4:$A$1177,$A119,Games!$D$4:$D$1177,"post",Games!$G$4:$G$1177,$C119)+SUMIFS(Games!$H$4:$H$1177,Games!$A$4:$A$1177,$A119,Games!$D$4:$D$1177,"post",Games!$L$4:$L$1177,$C119)</x:f>
        <x:v>52</x:v>
      </x:c>
      <x:c r="J119" t="str">
        <x:f>E119&amp;"-"&amp;F119&amp;IF(G119&gt;0,"-"&amp;G119,"")</x:f>
        <x:v>3-0</x:v>
      </x:c>
      <x:c r="K119" t="n">
        <x:f>COUNTIFS(Games!$A$4:$A$1177,$A119,Games!$D$4:$D$1177,"post",Games!$G$4:$G$1177,$C119,Games!$T$4:$T$1177,"&lt;&gt;")+COUNTIFS(Games!$A$4:$A$1177,$A119,Games!$D$4:$D$1177,"post",Games!$L$4:$L$1177,$C119,Games!$T$4:$T$1177,"&lt;&gt;")</x:f>
        <x:v>0</x:v>
      </x:c>
      <x:c r="L119" s="80" t="n">
        <x:f>IF(D119=0,0,K119/D119)</x:f>
        <x:v>0</x:v>
      </x:c>
      <x:c r="M119" t="str">
        <x:f>IF(AND(D119&gt;=2,K119&gt;=2,L119&gt;=75%),"YES","NO")</x:f>
        <x:v>NO</x:v>
      </x:c>
    </x:row>
    <x:row r="120">
      <x:c r="A120" t="str">
        <x:v>CFB</x:v>
      </x:c>
      <x:c r="B120" t="str">
        <x:v>Monmouth Hawks</x:v>
      </x:c>
      <x:c r="C120" t="str">
        <x:v>MONM</x:v>
      </x:c>
      <x:c r="D120" t="n">
        <x:f>COUNTIFS(Games!$A$4:$A$1177,$A120,Games!$D$4:$D$1177,"post",Games!$G$4:$G$1177,$C120)+COUNTIFS(Games!$A$4:$A$1177,$A120,Games!$D$4:$D$1177,"post",Games!$L$4:$L$1177,$C120)</x:f>
        <x:v>1</x:v>
      </x:c>
      <x:c r="E120" t="n">
        <x:f>COUNTIFS(Games!$A$4:$A$1177,$A120,Games!$G$4:$G$1177,$C120,Games!$J$4:$J$1177,"W")+COUNTIFS(Games!$A$4:$A$1177,$A120,Games!$L$4:$L$1177,$C120,Games!$O$4:$O$1177,"W")</x:f>
        <x:v>0</x:v>
      </x:c>
      <x:c r="F120" t="n">
        <x:f>COUNTIFS(Games!$A$4:$A$1177,$A120,Games!$G$4:$G$1177,$C120,Games!$J$4:$J$1177,"L")+COUNTIFS(Games!$A$4:$A$1177,$A120,Games!$L$4:$L$1177,$C120,Games!$O$4:$O$1177,"L")</x:f>
        <x:v>1</x:v>
      </x:c>
      <x:c r="G120" t="n">
        <x:f>COUNTIFS(Games!$A$4:$A$1177,$A120,Games!$G$4:$G$1177,$C120,Games!$J$4:$J$1177,"T")+COUNTIFS(Games!$A$4:$A$1177,$A120,Games!$L$4:$L$1177,$C120,Games!$O$4:$O$1177,"T")</x:f>
        <x:v>0</x:v>
      </x:c>
      <x:c r="H120" t="n">
        <x:f>SUMIFS(Games!$H$4:$H$1177,Games!$A$4:$A$1177,$A120,Games!$D$4:$D$1177,"post",Games!$G$4:$G$1177,$C120)+SUMIFS(Games!$M$4:$M$1177,Games!$A$4:$A$1177,$A120,Games!$D$4:$D$1177,"post",Games!$L$4:$L$1177,$C120)</x:f>
        <x:v>14</x:v>
      </x:c>
      <x:c r="I120" t="n">
        <x:f>SUMIFS(Games!$M$4:$M$1177,Games!$A$4:$A$1177,$A120,Games!$D$4:$D$1177,"post",Games!$G$4:$G$1177,$C120)+SUMIFS(Games!$H$4:$H$1177,Games!$A$4:$A$1177,$A120,Games!$D$4:$D$1177,"post",Games!$L$4:$L$1177,$C120)</x:f>
        <x:v>49</x:v>
      </x:c>
      <x:c r="J120" t="str">
        <x:f>E120&amp;"-"&amp;F120&amp;IF(G120&gt;0,"-"&amp;G120,"")</x:f>
        <x:v>0-1</x:v>
      </x:c>
      <x:c r="K120" t="n">
        <x:f>COUNTIFS(Games!$A$4:$A$1177,$A120,Games!$D$4:$D$1177,"post",Games!$G$4:$G$1177,$C120,Games!$T$4:$T$1177,"&lt;&gt;")+COUNTIFS(Games!$A$4:$A$1177,$A120,Games!$D$4:$D$1177,"post",Games!$L$4:$L$1177,$C120,Games!$T$4:$T$1177,"&lt;&gt;")</x:f>
        <x:v>0</x:v>
      </x:c>
      <x:c r="L120" s="80" t="n">
        <x:f>IF(D120=0,0,K120/D120)</x:f>
        <x:v>0</x:v>
      </x:c>
      <x:c r="M120" t="str">
        <x:f>IF(AND(D120&gt;=2,K120&gt;=2,L120&gt;=75%),"YES","NO")</x:f>
        <x:v>NO</x:v>
      </x:c>
    </x:row>
    <x:row r="121">
      <x:c r="A121" t="str">
        <x:v>CFB</x:v>
      </x:c>
      <x:c r="B121" t="str">
        <x:v>Montana Grizzlies</x:v>
      </x:c>
      <x:c r="C121" t="str">
        <x:v>MONT</x:v>
      </x:c>
      <x:c r="D121" t="n">
        <x:f>COUNTIFS(Games!$A$4:$A$1177,$A121,Games!$D$4:$D$1177,"post",Games!$G$4:$G$1177,$C121)+COUNTIFS(Games!$A$4:$A$1177,$A121,Games!$D$4:$D$1177,"post",Games!$L$4:$L$1177,$C121)</x:f>
        <x:v>1</x:v>
      </x:c>
      <x:c r="E121" t="n">
        <x:f>COUNTIFS(Games!$A$4:$A$1177,$A121,Games!$G$4:$G$1177,$C121,Games!$J$4:$J$1177,"W")+COUNTIFS(Games!$A$4:$A$1177,$A121,Games!$L$4:$L$1177,$C121,Games!$O$4:$O$1177,"W")</x:f>
        <x:v>0</x:v>
      </x:c>
      <x:c r="F121" t="n">
        <x:f>COUNTIFS(Games!$A$4:$A$1177,$A121,Games!$G$4:$G$1177,$C121,Games!$J$4:$J$1177,"L")+COUNTIFS(Games!$A$4:$A$1177,$A121,Games!$L$4:$L$1177,$C121,Games!$O$4:$O$1177,"L")</x:f>
        <x:v>1</x:v>
      </x:c>
      <x:c r="G121" t="n">
        <x:f>COUNTIFS(Games!$A$4:$A$1177,$A121,Games!$G$4:$G$1177,$C121,Games!$J$4:$J$1177,"T")+COUNTIFS(Games!$A$4:$A$1177,$A121,Games!$L$4:$L$1177,$C121,Games!$O$4:$O$1177,"T")</x:f>
        <x:v>0</x:v>
      </x:c>
      <x:c r="H121" t="n">
        <x:f>SUMIFS(Games!$H$4:$H$1177,Games!$A$4:$A$1177,$A121,Games!$D$4:$D$1177,"post",Games!$G$4:$G$1177,$C121)+SUMIFS(Games!$M$4:$M$1177,Games!$A$4:$A$1177,$A121,Games!$D$4:$D$1177,"post",Games!$L$4:$L$1177,$C121)</x:f>
        <x:v>17</x:v>
      </x:c>
      <x:c r="I121" t="n">
        <x:f>SUMIFS(Games!$M$4:$M$1177,Games!$A$4:$A$1177,$A121,Games!$D$4:$D$1177,"post",Games!$G$4:$G$1177,$C121)+SUMIFS(Games!$H$4:$H$1177,Games!$A$4:$A$1177,$A121,Games!$D$4:$D$1177,"post",Games!$L$4:$L$1177,$C121)</x:f>
        <x:v>52</x:v>
      </x:c>
      <x:c r="J121" t="str">
        <x:f>E121&amp;"-"&amp;F121&amp;IF(G121&gt;0,"-"&amp;G121,"")</x:f>
        <x:v>0-1</x:v>
      </x:c>
      <x:c r="K121" t="n">
        <x:f>COUNTIFS(Games!$A$4:$A$1177,$A121,Games!$D$4:$D$1177,"post",Games!$G$4:$G$1177,$C121,Games!$T$4:$T$1177,"&lt;&gt;")+COUNTIFS(Games!$A$4:$A$1177,$A121,Games!$D$4:$D$1177,"post",Games!$L$4:$L$1177,$C121,Games!$T$4:$T$1177,"&lt;&gt;")</x:f>
        <x:v>0</x:v>
      </x:c>
      <x:c r="L121" s="80" t="n">
        <x:f>IF(D121=0,0,K121/D121)</x:f>
        <x:v>0</x:v>
      </x:c>
      <x:c r="M121" t="str">
        <x:f>IF(AND(D121&gt;=2,K121&gt;=2,L121&gt;=75%),"YES","NO")</x:f>
        <x:v>NO</x:v>
      </x:c>
    </x:row>
    <x:row r="122">
      <x:c r="A122" t="str">
        <x:v>CFB</x:v>
      </x:c>
      <x:c r="B122" t="str">
        <x:v>Montana State Bobcats</x:v>
      </x:c>
      <x:c r="C122" t="str">
        <x:v>MTST</x:v>
      </x:c>
      <x:c r="D122" t="n">
        <x:f>COUNTIFS(Games!$A$4:$A$1177,$A122,Games!$D$4:$D$1177,"post",Games!$G$4:$G$1177,$C122)+COUNTIFS(Games!$A$4:$A$1177,$A122,Games!$D$4:$D$1177,"post",Games!$L$4:$L$1177,$C122)</x:f>
        <x:v>1</x:v>
      </x:c>
      <x:c r="E122" t="n">
        <x:f>COUNTIFS(Games!$A$4:$A$1177,$A122,Games!$G$4:$G$1177,$C122,Games!$J$4:$J$1177,"W")+COUNTIFS(Games!$A$4:$A$1177,$A122,Games!$L$4:$L$1177,$C122,Games!$O$4:$O$1177,"W")</x:f>
        <x:v>1</x:v>
      </x:c>
      <x:c r="F122" t="n">
        <x:f>COUNTIFS(Games!$A$4:$A$1177,$A122,Games!$G$4:$G$1177,$C122,Games!$J$4:$J$1177,"L")+COUNTIFS(Games!$A$4:$A$1177,$A122,Games!$L$4:$L$1177,$C122,Games!$O$4:$O$1177,"L")</x:f>
        <x:v>0</x:v>
      </x:c>
      <x:c r="G122" t="n">
        <x:f>COUNTIFS(Games!$A$4:$A$1177,$A122,Games!$G$4:$G$1177,$C122,Games!$J$4:$J$1177,"T")+COUNTIFS(Games!$A$4:$A$1177,$A122,Games!$L$4:$L$1177,$C122,Games!$O$4:$O$1177,"T")</x:f>
        <x:v>0</x:v>
      </x:c>
      <x:c r="H122" t="n">
        <x:f>SUMIFS(Games!$H$4:$H$1177,Games!$A$4:$A$1177,$A122,Games!$D$4:$D$1177,"post",Games!$G$4:$G$1177,$C122)+SUMIFS(Games!$M$4:$M$1177,Games!$A$4:$A$1177,$A122,Games!$D$4:$D$1177,"post",Games!$L$4:$L$1177,$C122)</x:f>
        <x:v>20</x:v>
      </x:c>
      <x:c r="I122" t="n">
        <x:f>SUMIFS(Games!$M$4:$M$1177,Games!$A$4:$A$1177,$A122,Games!$D$4:$D$1177,"post",Games!$G$4:$G$1177,$C122)+SUMIFS(Games!$H$4:$H$1177,Games!$A$4:$A$1177,$A122,Games!$D$4:$D$1177,"post",Games!$L$4:$L$1177,$C122)</x:f>
        <x:v>7</x:v>
      </x:c>
      <x:c r="J122" t="str">
        <x:f>E122&amp;"-"&amp;F122&amp;IF(G122&gt;0,"-"&amp;G122,"")</x:f>
        <x:v>1-0</x:v>
      </x:c>
      <x:c r="K122" t="n">
        <x:f>COUNTIFS(Games!$A$4:$A$1177,$A122,Games!$D$4:$D$1177,"post",Games!$G$4:$G$1177,$C122,Games!$T$4:$T$1177,"&lt;&gt;")+COUNTIFS(Games!$A$4:$A$1177,$A122,Games!$D$4:$D$1177,"post",Games!$L$4:$L$1177,$C122,Games!$T$4:$T$1177,"&lt;&gt;")</x:f>
        <x:v>0</x:v>
      </x:c>
      <x:c r="L122" s="80" t="n">
        <x:f>IF(D122=0,0,K122/D122)</x:f>
        <x:v>0</x:v>
      </x:c>
      <x:c r="M122" t="str">
        <x:f>IF(AND(D122&gt;=2,K122&gt;=2,L122&gt;=75%),"YES","NO")</x:f>
        <x:v>NO</x:v>
      </x:c>
    </x:row>
    <x:row r="123">
      <x:c r="A123" t="str">
        <x:v>CFB</x:v>
      </x:c>
      <x:c r="B123" t="str">
        <x:v>Morgan State Bears</x:v>
      </x:c>
      <x:c r="C123" t="str">
        <x:v>MORG</x:v>
      </x:c>
      <x:c r="D123" t="n">
        <x:f>COUNTIFS(Games!$A$4:$A$1177,$A123,Games!$D$4:$D$1177,"post",Games!$G$4:$G$1177,$C123)+COUNTIFS(Games!$A$4:$A$1177,$A123,Games!$D$4:$D$1177,"post",Games!$L$4:$L$1177,$C123)</x:f>
        <x:v>1</x:v>
      </x:c>
      <x:c r="E123" t="n">
        <x:f>COUNTIFS(Games!$A$4:$A$1177,$A123,Games!$G$4:$G$1177,$C123,Games!$J$4:$J$1177,"W")+COUNTIFS(Games!$A$4:$A$1177,$A123,Games!$L$4:$L$1177,$C123,Games!$O$4:$O$1177,"W")</x:f>
        <x:v>0</x:v>
      </x:c>
      <x:c r="F123" t="n">
        <x:f>COUNTIFS(Games!$A$4:$A$1177,$A123,Games!$G$4:$G$1177,$C123,Games!$J$4:$J$1177,"L")+COUNTIFS(Games!$A$4:$A$1177,$A123,Games!$L$4:$L$1177,$C123,Games!$O$4:$O$1177,"L")</x:f>
        <x:v>1</x:v>
      </x:c>
      <x:c r="G123" t="n">
        <x:f>COUNTIFS(Games!$A$4:$A$1177,$A123,Games!$G$4:$G$1177,$C123,Games!$J$4:$J$1177,"T")+COUNTIFS(Games!$A$4:$A$1177,$A123,Games!$L$4:$L$1177,$C123,Games!$O$4:$O$1177,"T")</x:f>
        <x:v>0</x:v>
      </x:c>
      <x:c r="H123" t="n">
        <x:f>SUMIFS(Games!$H$4:$H$1177,Games!$A$4:$A$1177,$A123,Games!$D$4:$D$1177,"post",Games!$G$4:$G$1177,$C123)+SUMIFS(Games!$M$4:$M$1177,Games!$A$4:$A$1177,$A123,Games!$D$4:$D$1177,"post",Games!$L$4:$L$1177,$C123)</x:f>
        <x:v>7</x:v>
      </x:c>
      <x:c r="I123" t="n">
        <x:f>SUMIFS(Games!$M$4:$M$1177,Games!$A$4:$A$1177,$A123,Games!$D$4:$D$1177,"post",Games!$G$4:$G$1177,$C123)+SUMIFS(Games!$H$4:$H$1177,Games!$A$4:$A$1177,$A123,Games!$D$4:$D$1177,"post",Games!$L$4:$L$1177,$C123)</x:f>
        <x:v>70</x:v>
      </x:c>
      <x:c r="J123" t="str">
        <x:f>E123&amp;"-"&amp;F123&amp;IF(G123&gt;0,"-"&amp;G123,"")</x:f>
        <x:v>0-1</x:v>
      </x:c>
      <x:c r="K123" t="n">
        <x:f>COUNTIFS(Games!$A$4:$A$1177,$A123,Games!$D$4:$D$1177,"post",Games!$G$4:$G$1177,$C123,Games!$T$4:$T$1177,"&lt;&gt;")+COUNTIFS(Games!$A$4:$A$1177,$A123,Games!$D$4:$D$1177,"post",Games!$L$4:$L$1177,$C123,Games!$T$4:$T$1177,"&lt;&gt;")</x:f>
        <x:v>0</x:v>
      </x:c>
      <x:c r="L123" s="80" t="n">
        <x:f>IF(D123=0,0,K123/D123)</x:f>
        <x:v>0</x:v>
      </x:c>
      <x:c r="M123" t="str">
        <x:f>IF(AND(D123&gt;=2,K123&gt;=2,L123&gt;=75%),"YES","NO")</x:f>
        <x:v>NO</x:v>
      </x:c>
    </x:row>
    <x:row r="124">
      <x:c r="A124" t="str">
        <x:v>CFB</x:v>
      </x:c>
      <x:c r="B124" t="str">
        <x:v>Murray State Racers</x:v>
      </x:c>
      <x:c r="C124" t="str">
        <x:v>MUR</x:v>
      </x:c>
      <x:c r="D124" t="n">
        <x:f>COUNTIFS(Games!$A$4:$A$1177,$A124,Games!$D$4:$D$1177,"post",Games!$G$4:$G$1177,$C124)+COUNTIFS(Games!$A$4:$A$1177,$A124,Games!$D$4:$D$1177,"post",Games!$L$4:$L$1177,$C124)</x:f>
        <x:v>2</x:v>
      </x:c>
      <x:c r="E124" t="n">
        <x:f>COUNTIFS(Games!$A$4:$A$1177,$A124,Games!$G$4:$G$1177,$C124,Games!$J$4:$J$1177,"W")+COUNTIFS(Games!$A$4:$A$1177,$A124,Games!$L$4:$L$1177,$C124,Games!$O$4:$O$1177,"W")</x:f>
        <x:v>0</x:v>
      </x:c>
      <x:c r="F124" t="n">
        <x:f>COUNTIFS(Games!$A$4:$A$1177,$A124,Games!$G$4:$G$1177,$C124,Games!$J$4:$J$1177,"L")+COUNTIFS(Games!$A$4:$A$1177,$A124,Games!$L$4:$L$1177,$C124,Games!$O$4:$O$1177,"L")</x:f>
        <x:v>2</x:v>
      </x:c>
      <x:c r="G124" t="n">
        <x:f>COUNTIFS(Games!$A$4:$A$1177,$A124,Games!$G$4:$G$1177,$C124,Games!$J$4:$J$1177,"T")+COUNTIFS(Games!$A$4:$A$1177,$A124,Games!$L$4:$L$1177,$C124,Games!$O$4:$O$1177,"T")</x:f>
        <x:v>0</x:v>
      </x:c>
      <x:c r="H124" t="n">
        <x:f>SUMIFS(Games!$H$4:$H$1177,Games!$A$4:$A$1177,$A124,Games!$D$4:$D$1177,"post",Games!$G$4:$G$1177,$C124)+SUMIFS(Games!$M$4:$M$1177,Games!$A$4:$A$1177,$A124,Games!$D$4:$D$1177,"post",Games!$L$4:$L$1177,$C124)</x:f>
        <x:v>14</x:v>
      </x:c>
      <x:c r="I124" t="n">
        <x:f>SUMIFS(Games!$M$4:$M$1177,Games!$A$4:$A$1177,$A124,Games!$D$4:$D$1177,"post",Games!$G$4:$G$1177,$C124)+SUMIFS(Games!$H$4:$H$1177,Games!$A$4:$A$1177,$A124,Games!$D$4:$D$1177,"post",Games!$L$4:$L$1177,$C124)</x:f>
        <x:v>97</x:v>
      </x:c>
      <x:c r="J124" t="str">
        <x:f>E124&amp;"-"&amp;F124&amp;IF(G124&gt;0,"-"&amp;G124,"")</x:f>
        <x:v>0-2</x:v>
      </x:c>
      <x:c r="K124" t="n">
        <x:f>COUNTIFS(Games!$A$4:$A$1177,$A124,Games!$D$4:$D$1177,"post",Games!$G$4:$G$1177,$C124,Games!$T$4:$T$1177,"&lt;&gt;")+COUNTIFS(Games!$A$4:$A$1177,$A124,Games!$D$4:$D$1177,"post",Games!$L$4:$L$1177,$C124,Games!$T$4:$T$1177,"&lt;&gt;")</x:f>
        <x:v>0</x:v>
      </x:c>
      <x:c r="L124" s="80" t="n">
        <x:f>IF(D124=0,0,K124/D124)</x:f>
        <x:v>0</x:v>
      </x:c>
      <x:c r="M124" t="str">
        <x:f>IF(AND(D124&gt;=2,K124&gt;=2,L124&gt;=75%),"YES","NO")</x:f>
        <x:v>NO</x:v>
      </x:c>
    </x:row>
    <x:row r="125">
      <x:c r="A125" t="str">
        <x:v>CFB</x:v>
      </x:c>
      <x:c r="B125" t="str">
        <x:v>Navy Midshipmen</x:v>
      </x:c>
      <x:c r="C125" t="str">
        <x:v>NAVY</x:v>
      </x:c>
      <x:c r="D125" t="n">
        <x:f>COUNTIFS(Games!$A$4:$A$1177,$A125,Games!$D$4:$D$1177,"post",Games!$G$4:$G$1177,$C125)+COUNTIFS(Games!$A$4:$A$1177,$A125,Games!$D$4:$D$1177,"post",Games!$L$4:$L$1177,$C125)</x:f>
        <x:v>2</x:v>
      </x:c>
      <x:c r="E125" t="n">
        <x:f>COUNTIFS(Games!$A$4:$A$1177,$A125,Games!$G$4:$G$1177,$C125,Games!$J$4:$J$1177,"W")+COUNTIFS(Games!$A$4:$A$1177,$A125,Games!$L$4:$L$1177,$C125,Games!$O$4:$O$1177,"W")</x:f>
        <x:v>1</x:v>
      </x:c>
      <x:c r="F125" t="n">
        <x:f>COUNTIFS(Games!$A$4:$A$1177,$A125,Games!$G$4:$G$1177,$C125,Games!$J$4:$J$1177,"L")+COUNTIFS(Games!$A$4:$A$1177,$A125,Games!$L$4:$L$1177,$C125,Games!$O$4:$O$1177,"L")</x:f>
        <x:v>1</x:v>
      </x:c>
      <x:c r="G125" t="n">
        <x:f>COUNTIFS(Games!$A$4:$A$1177,$A125,Games!$G$4:$G$1177,$C125,Games!$J$4:$J$1177,"T")+COUNTIFS(Games!$A$4:$A$1177,$A125,Games!$L$4:$L$1177,$C125,Games!$O$4:$O$1177,"T")</x:f>
        <x:v>0</x:v>
      </x:c>
      <x:c r="H125" t="n">
        <x:f>SUMIFS(Games!$H$4:$H$1177,Games!$A$4:$A$1177,$A125,Games!$D$4:$D$1177,"post",Games!$G$4:$G$1177,$C125)+SUMIFS(Games!$M$4:$M$1177,Games!$A$4:$A$1177,$A125,Games!$D$4:$D$1177,"post",Games!$L$4:$L$1177,$C125)</x:f>
        <x:v>72</x:v>
      </x:c>
      <x:c r="I125" t="n">
        <x:f>SUMIFS(Games!$M$4:$M$1177,Games!$A$4:$A$1177,$A125,Games!$D$4:$D$1177,"post",Games!$G$4:$G$1177,$C125)+SUMIFS(Games!$H$4:$H$1177,Games!$A$4:$A$1177,$A125,Games!$D$4:$D$1177,"post",Games!$L$4:$L$1177,$C125)</x:f>
        <x:v>53</x:v>
      </x:c>
      <x:c r="J125" t="str">
        <x:f>E125&amp;"-"&amp;F125&amp;IF(G125&gt;0,"-"&amp;G125,"")</x:f>
        <x:v>1-1</x:v>
      </x:c>
      <x:c r="K125" t="n">
        <x:f>COUNTIFS(Games!$A$4:$A$1177,$A125,Games!$D$4:$D$1177,"post",Games!$G$4:$G$1177,$C125,Games!$T$4:$T$1177,"&lt;&gt;")+COUNTIFS(Games!$A$4:$A$1177,$A125,Games!$D$4:$D$1177,"post",Games!$L$4:$L$1177,$C125,Games!$T$4:$T$1177,"&lt;&gt;")</x:f>
        <x:v>0</x:v>
      </x:c>
      <x:c r="L125" s="80" t="n">
        <x:f>IF(D125=0,0,K125/D125)</x:f>
        <x:v>0</x:v>
      </x:c>
      <x:c r="M125" t="str">
        <x:f>IF(AND(D125&gt;=2,K125&gt;=2,L125&gt;=75%),"YES","NO")</x:f>
        <x:v>NO</x:v>
      </x:c>
    </x:row>
    <x:row r="126">
      <x:c r="A126" t="str">
        <x:v>CFB</x:v>
      </x:c>
      <x:c r="B126" t="str">
        <x:v>NC State Wolfpack</x:v>
      </x:c>
      <x:c r="C126" t="str">
        <x:v>NCSU</x:v>
      </x:c>
      <x:c r="D126" t="n">
        <x:f>COUNTIFS(Games!$A$4:$A$1177,$A126,Games!$D$4:$D$1177,"post",Games!$G$4:$G$1177,$C126)+COUNTIFS(Games!$A$4:$A$1177,$A126,Games!$D$4:$D$1177,"post",Games!$L$4:$L$1177,$C126)</x:f>
        <x:v>3</x:v>
      </x:c>
      <x:c r="E126" t="n">
        <x:f>COUNTIFS(Games!$A$4:$A$1177,$A126,Games!$G$4:$G$1177,$C126,Games!$J$4:$J$1177,"W")+COUNTIFS(Games!$A$4:$A$1177,$A126,Games!$L$4:$L$1177,$C126,Games!$O$4:$O$1177,"W")</x:f>
        <x:v>1</x:v>
      </x:c>
      <x:c r="F126" t="n">
        <x:f>COUNTIFS(Games!$A$4:$A$1177,$A126,Games!$G$4:$G$1177,$C126,Games!$J$4:$J$1177,"L")+COUNTIFS(Games!$A$4:$A$1177,$A126,Games!$L$4:$L$1177,$C126,Games!$O$4:$O$1177,"L")</x:f>
        <x:v>2</x:v>
      </x:c>
      <x:c r="G126" t="n">
        <x:f>COUNTIFS(Games!$A$4:$A$1177,$A126,Games!$G$4:$G$1177,$C126,Games!$J$4:$J$1177,"T")+COUNTIFS(Games!$A$4:$A$1177,$A126,Games!$L$4:$L$1177,$C126,Games!$O$4:$O$1177,"T")</x:f>
        <x:v>0</x:v>
      </x:c>
      <x:c r="H126" t="n">
        <x:f>SUMIFS(Games!$H$4:$H$1177,Games!$A$4:$A$1177,$A126,Games!$D$4:$D$1177,"post",Games!$G$4:$G$1177,$C126)+SUMIFS(Games!$M$4:$M$1177,Games!$A$4:$A$1177,$A126,Games!$D$4:$D$1177,"post",Games!$L$4:$L$1177,$C126)</x:f>
        <x:v>112</x:v>
      </x:c>
      <x:c r="I126" t="n">
        <x:f>SUMIFS(Games!$M$4:$M$1177,Games!$A$4:$A$1177,$A126,Games!$D$4:$D$1177,"post",Games!$G$4:$G$1177,$C126)+SUMIFS(Games!$H$4:$H$1177,Games!$A$4:$A$1177,$A126,Games!$D$4:$D$1177,"post",Games!$L$4:$L$1177,$C126)</x:f>
        <x:v>69</x:v>
      </x:c>
      <x:c r="J126" t="str">
        <x:f>E126&amp;"-"&amp;F126&amp;IF(G126&gt;0,"-"&amp;G126,"")</x:f>
        <x:v>1-2</x:v>
      </x:c>
      <x:c r="K126" t="n">
        <x:f>COUNTIFS(Games!$A$4:$A$1177,$A126,Games!$D$4:$D$1177,"post",Games!$G$4:$G$1177,$C126,Games!$T$4:$T$1177,"&lt;&gt;")+COUNTIFS(Games!$A$4:$A$1177,$A126,Games!$D$4:$D$1177,"post",Games!$L$4:$L$1177,$C126,Games!$T$4:$T$1177,"&lt;&gt;")</x:f>
        <x:v>0</x:v>
      </x:c>
      <x:c r="L126" s="80" t="n">
        <x:f>IF(D126=0,0,K126/D126)</x:f>
        <x:v>0</x:v>
      </x:c>
      <x:c r="M126" t="str">
        <x:f>IF(AND(D126&gt;=2,K126&gt;=2,L126&gt;=75%),"YES","NO")</x:f>
        <x:v>NO</x:v>
      </x:c>
    </x:row>
    <x:row r="127">
      <x:c r="A127" t="str">
        <x:v>CFB</x:v>
      </x:c>
      <x:c r="B127" t="str">
        <x:v>Nebraska Cornhuskers</x:v>
      </x:c>
      <x:c r="C127" t="str">
        <x:v>NEB</x:v>
      </x:c>
      <x:c r="D127" t="n">
        <x:f>COUNTIFS(Games!$A$4:$A$1177,$A127,Games!$D$4:$D$1177,"post",Games!$G$4:$G$1177,$C127)+COUNTIFS(Games!$A$4:$A$1177,$A127,Games!$D$4:$D$1177,"post",Games!$L$4:$L$1177,$C127)</x:f>
        <x:v>3</x:v>
      </x:c>
      <x:c r="E127" t="n">
        <x:f>COUNTIFS(Games!$A$4:$A$1177,$A127,Games!$G$4:$G$1177,$C127,Games!$J$4:$J$1177,"W")+COUNTIFS(Games!$A$4:$A$1177,$A127,Games!$L$4:$L$1177,$C127,Games!$O$4:$O$1177,"W")</x:f>
        <x:v>3</x:v>
      </x:c>
      <x:c r="F127" t="n">
        <x:f>COUNTIFS(Games!$A$4:$A$1177,$A127,Games!$G$4:$G$1177,$C127,Games!$J$4:$J$1177,"L")+COUNTIFS(Games!$A$4:$A$1177,$A127,Games!$L$4:$L$1177,$C127,Games!$O$4:$O$1177,"L")</x:f>
        <x:v>0</x:v>
      </x:c>
      <x:c r="G127" t="n">
        <x:f>COUNTIFS(Games!$A$4:$A$1177,$A127,Games!$G$4:$G$1177,$C127,Games!$J$4:$J$1177,"T")+COUNTIFS(Games!$A$4:$A$1177,$A127,Games!$L$4:$L$1177,$C127,Games!$O$4:$O$1177,"T")</x:f>
        <x:v>0</x:v>
      </x:c>
      <x:c r="H127" t="n">
        <x:f>SUMIFS(Games!$H$4:$H$1177,Games!$A$4:$A$1177,$A127,Games!$D$4:$D$1177,"post",Games!$G$4:$G$1177,$C127)+SUMIFS(Games!$M$4:$M$1177,Games!$A$4:$A$1177,$A127,Games!$D$4:$D$1177,"post",Games!$L$4:$L$1177,$C127)</x:f>
        <x:v>139</x:v>
      </x:c>
      <x:c r="I127" t="n">
        <x:f>SUMIFS(Games!$M$4:$M$1177,Games!$A$4:$A$1177,$A127,Games!$D$4:$D$1177,"post",Games!$G$4:$G$1177,$C127)+SUMIFS(Games!$H$4:$H$1177,Games!$A$4:$A$1177,$A127,Games!$D$4:$D$1177,"post",Games!$L$4:$L$1177,$C127)</x:f>
        <x:v>35</x:v>
      </x:c>
      <x:c r="J127" t="str">
        <x:f>E127&amp;"-"&amp;F127&amp;IF(G127&gt;0,"-"&amp;G127,"")</x:f>
        <x:v>3-0</x:v>
      </x:c>
      <x:c r="K127" t="n">
        <x:f>COUNTIFS(Games!$A$4:$A$1177,$A127,Games!$D$4:$D$1177,"post",Games!$G$4:$G$1177,$C127,Games!$T$4:$T$1177,"&lt;&gt;")+COUNTIFS(Games!$A$4:$A$1177,$A127,Games!$D$4:$D$1177,"post",Games!$L$4:$L$1177,$C127,Games!$T$4:$T$1177,"&lt;&gt;")</x:f>
        <x:v>0</x:v>
      </x:c>
      <x:c r="L127" s="80" t="n">
        <x:f>IF(D127=0,0,K127/D127)</x:f>
        <x:v>0</x:v>
      </x:c>
      <x:c r="M127" t="str">
        <x:f>IF(AND(D127&gt;=2,K127&gt;=2,L127&gt;=75%),"YES","NO")</x:f>
        <x:v>NO</x:v>
      </x:c>
    </x:row>
    <x:row r="128">
      <x:c r="A128" t="str">
        <x:v>CFB</x:v>
      </x:c>
      <x:c r="B128" t="str">
        <x:v>Nevada Wolf Pack</x:v>
      </x:c>
      <x:c r="C128" t="str">
        <x:v>NEV</x:v>
      </x:c>
      <x:c r="D128" t="n">
        <x:f>COUNTIFS(Games!$A$4:$A$1177,$A128,Games!$D$4:$D$1177,"post",Games!$G$4:$G$1177,$C128)+COUNTIFS(Games!$A$4:$A$1177,$A128,Games!$D$4:$D$1177,"post",Games!$L$4:$L$1177,$C128)</x:f>
        <x:v>3</x:v>
      </x:c>
      <x:c r="E128" t="n">
        <x:f>COUNTIFS(Games!$A$4:$A$1177,$A128,Games!$G$4:$G$1177,$C128,Games!$J$4:$J$1177,"W")+COUNTIFS(Games!$A$4:$A$1177,$A128,Games!$L$4:$L$1177,$C128,Games!$O$4:$O$1177,"W")</x:f>
        <x:v>1</x:v>
      </x:c>
      <x:c r="F128" t="n">
        <x:f>COUNTIFS(Games!$A$4:$A$1177,$A128,Games!$G$4:$G$1177,$C128,Games!$J$4:$J$1177,"L")+COUNTIFS(Games!$A$4:$A$1177,$A128,Games!$L$4:$L$1177,$C128,Games!$O$4:$O$1177,"L")</x:f>
        <x:v>2</x:v>
      </x:c>
      <x:c r="G128" t="n">
        <x:f>COUNTIFS(Games!$A$4:$A$1177,$A128,Games!$G$4:$G$1177,$C128,Games!$J$4:$J$1177,"T")+COUNTIFS(Games!$A$4:$A$1177,$A128,Games!$L$4:$L$1177,$C128,Games!$O$4:$O$1177,"T")</x:f>
        <x:v>0</x:v>
      </x:c>
      <x:c r="H128" t="n">
        <x:f>SUMIFS(Games!$H$4:$H$1177,Games!$A$4:$A$1177,$A128,Games!$D$4:$D$1177,"post",Games!$G$4:$G$1177,$C128)+SUMIFS(Games!$M$4:$M$1177,Games!$A$4:$A$1177,$A128,Games!$D$4:$D$1177,"post",Games!$L$4:$L$1177,$C128)</x:f>
        <x:v>76</x:v>
      </x:c>
      <x:c r="I128" t="n">
        <x:f>SUMIFS(Games!$M$4:$M$1177,Games!$A$4:$A$1177,$A128,Games!$D$4:$D$1177,"post",Games!$G$4:$G$1177,$C128)+SUMIFS(Games!$H$4:$H$1177,Games!$A$4:$A$1177,$A128,Games!$D$4:$D$1177,"post",Games!$L$4:$L$1177,$C128)</x:f>
        <x:v>61</x:v>
      </x:c>
      <x:c r="J128" t="str">
        <x:f>E128&amp;"-"&amp;F128&amp;IF(G128&gt;0,"-"&amp;G128,"")</x:f>
        <x:v>1-2</x:v>
      </x:c>
      <x:c r="K128" t="n">
        <x:f>COUNTIFS(Games!$A$4:$A$1177,$A128,Games!$D$4:$D$1177,"post",Games!$G$4:$G$1177,$C128,Games!$T$4:$T$1177,"&lt;&gt;")+COUNTIFS(Games!$A$4:$A$1177,$A128,Games!$D$4:$D$1177,"post",Games!$L$4:$L$1177,$C128,Games!$T$4:$T$1177,"&lt;&gt;")</x:f>
        <x:v>0</x:v>
      </x:c>
      <x:c r="L128" s="80" t="n">
        <x:f>IF(D128=0,0,K128/D128)</x:f>
        <x:v>0</x:v>
      </x:c>
      <x:c r="M128" t="str">
        <x:f>IF(AND(D128&gt;=2,K128&gt;=2,L128&gt;=75%),"YES","NO")</x:f>
        <x:v>NO</x:v>
      </x:c>
    </x:row>
    <x:row r="129">
      <x:c r="A129" t="str">
        <x:v>CFB</x:v>
      </x:c>
      <x:c r="B129" t="str">
        <x:v>New Hampshire Wildcats</x:v>
      </x:c>
      <x:c r="C129" t="str">
        <x:v>UNH</x:v>
      </x:c>
      <x:c r="D129" t="n">
        <x:f>COUNTIFS(Games!$A$4:$A$1177,$A129,Games!$D$4:$D$1177,"post",Games!$G$4:$G$1177,$C129)+COUNTIFS(Games!$A$4:$A$1177,$A129,Games!$D$4:$D$1177,"post",Games!$L$4:$L$1177,$C129)</x:f>
        <x:v>1</x:v>
      </x:c>
      <x:c r="E129" t="n">
        <x:f>COUNTIFS(Games!$A$4:$A$1177,$A129,Games!$G$4:$G$1177,$C129,Games!$J$4:$J$1177,"W")+COUNTIFS(Games!$A$4:$A$1177,$A129,Games!$L$4:$L$1177,$C129,Games!$O$4:$O$1177,"W")</x:f>
        <x:v>0</x:v>
      </x:c>
      <x:c r="F129" t="n">
        <x:f>COUNTIFS(Games!$A$4:$A$1177,$A129,Games!$G$4:$G$1177,$C129,Games!$J$4:$J$1177,"L")+COUNTIFS(Games!$A$4:$A$1177,$A129,Games!$L$4:$L$1177,$C129,Games!$O$4:$O$1177,"L")</x:f>
        <x:v>1</x:v>
      </x:c>
      <x:c r="G129" t="n">
        <x:f>COUNTIFS(Games!$A$4:$A$1177,$A129,Games!$G$4:$G$1177,$C129,Games!$J$4:$J$1177,"T")+COUNTIFS(Games!$A$4:$A$1177,$A129,Games!$L$4:$L$1177,$C129,Games!$O$4:$O$1177,"T")</x:f>
        <x:v>0</x:v>
      </x:c>
      <x:c r="H129" t="n">
        <x:f>SUMIFS(Games!$H$4:$H$1177,Games!$A$4:$A$1177,$A129,Games!$D$4:$D$1177,"post",Games!$G$4:$G$1177,$C129)+SUMIFS(Games!$M$4:$M$1177,Games!$A$4:$A$1177,$A129,Games!$D$4:$D$1177,"post",Games!$L$4:$L$1177,$C129)</x:f>
        <x:v>3</x:v>
      </x:c>
      <x:c r="I129" t="n">
        <x:f>SUMIFS(Games!$M$4:$M$1177,Games!$A$4:$A$1177,$A129,Games!$D$4:$D$1177,"post",Games!$G$4:$G$1177,$C129)+SUMIFS(Games!$H$4:$H$1177,Games!$A$4:$A$1177,$A129,Games!$D$4:$D$1177,"post",Games!$L$4:$L$1177,$C129)</x:f>
        <x:v>66</x:v>
      </x:c>
      <x:c r="J129" t="str">
        <x:f>E129&amp;"-"&amp;F129&amp;IF(G129&gt;0,"-"&amp;G129,"")</x:f>
        <x:v>0-1</x:v>
      </x:c>
      <x:c r="K129" t="n">
        <x:f>COUNTIFS(Games!$A$4:$A$1177,$A129,Games!$D$4:$D$1177,"post",Games!$G$4:$G$1177,$C129,Games!$T$4:$T$1177,"&lt;&gt;")+COUNTIFS(Games!$A$4:$A$1177,$A129,Games!$D$4:$D$1177,"post",Games!$L$4:$L$1177,$C129,Games!$T$4:$T$1177,"&lt;&gt;")</x:f>
        <x:v>0</x:v>
      </x:c>
      <x:c r="L129" s="80" t="n">
        <x:f>IF(D129=0,0,K129/D129)</x:f>
        <x:v>0</x:v>
      </x:c>
      <x:c r="M129" t="str">
        <x:f>IF(AND(D129&gt;=2,K129&gt;=2,L129&gt;=75%),"YES","NO")</x:f>
        <x:v>NO</x:v>
      </x:c>
    </x:row>
    <x:row r="130">
      <x:c r="A130" t="str">
        <x:v>CFB</x:v>
      </x:c>
      <x:c r="B130" t="str">
        <x:v>New Mexico Lobos</x:v>
      </x:c>
      <x:c r="C130" t="str">
        <x:v>UNM</x:v>
      </x:c>
      <x:c r="D130" t="n">
        <x:f>COUNTIFS(Games!$A$4:$A$1177,$A130,Games!$D$4:$D$1177,"post",Games!$G$4:$G$1177,$C130)+COUNTIFS(Games!$A$4:$A$1177,$A130,Games!$D$4:$D$1177,"post",Games!$L$4:$L$1177,$C130)</x:f>
        <x:v>3</x:v>
      </x:c>
      <x:c r="E130" t="n">
        <x:f>COUNTIFS(Games!$A$4:$A$1177,$A130,Games!$G$4:$G$1177,$C130,Games!$J$4:$J$1177,"W")+COUNTIFS(Games!$A$4:$A$1177,$A130,Games!$L$4:$L$1177,$C130,Games!$O$4:$O$1177,"W")</x:f>
        <x:v>2</x:v>
      </x:c>
      <x:c r="F130" t="n">
        <x:f>COUNTIFS(Games!$A$4:$A$1177,$A130,Games!$G$4:$G$1177,$C130,Games!$J$4:$J$1177,"L")+COUNTIFS(Games!$A$4:$A$1177,$A130,Games!$L$4:$L$1177,$C130,Games!$O$4:$O$1177,"L")</x:f>
        <x:v>1</x:v>
      </x:c>
      <x:c r="G130" t="n">
        <x:f>COUNTIFS(Games!$A$4:$A$1177,$A130,Games!$G$4:$G$1177,$C130,Games!$J$4:$J$1177,"T")+COUNTIFS(Games!$A$4:$A$1177,$A130,Games!$L$4:$L$1177,$C130,Games!$O$4:$O$1177,"T")</x:f>
        <x:v>0</x:v>
      </x:c>
      <x:c r="H130" t="n">
        <x:f>SUMIFS(Games!$H$4:$H$1177,Games!$A$4:$A$1177,$A130,Games!$D$4:$D$1177,"post",Games!$G$4:$G$1177,$C130)+SUMIFS(Games!$M$4:$M$1177,Games!$A$4:$A$1177,$A130,Games!$D$4:$D$1177,"post",Games!$L$4:$L$1177,$C130)</x:f>
        <x:v>114</x:v>
      </x:c>
      <x:c r="I130" t="n">
        <x:f>SUMIFS(Games!$M$4:$M$1177,Games!$A$4:$A$1177,$A130,Games!$D$4:$D$1177,"post",Games!$G$4:$G$1177,$C130)+SUMIFS(Games!$H$4:$H$1177,Games!$A$4:$A$1177,$A130,Games!$D$4:$D$1177,"post",Games!$L$4:$L$1177,$C130)</x:f>
        <x:v>28</x:v>
      </x:c>
      <x:c r="J130" t="str">
        <x:f>E130&amp;"-"&amp;F130&amp;IF(G130&gt;0,"-"&amp;G130,"")</x:f>
        <x:v>2-1</x:v>
      </x:c>
      <x:c r="K130" t="n">
        <x:f>COUNTIFS(Games!$A$4:$A$1177,$A130,Games!$D$4:$D$1177,"post",Games!$G$4:$G$1177,$C130,Games!$T$4:$T$1177,"&lt;&gt;")+COUNTIFS(Games!$A$4:$A$1177,$A130,Games!$D$4:$D$1177,"post",Games!$L$4:$L$1177,$C130,Games!$T$4:$T$1177,"&lt;&gt;")</x:f>
        <x:v>0</x:v>
      </x:c>
      <x:c r="L130" s="80" t="n">
        <x:f>IF(D130=0,0,K130/D130)</x:f>
        <x:v>0</x:v>
      </x:c>
      <x:c r="M130" t="str">
        <x:f>IF(AND(D130&gt;=2,K130&gt;=2,L130&gt;=75%),"YES","NO")</x:f>
        <x:v>NO</x:v>
      </x:c>
    </x:row>
    <x:row r="131">
      <x:c r="A131" t="str">
        <x:v>CFB</x:v>
      </x:c>
      <x:c r="B131" t="str">
        <x:v>New Mexico State Aggies</x:v>
      </x:c>
      <x:c r="C131" t="str">
        <x:v>NMSU</x:v>
      </x:c>
      <x:c r="D131" t="n">
        <x:f>COUNTIFS(Games!$A$4:$A$1177,$A131,Games!$D$4:$D$1177,"post",Games!$G$4:$G$1177,$C131)+COUNTIFS(Games!$A$4:$A$1177,$A131,Games!$D$4:$D$1177,"post",Games!$L$4:$L$1177,$C131)</x:f>
        <x:v>3</x:v>
      </x:c>
      <x:c r="E131" t="n">
        <x:f>COUNTIFS(Games!$A$4:$A$1177,$A131,Games!$G$4:$G$1177,$C131,Games!$J$4:$J$1177,"W")+COUNTIFS(Games!$A$4:$A$1177,$A131,Games!$L$4:$L$1177,$C131,Games!$O$4:$O$1177,"W")</x:f>
        <x:v>1</x:v>
      </x:c>
      <x:c r="F131" t="n">
        <x:f>COUNTIFS(Games!$A$4:$A$1177,$A131,Games!$G$4:$G$1177,$C131,Games!$J$4:$J$1177,"L")+COUNTIFS(Games!$A$4:$A$1177,$A131,Games!$L$4:$L$1177,$C131,Games!$O$4:$O$1177,"L")</x:f>
        <x:v>2</x:v>
      </x:c>
      <x:c r="G131" t="n">
        <x:f>COUNTIFS(Games!$A$4:$A$1177,$A131,Games!$G$4:$G$1177,$C131,Games!$J$4:$J$1177,"T")+COUNTIFS(Games!$A$4:$A$1177,$A131,Games!$L$4:$L$1177,$C131,Games!$O$4:$O$1177,"T")</x:f>
        <x:v>0</x:v>
      </x:c>
      <x:c r="H131" t="n">
        <x:f>SUMIFS(Games!$H$4:$H$1177,Games!$A$4:$A$1177,$A131,Games!$D$4:$D$1177,"post",Games!$G$4:$G$1177,$C131)+SUMIFS(Games!$M$4:$M$1177,Games!$A$4:$A$1177,$A131,Games!$D$4:$D$1177,"post",Games!$L$4:$L$1177,$C131)</x:f>
        <x:v>87</x:v>
      </x:c>
      <x:c r="I131" t="n">
        <x:f>SUMIFS(Games!$M$4:$M$1177,Games!$A$4:$A$1177,$A131,Games!$D$4:$D$1177,"post",Games!$G$4:$G$1177,$C131)+SUMIFS(Games!$H$4:$H$1177,Games!$A$4:$A$1177,$A131,Games!$D$4:$D$1177,"post",Games!$L$4:$L$1177,$C131)</x:f>
        <x:v>77</x:v>
      </x:c>
      <x:c r="J131" t="str">
        <x:f>E131&amp;"-"&amp;F131&amp;IF(G131&gt;0,"-"&amp;G131,"")</x:f>
        <x:v>1-2</x:v>
      </x:c>
      <x:c r="K131" t="n">
        <x:f>COUNTIFS(Games!$A$4:$A$1177,$A131,Games!$D$4:$D$1177,"post",Games!$G$4:$G$1177,$C131,Games!$T$4:$T$1177,"&lt;&gt;")+COUNTIFS(Games!$A$4:$A$1177,$A131,Games!$D$4:$D$1177,"post",Games!$L$4:$L$1177,$C131,Games!$T$4:$T$1177,"&lt;&gt;")</x:f>
        <x:v>0</x:v>
      </x:c>
      <x:c r="L131" s="80" t="n">
        <x:f>IF(D131=0,0,K131/D131)</x:f>
        <x:v>0</x:v>
      </x:c>
      <x:c r="M131" t="str">
        <x:f>IF(AND(D131&gt;=2,K131&gt;=2,L131&gt;=75%),"YES","NO")</x:f>
        <x:v>NO</x:v>
      </x:c>
    </x:row>
    <x:row r="132">
      <x:c r="A132" t="str">
        <x:v>CFB</x:v>
      </x:c>
      <x:c r="B132" t="str">
        <x:v>Nicholls Colonels</x:v>
      </x:c>
      <x:c r="C132" t="str">
        <x:v>NICH</x:v>
      </x:c>
      <x:c r="D132" t="n">
        <x:f>COUNTIFS(Games!$A$4:$A$1177,$A132,Games!$D$4:$D$1177,"post",Games!$G$4:$G$1177,$C132)+COUNTIFS(Games!$A$4:$A$1177,$A132,Games!$D$4:$D$1177,"post",Games!$L$4:$L$1177,$C132)</x:f>
        <x:v>2</x:v>
      </x:c>
      <x:c r="E132" t="n">
        <x:f>COUNTIFS(Games!$A$4:$A$1177,$A132,Games!$G$4:$G$1177,$C132,Games!$J$4:$J$1177,"W")+COUNTIFS(Games!$A$4:$A$1177,$A132,Games!$L$4:$L$1177,$C132,Games!$O$4:$O$1177,"W")</x:f>
        <x:v>0</x:v>
      </x:c>
      <x:c r="F132" t="n">
        <x:f>COUNTIFS(Games!$A$4:$A$1177,$A132,Games!$G$4:$G$1177,$C132,Games!$J$4:$J$1177,"L")+COUNTIFS(Games!$A$4:$A$1177,$A132,Games!$L$4:$L$1177,$C132,Games!$O$4:$O$1177,"L")</x:f>
        <x:v>2</x:v>
      </x:c>
      <x:c r="G132" t="n">
        <x:f>COUNTIFS(Games!$A$4:$A$1177,$A132,Games!$G$4:$G$1177,$C132,Games!$J$4:$J$1177,"T")+COUNTIFS(Games!$A$4:$A$1177,$A132,Games!$L$4:$L$1177,$C132,Games!$O$4:$O$1177,"T")</x:f>
        <x:v>0</x:v>
      </x:c>
      <x:c r="H132" t="n">
        <x:f>SUMIFS(Games!$H$4:$H$1177,Games!$A$4:$A$1177,$A132,Games!$D$4:$D$1177,"post",Games!$G$4:$G$1177,$C132)+SUMIFS(Games!$M$4:$M$1177,Games!$A$4:$A$1177,$A132,Games!$D$4:$D$1177,"post",Games!$L$4:$L$1177,$C132)</x:f>
        <x:v>3</x:v>
      </x:c>
      <x:c r="I132" t="n">
        <x:f>SUMIFS(Games!$M$4:$M$1177,Games!$A$4:$A$1177,$A132,Games!$D$4:$D$1177,"post",Games!$G$4:$G$1177,$C132)+SUMIFS(Games!$H$4:$H$1177,Games!$A$4:$A$1177,$A132,Games!$D$4:$D$1177,"post",Games!$L$4:$L$1177,$C132)</x:f>
        <x:v>130</x:v>
      </x:c>
      <x:c r="J132" t="str">
        <x:f>E132&amp;"-"&amp;F132&amp;IF(G132&gt;0,"-"&amp;G132,"")</x:f>
        <x:v>0-2</x:v>
      </x:c>
      <x:c r="K132" t="n">
        <x:f>COUNTIFS(Games!$A$4:$A$1177,$A132,Games!$D$4:$D$1177,"post",Games!$G$4:$G$1177,$C132,Games!$T$4:$T$1177,"&lt;&gt;")+COUNTIFS(Games!$A$4:$A$1177,$A132,Games!$D$4:$D$1177,"post",Games!$L$4:$L$1177,$C132,Games!$T$4:$T$1177,"&lt;&gt;")</x:f>
        <x:v>0</x:v>
      </x:c>
      <x:c r="L132" s="80" t="n">
        <x:f>IF(D132=0,0,K132/D132)</x:f>
        <x:v>0</x:v>
      </x:c>
      <x:c r="M132" t="str">
        <x:f>IF(AND(D132&gt;=2,K132&gt;=2,L132&gt;=75%),"YES","NO")</x:f>
        <x:v>NO</x:v>
      </x:c>
    </x:row>
    <x:row r="133">
      <x:c r="A133" t="str">
        <x:v>CFB</x:v>
      </x:c>
      <x:c r="B133" t="str">
        <x:v>Norfolk State Spartans</x:v>
      </x:c>
      <x:c r="C133" t="str">
        <x:v>NORF</x:v>
      </x:c>
      <x:c r="D133" t="n">
        <x:f>COUNTIFS(Games!$A$4:$A$1177,$A133,Games!$D$4:$D$1177,"post",Games!$G$4:$G$1177,$C133)+COUNTIFS(Games!$A$4:$A$1177,$A133,Games!$D$4:$D$1177,"post",Games!$L$4:$L$1177,$C133)</x:f>
        <x:v>2</x:v>
      </x:c>
      <x:c r="E133" t="n">
        <x:f>COUNTIFS(Games!$A$4:$A$1177,$A133,Games!$G$4:$G$1177,$C133,Games!$J$4:$J$1177,"W")+COUNTIFS(Games!$A$4:$A$1177,$A133,Games!$L$4:$L$1177,$C133,Games!$O$4:$O$1177,"W")</x:f>
        <x:v>0</x:v>
      </x:c>
      <x:c r="F133" t="n">
        <x:f>COUNTIFS(Games!$A$4:$A$1177,$A133,Games!$G$4:$G$1177,$C133,Games!$J$4:$J$1177,"L")+COUNTIFS(Games!$A$4:$A$1177,$A133,Games!$L$4:$L$1177,$C133,Games!$O$4:$O$1177,"L")</x:f>
        <x:v>2</x:v>
      </x:c>
      <x:c r="G133" t="n">
        <x:f>COUNTIFS(Games!$A$4:$A$1177,$A133,Games!$G$4:$G$1177,$C133,Games!$J$4:$J$1177,"T")+COUNTIFS(Games!$A$4:$A$1177,$A133,Games!$L$4:$L$1177,$C133,Games!$O$4:$O$1177,"T")</x:f>
        <x:v>0</x:v>
      </x:c>
      <x:c r="H133" t="n">
        <x:f>SUMIFS(Games!$H$4:$H$1177,Games!$A$4:$A$1177,$A133,Games!$D$4:$D$1177,"post",Games!$G$4:$G$1177,$C133)+SUMIFS(Games!$M$4:$M$1177,Games!$A$4:$A$1177,$A133,Games!$D$4:$D$1177,"post",Games!$L$4:$L$1177,$C133)</x:f>
        <x:v>13</x:v>
      </x:c>
      <x:c r="I133" t="n">
        <x:f>SUMIFS(Games!$M$4:$M$1177,Games!$A$4:$A$1177,$A133,Games!$D$4:$D$1177,"post",Games!$G$4:$G$1177,$C133)+SUMIFS(Games!$H$4:$H$1177,Games!$A$4:$A$1177,$A133,Games!$D$4:$D$1177,"post",Games!$L$4:$L$1177,$C133)</x:f>
        <x:v>90</x:v>
      </x:c>
      <x:c r="J133" t="str">
        <x:f>E133&amp;"-"&amp;F133&amp;IF(G133&gt;0,"-"&amp;G133,"")</x:f>
        <x:v>0-2</x:v>
      </x:c>
      <x:c r="K133" t="n">
        <x:f>COUNTIFS(Games!$A$4:$A$1177,$A133,Games!$D$4:$D$1177,"post",Games!$G$4:$G$1177,$C133,Games!$T$4:$T$1177,"&lt;&gt;")+COUNTIFS(Games!$A$4:$A$1177,$A133,Games!$D$4:$D$1177,"post",Games!$L$4:$L$1177,$C133,Games!$T$4:$T$1177,"&lt;&gt;")</x:f>
        <x:v>0</x:v>
      </x:c>
      <x:c r="L133" s="80" t="n">
        <x:f>IF(D133=0,0,K133/D133)</x:f>
        <x:v>0</x:v>
      </x:c>
      <x:c r="M133" t="str">
        <x:f>IF(AND(D133&gt;=2,K133&gt;=2,L133&gt;=75%),"YES","NO")</x:f>
        <x:v>NO</x:v>
      </x:c>
    </x:row>
    <x:row r="134">
      <x:c r="A134" t="str">
        <x:v>CFB</x:v>
      </x:c>
      <x:c r="B134" t="str">
        <x:v>North Alabama Lions</x:v>
      </x:c>
      <x:c r="C134" t="str">
        <x:v>UNA</x:v>
      </x:c>
      <x:c r="D134" t="n">
        <x:f>COUNTIFS(Games!$A$4:$A$1177,$A134,Games!$D$4:$D$1177,"post",Games!$G$4:$G$1177,$C134)+COUNTIFS(Games!$A$4:$A$1177,$A134,Games!$D$4:$D$1177,"post",Games!$L$4:$L$1177,$C134)</x:f>
        <x:v>1</x:v>
      </x:c>
      <x:c r="E134" t="n">
        <x:f>COUNTIFS(Games!$A$4:$A$1177,$A134,Games!$G$4:$G$1177,$C134,Games!$J$4:$J$1177,"W")+COUNTIFS(Games!$A$4:$A$1177,$A134,Games!$L$4:$L$1177,$C134,Games!$O$4:$O$1177,"W")</x:f>
        <x:v>0</x:v>
      </x:c>
      <x:c r="F134" t="n">
        <x:f>COUNTIFS(Games!$A$4:$A$1177,$A134,Games!$G$4:$G$1177,$C134,Games!$J$4:$J$1177,"L")+COUNTIFS(Games!$A$4:$A$1177,$A134,Games!$L$4:$L$1177,$C134,Games!$O$4:$O$1177,"L")</x:f>
        <x:v>1</x:v>
      </x:c>
      <x:c r="G134" t="n">
        <x:f>COUNTIFS(Games!$A$4:$A$1177,$A134,Games!$G$4:$G$1177,$C134,Games!$J$4:$J$1177,"T")+COUNTIFS(Games!$A$4:$A$1177,$A134,Games!$L$4:$L$1177,$C134,Games!$O$4:$O$1177,"T")</x:f>
        <x:v>0</x:v>
      </x:c>
      <x:c r="H134" t="n">
        <x:f>SUMIFS(Games!$H$4:$H$1177,Games!$A$4:$A$1177,$A134,Games!$D$4:$D$1177,"post",Games!$G$4:$G$1177,$C134)+SUMIFS(Games!$M$4:$M$1177,Games!$A$4:$A$1177,$A134,Games!$D$4:$D$1177,"post",Games!$L$4:$L$1177,$C134)</x:f>
        <x:v>14</x:v>
      </x:c>
      <x:c r="I134" t="n">
        <x:f>SUMIFS(Games!$M$4:$M$1177,Games!$A$4:$A$1177,$A134,Games!$D$4:$D$1177,"post",Games!$G$4:$G$1177,$C134)+SUMIFS(Games!$H$4:$H$1177,Games!$A$4:$A$1177,$A134,Games!$D$4:$D$1177,"post",Games!$L$4:$L$1177,$C134)</x:f>
        <x:v>31</x:v>
      </x:c>
      <x:c r="J134" t="str">
        <x:f>E134&amp;"-"&amp;F134&amp;IF(G134&gt;0,"-"&amp;G134,"")</x:f>
        <x:v>0-1</x:v>
      </x:c>
      <x:c r="K134" t="n">
        <x:f>COUNTIFS(Games!$A$4:$A$1177,$A134,Games!$D$4:$D$1177,"post",Games!$G$4:$G$1177,$C134,Games!$T$4:$T$1177,"&lt;&gt;")+COUNTIFS(Games!$A$4:$A$1177,$A134,Games!$D$4:$D$1177,"post",Games!$L$4:$L$1177,$C134,Games!$T$4:$T$1177,"&lt;&gt;")</x:f>
        <x:v>0</x:v>
      </x:c>
      <x:c r="L134" s="80" t="n">
        <x:f>IF(D134=0,0,K134/D134)</x:f>
        <x:v>0</x:v>
      </x:c>
      <x:c r="M134" t="str">
        <x:f>IF(AND(D134&gt;=2,K134&gt;=2,L134&gt;=75%),"YES","NO")</x:f>
        <x:v>NO</x:v>
      </x:c>
    </x:row>
    <x:row r="135">
      <x:c r="A135" t="str">
        <x:v>CFB</x:v>
      </x:c>
      <x:c r="B135" t="str">
        <x:v>North Carolina A&amp;T Aggies</x:v>
      </x:c>
      <x:c r="C135" t="str">
        <x:v>NCAT</x:v>
      </x:c>
      <x:c r="D135" t="n">
        <x:f>COUNTIFS(Games!$A$4:$A$1177,$A135,Games!$D$4:$D$1177,"post",Games!$G$4:$G$1177,$C135)+COUNTIFS(Games!$A$4:$A$1177,$A135,Games!$D$4:$D$1177,"post",Games!$L$4:$L$1177,$C135)</x:f>
        <x:v>1</x:v>
      </x:c>
      <x:c r="E135" t="n">
        <x:f>COUNTIFS(Games!$A$4:$A$1177,$A135,Games!$G$4:$G$1177,$C135,Games!$J$4:$J$1177,"W")+COUNTIFS(Games!$A$4:$A$1177,$A135,Games!$L$4:$L$1177,$C135,Games!$O$4:$O$1177,"W")</x:f>
        <x:v>0</x:v>
      </x:c>
      <x:c r="F135" t="n">
        <x:f>COUNTIFS(Games!$A$4:$A$1177,$A135,Games!$G$4:$G$1177,$C135,Games!$J$4:$J$1177,"L")+COUNTIFS(Games!$A$4:$A$1177,$A135,Games!$L$4:$L$1177,$C135,Games!$O$4:$O$1177,"L")</x:f>
        <x:v>1</x:v>
      </x:c>
      <x:c r="G135" t="n">
        <x:f>COUNTIFS(Games!$A$4:$A$1177,$A135,Games!$G$4:$G$1177,$C135,Games!$J$4:$J$1177,"T")+COUNTIFS(Games!$A$4:$A$1177,$A135,Games!$L$4:$L$1177,$C135,Games!$O$4:$O$1177,"T")</x:f>
        <x:v>0</x:v>
      </x:c>
      <x:c r="H135" t="n">
        <x:f>SUMIFS(Games!$H$4:$H$1177,Games!$A$4:$A$1177,$A135,Games!$D$4:$D$1177,"post",Games!$G$4:$G$1177,$C135)+SUMIFS(Games!$M$4:$M$1177,Games!$A$4:$A$1177,$A135,Games!$D$4:$D$1177,"post",Games!$L$4:$L$1177,$C135)</x:f>
        <x:v>10</x:v>
      </x:c>
      <x:c r="I135" t="n">
        <x:f>SUMIFS(Games!$M$4:$M$1177,Games!$A$4:$A$1177,$A135,Games!$D$4:$D$1177,"post",Games!$G$4:$G$1177,$C135)+SUMIFS(Games!$H$4:$H$1177,Games!$A$4:$A$1177,$A135,Games!$D$4:$D$1177,"post",Games!$L$4:$L$1177,$C135)</x:f>
        <x:v>59</x:v>
      </x:c>
      <x:c r="J135" t="str">
        <x:f>E135&amp;"-"&amp;F135&amp;IF(G135&gt;0,"-"&amp;G135,"")</x:f>
        <x:v>0-1</x:v>
      </x:c>
      <x:c r="K135" t="n">
        <x:f>COUNTIFS(Games!$A$4:$A$1177,$A135,Games!$D$4:$D$1177,"post",Games!$G$4:$G$1177,$C135,Games!$T$4:$T$1177,"&lt;&gt;")+COUNTIFS(Games!$A$4:$A$1177,$A135,Games!$D$4:$D$1177,"post",Games!$L$4:$L$1177,$C135,Games!$T$4:$T$1177,"&lt;&gt;")</x:f>
        <x:v>0</x:v>
      </x:c>
      <x:c r="L135" s="80" t="n">
        <x:f>IF(D135=0,0,K135/D135)</x:f>
        <x:v>0</x:v>
      </x:c>
      <x:c r="M135" t="str">
        <x:f>IF(AND(D135&gt;=2,K135&gt;=2,L135&gt;=75%),"YES","NO")</x:f>
        <x:v>NO</x:v>
      </x:c>
    </x:row>
    <x:row r="136">
      <x:c r="A136" t="str">
        <x:v>CFB</x:v>
      </x:c>
      <x:c r="B136" t="str">
        <x:v>North Carolina Central Eagles</x:v>
      </x:c>
      <x:c r="C136" t="str">
        <x:v>NCCU</x:v>
      </x:c>
      <x:c r="D136" t="n">
        <x:f>COUNTIFS(Games!$A$4:$A$1177,$A136,Games!$D$4:$D$1177,"post",Games!$G$4:$G$1177,$C136)+COUNTIFS(Games!$A$4:$A$1177,$A136,Games!$D$4:$D$1177,"post",Games!$L$4:$L$1177,$C136)</x:f>
        <x:v>0</x:v>
      </x:c>
      <x:c r="E136" t="n">
        <x:f>COUNTIFS(Games!$A$4:$A$1177,$A136,Games!$G$4:$G$1177,$C136,Games!$J$4:$J$1177,"W")+COUNTIFS(Games!$A$4:$A$1177,$A136,Games!$L$4:$L$1177,$C136,Games!$O$4:$O$1177,"W")</x:f>
        <x:v>0</x:v>
      </x:c>
      <x:c r="F136" t="n">
        <x:f>COUNTIFS(Games!$A$4:$A$1177,$A136,Games!$G$4:$G$1177,$C136,Games!$J$4:$J$1177,"L")+COUNTIFS(Games!$A$4:$A$1177,$A136,Games!$L$4:$L$1177,$C136,Games!$O$4:$O$1177,"L")</x:f>
        <x:v>0</x:v>
      </x:c>
      <x:c r="G136" t="n">
        <x:f>COUNTIFS(Games!$A$4:$A$1177,$A136,Games!$G$4:$G$1177,$C136,Games!$J$4:$J$1177,"T")+COUNTIFS(Games!$A$4:$A$1177,$A136,Games!$L$4:$L$1177,$C136,Games!$O$4:$O$1177,"T")</x:f>
        <x:v>0</x:v>
      </x:c>
      <x:c r="H136" t="n">
        <x:f>SUMIFS(Games!$H$4:$H$1177,Games!$A$4:$A$1177,$A136,Games!$D$4:$D$1177,"post",Games!$G$4:$G$1177,$C136)+SUMIFS(Games!$M$4:$M$1177,Games!$A$4:$A$1177,$A136,Games!$D$4:$D$1177,"post",Games!$L$4:$L$1177,$C136)</x:f>
        <x:v>0</x:v>
      </x:c>
      <x:c r="I136" t="n">
        <x:f>SUMIFS(Games!$M$4:$M$1177,Games!$A$4:$A$1177,$A136,Games!$D$4:$D$1177,"post",Games!$G$4:$G$1177,$C136)+SUMIFS(Games!$H$4:$H$1177,Games!$A$4:$A$1177,$A136,Games!$D$4:$D$1177,"post",Games!$L$4:$L$1177,$C136)</x:f>
        <x:v>0</x:v>
      </x:c>
      <x:c r="J136" t="str">
        <x:f>E136&amp;"-"&amp;F136&amp;IF(G136&gt;0,"-"&amp;G136,"")</x:f>
        <x:v>0-0</x:v>
      </x:c>
      <x:c r="K136" t="n">
        <x:f>COUNTIFS(Games!$A$4:$A$1177,$A136,Games!$D$4:$D$1177,"post",Games!$G$4:$G$1177,$C136,Games!$T$4:$T$1177,"&lt;&gt;")+COUNTIFS(Games!$A$4:$A$1177,$A136,Games!$D$4:$D$1177,"post",Games!$L$4:$L$1177,$C136,Games!$T$4:$T$1177,"&lt;&gt;")</x:f>
        <x:v>0</x:v>
      </x:c>
      <x:c r="L136" s="80" t="n">
        <x:f>IF(D136=0,0,K136/D136)</x:f>
        <x:v>0</x:v>
      </x:c>
      <x:c r="M136" t="str">
        <x:f>IF(AND(D136&gt;=2,K136&gt;=2,L136&gt;=75%),"YES","NO")</x:f>
        <x:v>NO</x:v>
      </x:c>
    </x:row>
    <x:row r="137">
      <x:c r="A137" t="str">
        <x:v>CFB</x:v>
      </x:c>
      <x:c r="B137" t="str">
        <x:v>North Carolina Tar Heels</x:v>
      </x:c>
      <x:c r="C137" t="str">
        <x:v>UNC</x:v>
      </x:c>
      <x:c r="D137" t="n">
        <x:f>COUNTIFS(Games!$A$4:$A$1177,$A137,Games!$D$4:$D$1177,"post",Games!$G$4:$G$1177,$C137)+COUNTIFS(Games!$A$4:$A$1177,$A137,Games!$D$4:$D$1177,"post",Games!$L$4:$L$1177,$C137)</x:f>
        <x:v>3</x:v>
      </x:c>
      <x:c r="E137" t="n">
        <x:f>COUNTIFS(Games!$A$4:$A$1177,$A137,Games!$G$4:$G$1177,$C137,Games!$J$4:$J$1177,"W")+COUNTIFS(Games!$A$4:$A$1177,$A137,Games!$L$4:$L$1177,$C137,Games!$O$4:$O$1177,"W")</x:f>
        <x:v>2</x:v>
      </x:c>
      <x:c r="F137" t="n">
        <x:f>COUNTIFS(Games!$A$4:$A$1177,$A137,Games!$G$4:$G$1177,$C137,Games!$J$4:$J$1177,"L")+COUNTIFS(Games!$A$4:$A$1177,$A137,Games!$L$4:$L$1177,$C137,Games!$O$4:$O$1177,"L")</x:f>
        <x:v>1</x:v>
      </x:c>
      <x:c r="G137" t="n">
        <x:f>COUNTIFS(Games!$A$4:$A$1177,$A137,Games!$G$4:$G$1177,$C137,Games!$J$4:$J$1177,"T")+COUNTIFS(Games!$A$4:$A$1177,$A137,Games!$L$4:$L$1177,$C137,Games!$O$4:$O$1177,"T")</x:f>
        <x:v>0</x:v>
      </x:c>
      <x:c r="H137" t="n">
        <x:f>SUMIFS(Games!$H$4:$H$1177,Games!$A$4:$A$1177,$A137,Games!$D$4:$D$1177,"post",Games!$G$4:$G$1177,$C137)+SUMIFS(Games!$M$4:$M$1177,Games!$A$4:$A$1177,$A137,Games!$D$4:$D$1177,"post",Games!$L$4:$L$1177,$C137)</x:f>
        <x:v>70</x:v>
      </x:c>
      <x:c r="I137" t="n">
        <x:f>SUMIFS(Games!$M$4:$M$1177,Games!$A$4:$A$1177,$A137,Games!$D$4:$D$1177,"post",Games!$G$4:$G$1177,$C137)+SUMIFS(Games!$H$4:$H$1177,Games!$A$4:$A$1177,$A137,Games!$D$4:$D$1177,"post",Games!$L$4:$L$1177,$C137)</x:f>
        <x:v>41</x:v>
      </x:c>
      <x:c r="J137" t="str">
        <x:f>E137&amp;"-"&amp;F137&amp;IF(G137&gt;0,"-"&amp;G137,"")</x:f>
        <x:v>2-1</x:v>
      </x:c>
      <x:c r="K137" t="n">
        <x:f>COUNTIFS(Games!$A$4:$A$1177,$A137,Games!$D$4:$D$1177,"post",Games!$G$4:$G$1177,$C137,Games!$T$4:$T$1177,"&lt;&gt;")+COUNTIFS(Games!$A$4:$A$1177,$A137,Games!$D$4:$D$1177,"post",Games!$L$4:$L$1177,$C137,Games!$T$4:$T$1177,"&lt;&gt;")</x:f>
        <x:v>0</x:v>
      </x:c>
      <x:c r="L137" s="80" t="n">
        <x:f>IF(D137=0,0,K137/D137)</x:f>
        <x:v>0</x:v>
      </x:c>
      <x:c r="M137" t="str">
        <x:f>IF(AND(D137&gt;=2,K137&gt;=2,L137&gt;=75%),"YES","NO")</x:f>
        <x:v>NO</x:v>
      </x:c>
    </x:row>
    <x:row r="138">
      <x:c r="A138" t="str">
        <x:v>CFB</x:v>
      </x:c>
      <x:c r="B138" t="str">
        <x:v>North Dakota Fighting Hawks</x:v>
      </x:c>
      <x:c r="C138" t="str">
        <x:v>UND</x:v>
      </x:c>
      <x:c r="D138" t="n">
        <x:f>COUNTIFS(Games!$A$4:$A$1177,$A138,Games!$D$4:$D$1177,"post",Games!$G$4:$G$1177,$C138)+COUNTIFS(Games!$A$4:$A$1177,$A138,Games!$D$4:$D$1177,"post",Games!$L$4:$L$1177,$C138)</x:f>
        <x:v>1</x:v>
      </x:c>
      <x:c r="E138" t="n">
        <x:f>COUNTIFS(Games!$A$4:$A$1177,$A138,Games!$G$4:$G$1177,$C138,Games!$J$4:$J$1177,"W")+COUNTIFS(Games!$A$4:$A$1177,$A138,Games!$L$4:$L$1177,$C138,Games!$O$4:$O$1177,"W")</x:f>
        <x:v>0</x:v>
      </x:c>
      <x:c r="F138" t="n">
        <x:f>COUNTIFS(Games!$A$4:$A$1177,$A138,Games!$G$4:$G$1177,$C138,Games!$J$4:$J$1177,"L")+COUNTIFS(Games!$A$4:$A$1177,$A138,Games!$L$4:$L$1177,$C138,Games!$O$4:$O$1177,"L")</x:f>
        <x:v>1</x:v>
      </x:c>
      <x:c r="G138" t="n">
        <x:f>COUNTIFS(Games!$A$4:$A$1177,$A138,Games!$G$4:$G$1177,$C138,Games!$J$4:$J$1177,"T")+COUNTIFS(Games!$A$4:$A$1177,$A138,Games!$L$4:$L$1177,$C138,Games!$O$4:$O$1177,"T")</x:f>
        <x:v>0</x:v>
      </x:c>
      <x:c r="H138" t="n">
        <x:f>SUMIFS(Games!$H$4:$H$1177,Games!$A$4:$A$1177,$A138,Games!$D$4:$D$1177,"post",Games!$G$4:$G$1177,$C138)+SUMIFS(Games!$M$4:$M$1177,Games!$A$4:$A$1177,$A138,Games!$D$4:$D$1177,"post",Games!$L$4:$L$1177,$C138)</x:f>
        <x:v>7</x:v>
      </x:c>
      <x:c r="I138" t="n">
        <x:f>SUMIFS(Games!$M$4:$M$1177,Games!$A$4:$A$1177,$A138,Games!$D$4:$D$1177,"post",Games!$G$4:$G$1177,$C138)+SUMIFS(Games!$H$4:$H$1177,Games!$A$4:$A$1177,$A138,Games!$D$4:$D$1177,"post",Games!$L$4:$L$1177,$C138)</x:f>
        <x:v>34</x:v>
      </x:c>
      <x:c r="J138" t="str">
        <x:f>E138&amp;"-"&amp;F138&amp;IF(G138&gt;0,"-"&amp;G138,"")</x:f>
        <x:v>0-1</x:v>
      </x:c>
      <x:c r="K138" t="n">
        <x:f>COUNTIFS(Games!$A$4:$A$1177,$A138,Games!$D$4:$D$1177,"post",Games!$G$4:$G$1177,$C138,Games!$T$4:$T$1177,"&lt;&gt;")+COUNTIFS(Games!$A$4:$A$1177,$A138,Games!$D$4:$D$1177,"post",Games!$L$4:$L$1177,$C138,Games!$T$4:$T$1177,"&lt;&gt;")</x:f>
        <x:v>0</x:v>
      </x:c>
      <x:c r="L138" s="80" t="n">
        <x:f>IF(D138=0,0,K138/D138)</x:f>
        <x:v>0</x:v>
      </x:c>
      <x:c r="M138" t="str">
        <x:f>IF(AND(D138&gt;=2,K138&gt;=2,L138&gt;=75%),"YES","NO")</x:f>
        <x:v>NO</x:v>
      </x:c>
    </x:row>
    <x:row r="139">
      <x:c r="A139" t="str">
        <x:v>CFB</x:v>
      </x:c>
      <x:c r="B139" t="str">
        <x:v>North Dakota State Bison</x:v>
      </x:c>
      <x:c r="C139" t="str">
        <x:v>NDSU</x:v>
      </x:c>
      <x:c r="D139" t="n">
        <x:f>COUNTIFS(Games!$A$4:$A$1177,$A139,Games!$D$4:$D$1177,"post",Games!$G$4:$G$1177,$C139)+COUNTIFS(Games!$A$4:$A$1177,$A139,Games!$D$4:$D$1177,"post",Games!$L$4:$L$1177,$C139)</x:f>
        <x:v>4</x:v>
      </x:c>
      <x:c r="E139" t="n">
        <x:f>COUNTIFS(Games!$A$4:$A$1177,$A139,Games!$G$4:$G$1177,$C139,Games!$J$4:$J$1177,"W")+COUNTIFS(Games!$A$4:$A$1177,$A139,Games!$L$4:$L$1177,$C139,Games!$O$4:$O$1177,"W")</x:f>
        <x:v>4</x:v>
      </x:c>
      <x:c r="F139" t="n">
        <x:f>COUNTIFS(Games!$A$4:$A$1177,$A139,Games!$G$4:$G$1177,$C139,Games!$J$4:$J$1177,"L")+COUNTIFS(Games!$A$4:$A$1177,$A139,Games!$L$4:$L$1177,$C139,Games!$O$4:$O$1177,"L")</x:f>
        <x:v>0</x:v>
      </x:c>
      <x:c r="G139" t="n">
        <x:f>COUNTIFS(Games!$A$4:$A$1177,$A139,Games!$G$4:$G$1177,$C139,Games!$J$4:$J$1177,"T")+COUNTIFS(Games!$A$4:$A$1177,$A139,Games!$L$4:$L$1177,$C139,Games!$O$4:$O$1177,"T")</x:f>
        <x:v>0</x:v>
      </x:c>
      <x:c r="H139" t="n">
        <x:f>SUMIFS(Games!$H$4:$H$1177,Games!$A$4:$A$1177,$A139,Games!$D$4:$D$1177,"post",Games!$G$4:$G$1177,$C139)+SUMIFS(Games!$M$4:$M$1177,Games!$A$4:$A$1177,$A139,Games!$D$4:$D$1177,"post",Games!$L$4:$L$1177,$C139)</x:f>
        <x:v>140</x:v>
      </x:c>
      <x:c r="I139" t="n">
        <x:f>SUMIFS(Games!$M$4:$M$1177,Games!$A$4:$A$1177,$A139,Games!$D$4:$D$1177,"post",Games!$G$4:$G$1177,$C139)+SUMIFS(Games!$H$4:$H$1177,Games!$A$4:$A$1177,$A139,Games!$D$4:$D$1177,"post",Games!$L$4:$L$1177,$C139)</x:f>
        <x:v>49</x:v>
      </x:c>
      <x:c r="J139" t="str">
        <x:f>E139&amp;"-"&amp;F139&amp;IF(G139&gt;0,"-"&amp;G139,"")</x:f>
        <x:v>4-0</x:v>
      </x:c>
      <x:c r="K139" t="n">
        <x:f>COUNTIFS(Games!$A$4:$A$1177,$A139,Games!$D$4:$D$1177,"post",Games!$G$4:$G$1177,$C139,Games!$T$4:$T$1177,"&lt;&gt;")+COUNTIFS(Games!$A$4:$A$1177,$A139,Games!$D$4:$D$1177,"post",Games!$L$4:$L$1177,$C139,Games!$T$4:$T$1177,"&lt;&gt;")</x:f>
        <x:v>0</x:v>
      </x:c>
      <x:c r="L139" s="80" t="n">
        <x:f>IF(D139=0,0,K139/D139)</x:f>
        <x:v>0</x:v>
      </x:c>
      <x:c r="M139" t="str">
        <x:f>IF(AND(D139&gt;=2,K139&gt;=2,L139&gt;=75%),"YES","NO")</x:f>
        <x:v>NO</x:v>
      </x:c>
    </x:row>
    <x:row r="140">
      <x:c r="A140" t="str">
        <x:v>CFB</x:v>
      </x:c>
      <x:c r="B140" t="str">
        <x:v>North Texas Mean Green</x:v>
      </x:c>
      <x:c r="C140" t="str">
        <x:v>UNT</x:v>
      </x:c>
      <x:c r="D140" t="n">
        <x:f>COUNTIFS(Games!$A$4:$A$1177,$A140,Games!$D$4:$D$1177,"post",Games!$G$4:$G$1177,$C140)+COUNTIFS(Games!$A$4:$A$1177,$A140,Games!$D$4:$D$1177,"post",Games!$L$4:$L$1177,$C140)</x:f>
        <x:v>3</x:v>
      </x:c>
      <x:c r="E140" t="n">
        <x:f>COUNTIFS(Games!$A$4:$A$1177,$A140,Games!$G$4:$G$1177,$C140,Games!$J$4:$J$1177,"W")+COUNTIFS(Games!$A$4:$A$1177,$A140,Games!$L$4:$L$1177,$C140,Games!$O$4:$O$1177,"W")</x:f>
        <x:v>1</x:v>
      </x:c>
      <x:c r="F140" t="n">
        <x:f>COUNTIFS(Games!$A$4:$A$1177,$A140,Games!$G$4:$G$1177,$C140,Games!$J$4:$J$1177,"L")+COUNTIFS(Games!$A$4:$A$1177,$A140,Games!$L$4:$L$1177,$C140,Games!$O$4:$O$1177,"L")</x:f>
        <x:v>2</x:v>
      </x:c>
      <x:c r="G140" t="n">
        <x:f>COUNTIFS(Games!$A$4:$A$1177,$A140,Games!$G$4:$G$1177,$C140,Games!$J$4:$J$1177,"T")+COUNTIFS(Games!$A$4:$A$1177,$A140,Games!$L$4:$L$1177,$C140,Games!$O$4:$O$1177,"T")</x:f>
        <x:v>0</x:v>
      </x:c>
      <x:c r="H140" t="n">
        <x:f>SUMIFS(Games!$H$4:$H$1177,Games!$A$4:$A$1177,$A140,Games!$D$4:$D$1177,"post",Games!$G$4:$G$1177,$C140)+SUMIFS(Games!$M$4:$M$1177,Games!$A$4:$A$1177,$A140,Games!$D$4:$D$1177,"post",Games!$L$4:$L$1177,$C140)</x:f>
        <x:v>95</x:v>
      </x:c>
      <x:c r="I140" t="n">
        <x:f>SUMIFS(Games!$M$4:$M$1177,Games!$A$4:$A$1177,$A140,Games!$D$4:$D$1177,"post",Games!$G$4:$G$1177,$C140)+SUMIFS(Games!$H$4:$H$1177,Games!$A$4:$A$1177,$A140,Games!$D$4:$D$1177,"post",Games!$L$4:$L$1177,$C140)</x:f>
        <x:v>107</x:v>
      </x:c>
      <x:c r="J140" t="str">
        <x:f>E140&amp;"-"&amp;F140&amp;IF(G140&gt;0,"-"&amp;G140,"")</x:f>
        <x:v>1-2</x:v>
      </x:c>
      <x:c r="K140" t="n">
        <x:f>COUNTIFS(Games!$A$4:$A$1177,$A140,Games!$D$4:$D$1177,"post",Games!$G$4:$G$1177,$C140,Games!$T$4:$T$1177,"&lt;&gt;")+COUNTIFS(Games!$A$4:$A$1177,$A140,Games!$D$4:$D$1177,"post",Games!$L$4:$L$1177,$C140,Games!$T$4:$T$1177,"&lt;&gt;")</x:f>
        <x:v>0</x:v>
      </x:c>
      <x:c r="L140" s="80" t="n">
        <x:f>IF(D140=0,0,K140/D140)</x:f>
        <x:v>0</x:v>
      </x:c>
      <x:c r="M140" t="str">
        <x:f>IF(AND(D140&gt;=2,K140&gt;=2,L140&gt;=75%),"YES","NO")</x:f>
        <x:v>NO</x:v>
      </x:c>
    </x:row>
    <x:row r="141">
      <x:c r="A141" t="str">
        <x:v>CFB</x:v>
      </x:c>
      <x:c r="B141" t="str">
        <x:v>Northern Arizona Lumberjacks</x:v>
      </x:c>
      <x:c r="C141" t="str">
        <x:v>NAU</x:v>
      </x:c>
      <x:c r="D141" t="n">
        <x:f>COUNTIFS(Games!$A$4:$A$1177,$A141,Games!$D$4:$D$1177,"post",Games!$G$4:$G$1177,$C141)+COUNTIFS(Games!$A$4:$A$1177,$A141,Games!$D$4:$D$1177,"post",Games!$L$4:$L$1177,$C141)</x:f>
        <x:v>1</x:v>
      </x:c>
      <x:c r="E141" t="n">
        <x:f>COUNTIFS(Games!$A$4:$A$1177,$A141,Games!$G$4:$G$1177,$C141,Games!$J$4:$J$1177,"W")+COUNTIFS(Games!$A$4:$A$1177,$A141,Games!$L$4:$L$1177,$C141,Games!$O$4:$O$1177,"W")</x:f>
        <x:v>0</x:v>
      </x:c>
      <x:c r="F141" t="n">
        <x:f>COUNTIFS(Games!$A$4:$A$1177,$A141,Games!$G$4:$G$1177,$C141,Games!$J$4:$J$1177,"L")+COUNTIFS(Games!$A$4:$A$1177,$A141,Games!$L$4:$L$1177,$C141,Games!$O$4:$O$1177,"L")</x:f>
        <x:v>1</x:v>
      </x:c>
      <x:c r="G141" t="n">
        <x:f>COUNTIFS(Games!$A$4:$A$1177,$A141,Games!$G$4:$G$1177,$C141,Games!$J$4:$J$1177,"T")+COUNTIFS(Games!$A$4:$A$1177,$A141,Games!$L$4:$L$1177,$C141,Games!$O$4:$O$1177,"T")</x:f>
        <x:v>0</x:v>
      </x:c>
      <x:c r="H141" t="n">
        <x:f>SUMIFS(Games!$H$4:$H$1177,Games!$A$4:$A$1177,$A141,Games!$D$4:$D$1177,"post",Games!$G$4:$G$1177,$C141)+SUMIFS(Games!$M$4:$M$1177,Games!$A$4:$A$1177,$A141,Games!$D$4:$D$1177,"post",Games!$L$4:$L$1177,$C141)</x:f>
        <x:v>7</x:v>
      </x:c>
      <x:c r="I141" t="n">
        <x:f>SUMIFS(Games!$M$4:$M$1177,Games!$A$4:$A$1177,$A141,Games!$D$4:$D$1177,"post",Games!$G$4:$G$1177,$C141)+SUMIFS(Games!$H$4:$H$1177,Games!$A$4:$A$1177,$A141,Games!$D$4:$D$1177,"post",Games!$L$4:$L$1177,$C141)</x:f>
        <x:v>35</x:v>
      </x:c>
      <x:c r="J141" t="str">
        <x:f>E141&amp;"-"&amp;F141&amp;IF(G141&gt;0,"-"&amp;G141,"")</x:f>
        <x:v>0-1</x:v>
      </x:c>
      <x:c r="K141" t="n">
        <x:f>COUNTIFS(Games!$A$4:$A$1177,$A141,Games!$D$4:$D$1177,"post",Games!$G$4:$G$1177,$C141,Games!$T$4:$T$1177,"&lt;&gt;")+COUNTIFS(Games!$A$4:$A$1177,$A141,Games!$D$4:$D$1177,"post",Games!$L$4:$L$1177,$C141,Games!$T$4:$T$1177,"&lt;&gt;")</x:f>
        <x:v>0</x:v>
      </x:c>
      <x:c r="L141" s="80" t="n">
        <x:f>IF(D141=0,0,K141/D141)</x:f>
        <x:v>0</x:v>
      </x:c>
      <x:c r="M141" t="str">
        <x:f>IF(AND(D141&gt;=2,K141&gt;=2,L141&gt;=75%),"YES","NO")</x:f>
        <x:v>NO</x:v>
      </x:c>
    </x:row>
    <x:row r="142">
      <x:c r="A142" t="str">
        <x:v>CFB</x:v>
      </x:c>
      <x:c r="B142" t="str">
        <x:v>Northern Colorado Bears</x:v>
      </x:c>
      <x:c r="C142" t="str">
        <x:v>UNCO</x:v>
      </x:c>
      <x:c r="D142" t="n">
        <x:f>COUNTIFS(Games!$A$4:$A$1177,$A142,Games!$D$4:$D$1177,"post",Games!$G$4:$G$1177,$C142)+COUNTIFS(Games!$A$4:$A$1177,$A142,Games!$D$4:$D$1177,"post",Games!$L$4:$L$1177,$C142)</x:f>
        <x:v>1</x:v>
      </x:c>
      <x:c r="E142" t="n">
        <x:f>COUNTIFS(Games!$A$4:$A$1177,$A142,Games!$G$4:$G$1177,$C142,Games!$J$4:$J$1177,"W")+COUNTIFS(Games!$A$4:$A$1177,$A142,Games!$L$4:$L$1177,$C142,Games!$O$4:$O$1177,"W")</x:f>
        <x:v>0</x:v>
      </x:c>
      <x:c r="F142" t="n">
        <x:f>COUNTIFS(Games!$A$4:$A$1177,$A142,Games!$G$4:$G$1177,$C142,Games!$J$4:$J$1177,"L")+COUNTIFS(Games!$A$4:$A$1177,$A142,Games!$L$4:$L$1177,$C142,Games!$O$4:$O$1177,"L")</x:f>
        <x:v>1</x:v>
      </x:c>
      <x:c r="G142" t="n">
        <x:f>COUNTIFS(Games!$A$4:$A$1177,$A142,Games!$G$4:$G$1177,$C142,Games!$J$4:$J$1177,"T")+COUNTIFS(Games!$A$4:$A$1177,$A142,Games!$L$4:$L$1177,$C142,Games!$O$4:$O$1177,"T")</x:f>
        <x:v>0</x:v>
      </x:c>
      <x:c r="H142" t="n">
        <x:f>SUMIFS(Games!$H$4:$H$1177,Games!$A$4:$A$1177,$A142,Games!$D$4:$D$1177,"post",Games!$G$4:$G$1177,$C142)+SUMIFS(Games!$M$4:$M$1177,Games!$A$4:$A$1177,$A142,Games!$D$4:$D$1177,"post",Games!$L$4:$L$1177,$C142)</x:f>
        <x:v>13</x:v>
      </x:c>
      <x:c r="I142" t="n">
        <x:f>SUMIFS(Games!$M$4:$M$1177,Games!$A$4:$A$1177,$A142,Games!$D$4:$D$1177,"post",Games!$G$4:$G$1177,$C142)+SUMIFS(Games!$H$4:$H$1177,Games!$A$4:$A$1177,$A142,Games!$D$4:$D$1177,"post",Games!$L$4:$L$1177,$C142)</x:f>
        <x:v>21</x:v>
      </x:c>
      <x:c r="J142" t="str">
        <x:f>E142&amp;"-"&amp;F142&amp;IF(G142&gt;0,"-"&amp;G142,"")</x:f>
        <x:v>0-1</x:v>
      </x:c>
      <x:c r="K142" t="n">
        <x:f>COUNTIFS(Games!$A$4:$A$1177,$A142,Games!$D$4:$D$1177,"post",Games!$G$4:$G$1177,$C142,Games!$T$4:$T$1177,"&lt;&gt;")+COUNTIFS(Games!$A$4:$A$1177,$A142,Games!$D$4:$D$1177,"post",Games!$L$4:$L$1177,$C142,Games!$T$4:$T$1177,"&lt;&gt;")</x:f>
        <x:v>0</x:v>
      </x:c>
      <x:c r="L142" s="80" t="n">
        <x:f>IF(D142=0,0,K142/D142)</x:f>
        <x:v>0</x:v>
      </x:c>
      <x:c r="M142" t="str">
        <x:f>IF(AND(D142&gt;=2,K142&gt;=2,L142&gt;=75%),"YES","NO")</x:f>
        <x:v>NO</x:v>
      </x:c>
    </x:row>
    <x:row r="143">
      <x:c r="A143" t="str">
        <x:v>CFB</x:v>
      </x:c>
      <x:c r="B143" t="str">
        <x:v>Northern Illinois Huskies</x:v>
      </x:c>
      <x:c r="C143" t="str">
        <x:v>NIU</x:v>
      </x:c>
      <x:c r="D143" t="n">
        <x:f>COUNTIFS(Games!$A$4:$A$1177,$A143,Games!$D$4:$D$1177,"post",Games!$G$4:$G$1177,$C143)+COUNTIFS(Games!$A$4:$A$1177,$A143,Games!$D$4:$D$1177,"post",Games!$L$4:$L$1177,$C143)</x:f>
        <x:v>3</x:v>
      </x:c>
      <x:c r="E143" t="n">
        <x:f>COUNTIFS(Games!$A$4:$A$1177,$A143,Games!$G$4:$G$1177,$C143,Games!$J$4:$J$1177,"W")+COUNTIFS(Games!$A$4:$A$1177,$A143,Games!$L$4:$L$1177,$C143,Games!$O$4:$O$1177,"W")</x:f>
        <x:v>0</x:v>
      </x:c>
      <x:c r="F143" t="n">
        <x:f>COUNTIFS(Games!$A$4:$A$1177,$A143,Games!$G$4:$G$1177,$C143,Games!$J$4:$J$1177,"L")+COUNTIFS(Games!$A$4:$A$1177,$A143,Games!$L$4:$L$1177,$C143,Games!$O$4:$O$1177,"L")</x:f>
        <x:v>3</x:v>
      </x:c>
      <x:c r="G143" t="n">
        <x:f>COUNTIFS(Games!$A$4:$A$1177,$A143,Games!$G$4:$G$1177,$C143,Games!$J$4:$J$1177,"T")+COUNTIFS(Games!$A$4:$A$1177,$A143,Games!$L$4:$L$1177,$C143,Games!$O$4:$O$1177,"T")</x:f>
        <x:v>0</x:v>
      </x:c>
      <x:c r="H143" t="n">
        <x:f>SUMIFS(Games!$H$4:$H$1177,Games!$A$4:$A$1177,$A143,Games!$D$4:$D$1177,"post",Games!$G$4:$G$1177,$C143)+SUMIFS(Games!$M$4:$M$1177,Games!$A$4:$A$1177,$A143,Games!$D$4:$D$1177,"post",Games!$L$4:$L$1177,$C143)</x:f>
        <x:v>41</x:v>
      </x:c>
      <x:c r="I143" t="n">
        <x:f>SUMIFS(Games!$M$4:$M$1177,Games!$A$4:$A$1177,$A143,Games!$D$4:$D$1177,"post",Games!$G$4:$G$1177,$C143)+SUMIFS(Games!$H$4:$H$1177,Games!$A$4:$A$1177,$A143,Games!$D$4:$D$1177,"post",Games!$L$4:$L$1177,$C143)</x:f>
        <x:v>110</x:v>
      </x:c>
      <x:c r="J143" t="str">
        <x:f>E143&amp;"-"&amp;F143&amp;IF(G143&gt;0,"-"&amp;G143,"")</x:f>
        <x:v>0-3</x:v>
      </x:c>
      <x:c r="K143" t="n">
        <x:f>COUNTIFS(Games!$A$4:$A$1177,$A143,Games!$D$4:$D$1177,"post",Games!$G$4:$G$1177,$C143,Games!$T$4:$T$1177,"&lt;&gt;")+COUNTIFS(Games!$A$4:$A$1177,$A143,Games!$D$4:$D$1177,"post",Games!$L$4:$L$1177,$C143,Games!$T$4:$T$1177,"&lt;&gt;")</x:f>
        <x:v>0</x:v>
      </x:c>
      <x:c r="L143" s="80" t="n">
        <x:f>IF(D143=0,0,K143/D143)</x:f>
        <x:v>0</x:v>
      </x:c>
      <x:c r="M143" t="str">
        <x:f>IF(AND(D143&gt;=2,K143&gt;=2,L143&gt;=75%),"YES","NO")</x:f>
        <x:v>NO</x:v>
      </x:c>
    </x:row>
    <x:row r="144">
      <x:c r="A144" t="str">
        <x:v>CFB</x:v>
      </x:c>
      <x:c r="B144" t="str">
        <x:v>Northern Iowa Panthers</x:v>
      </x:c>
      <x:c r="C144" t="str">
        <x:v>UNI</x:v>
      </x:c>
      <x:c r="D144" t="n">
        <x:f>COUNTIFS(Games!$A$4:$A$1177,$A144,Games!$D$4:$D$1177,"post",Games!$G$4:$G$1177,$C144)+COUNTIFS(Games!$A$4:$A$1177,$A144,Games!$D$4:$D$1177,"post",Games!$L$4:$L$1177,$C144)</x:f>
        <x:v>1</x:v>
      </x:c>
      <x:c r="E144" t="n">
        <x:f>COUNTIFS(Games!$A$4:$A$1177,$A144,Games!$G$4:$G$1177,$C144,Games!$J$4:$J$1177,"W")+COUNTIFS(Games!$A$4:$A$1177,$A144,Games!$L$4:$L$1177,$C144,Games!$O$4:$O$1177,"W")</x:f>
        <x:v>0</x:v>
      </x:c>
      <x:c r="F144" t="n">
        <x:f>COUNTIFS(Games!$A$4:$A$1177,$A144,Games!$G$4:$G$1177,$C144,Games!$J$4:$J$1177,"L")+COUNTIFS(Games!$A$4:$A$1177,$A144,Games!$L$4:$L$1177,$C144,Games!$O$4:$O$1177,"L")</x:f>
        <x:v>1</x:v>
      </x:c>
      <x:c r="G144" t="n">
        <x:f>COUNTIFS(Games!$A$4:$A$1177,$A144,Games!$G$4:$G$1177,$C144,Games!$J$4:$J$1177,"T")+COUNTIFS(Games!$A$4:$A$1177,$A144,Games!$L$4:$L$1177,$C144,Games!$O$4:$O$1177,"T")</x:f>
        <x:v>0</x:v>
      </x:c>
      <x:c r="H144" t="n">
        <x:f>SUMIFS(Games!$H$4:$H$1177,Games!$A$4:$A$1177,$A144,Games!$D$4:$D$1177,"post",Games!$G$4:$G$1177,$C144)+SUMIFS(Games!$M$4:$M$1177,Games!$A$4:$A$1177,$A144,Games!$D$4:$D$1177,"post",Games!$L$4:$L$1177,$C144)</x:f>
        <x:v>0</x:v>
      </x:c>
      <x:c r="I144" t="n">
        <x:f>SUMIFS(Games!$M$4:$M$1177,Games!$A$4:$A$1177,$A144,Games!$D$4:$D$1177,"post",Games!$G$4:$G$1177,$C144)+SUMIFS(Games!$H$4:$H$1177,Games!$A$4:$A$1177,$A144,Games!$D$4:$D$1177,"post",Games!$L$4:$L$1177,$C144)</x:f>
        <x:v>55</x:v>
      </x:c>
      <x:c r="J144" t="str">
        <x:f>E144&amp;"-"&amp;F144&amp;IF(G144&gt;0,"-"&amp;G144,"")</x:f>
        <x:v>0-1</x:v>
      </x:c>
      <x:c r="K144" t="n">
        <x:f>COUNTIFS(Games!$A$4:$A$1177,$A144,Games!$D$4:$D$1177,"post",Games!$G$4:$G$1177,$C144,Games!$T$4:$T$1177,"&lt;&gt;")+COUNTIFS(Games!$A$4:$A$1177,$A144,Games!$D$4:$D$1177,"post",Games!$L$4:$L$1177,$C144,Games!$T$4:$T$1177,"&lt;&gt;")</x:f>
        <x:v>0</x:v>
      </x:c>
      <x:c r="L144" s="80" t="n">
        <x:f>IF(D144=0,0,K144/D144)</x:f>
        <x:v>0</x:v>
      </x:c>
      <x:c r="M144" t="str">
        <x:f>IF(AND(D144&gt;=2,K144&gt;=2,L144&gt;=75%),"YES","NO")</x:f>
        <x:v>NO</x:v>
      </x:c>
    </x:row>
    <x:row r="145">
      <x:c r="A145" t="str">
        <x:v>CFB</x:v>
      </x:c>
      <x:c r="B145" t="str">
        <x:v>Northwestern State Demons</x:v>
      </x:c>
      <x:c r="C145" t="str">
        <x:v>NWST</x:v>
      </x:c>
      <x:c r="D145" t="n">
        <x:f>COUNTIFS(Games!$A$4:$A$1177,$A145,Games!$D$4:$D$1177,"post",Games!$G$4:$G$1177,$C145)+COUNTIFS(Games!$A$4:$A$1177,$A145,Games!$D$4:$D$1177,"post",Games!$L$4:$L$1177,$C145)</x:f>
        <x:v>1</x:v>
      </x:c>
      <x:c r="E145" t="n">
        <x:f>COUNTIFS(Games!$A$4:$A$1177,$A145,Games!$G$4:$G$1177,$C145,Games!$J$4:$J$1177,"W")+COUNTIFS(Games!$A$4:$A$1177,$A145,Games!$L$4:$L$1177,$C145,Games!$O$4:$O$1177,"W")</x:f>
        <x:v>0</x:v>
      </x:c>
      <x:c r="F145" t="n">
        <x:f>COUNTIFS(Games!$A$4:$A$1177,$A145,Games!$G$4:$G$1177,$C145,Games!$J$4:$J$1177,"L")+COUNTIFS(Games!$A$4:$A$1177,$A145,Games!$L$4:$L$1177,$C145,Games!$O$4:$O$1177,"L")</x:f>
        <x:v>1</x:v>
      </x:c>
      <x:c r="G145" t="n">
        <x:f>COUNTIFS(Games!$A$4:$A$1177,$A145,Games!$G$4:$G$1177,$C145,Games!$J$4:$J$1177,"T")+COUNTIFS(Games!$A$4:$A$1177,$A145,Games!$L$4:$L$1177,$C145,Games!$O$4:$O$1177,"T")</x:f>
        <x:v>0</x:v>
      </x:c>
      <x:c r="H145" t="n">
        <x:f>SUMIFS(Games!$H$4:$H$1177,Games!$A$4:$A$1177,$A145,Games!$D$4:$D$1177,"post",Games!$G$4:$G$1177,$C145)+SUMIFS(Games!$M$4:$M$1177,Games!$A$4:$A$1177,$A145,Games!$D$4:$D$1177,"post",Games!$L$4:$L$1177,$C145)</x:f>
        <x:v>6</x:v>
      </x:c>
      <x:c r="I145" t="n">
        <x:f>SUMIFS(Games!$M$4:$M$1177,Games!$A$4:$A$1177,$A145,Games!$D$4:$D$1177,"post",Games!$G$4:$G$1177,$C145)+SUMIFS(Games!$H$4:$H$1177,Games!$A$4:$A$1177,$A145,Games!$D$4:$D$1177,"post",Games!$L$4:$L$1177,$C145)</x:f>
        <x:v>80</x:v>
      </x:c>
      <x:c r="J145" t="str">
        <x:f>E145&amp;"-"&amp;F145&amp;IF(G145&gt;0,"-"&amp;G145,"")</x:f>
        <x:v>0-1</x:v>
      </x:c>
      <x:c r="K145" t="n">
        <x:f>COUNTIFS(Games!$A$4:$A$1177,$A145,Games!$D$4:$D$1177,"post",Games!$G$4:$G$1177,$C145,Games!$T$4:$T$1177,"&lt;&gt;")+COUNTIFS(Games!$A$4:$A$1177,$A145,Games!$D$4:$D$1177,"post",Games!$L$4:$L$1177,$C145,Games!$T$4:$T$1177,"&lt;&gt;")</x:f>
        <x:v>0</x:v>
      </x:c>
      <x:c r="L145" s="80" t="n">
        <x:f>IF(D145=0,0,K145/D145)</x:f>
        <x:v>0</x:v>
      </x:c>
      <x:c r="M145" t="str">
        <x:f>IF(AND(D145&gt;=2,K145&gt;=2,L145&gt;=75%),"YES","NO")</x:f>
        <x:v>NO</x:v>
      </x:c>
    </x:row>
    <x:row r="146">
      <x:c r="A146" t="str">
        <x:v>CFB</x:v>
      </x:c>
      <x:c r="B146" t="str">
        <x:v>Northwestern Wildcats</x:v>
      </x:c>
      <x:c r="C146" t="str">
        <x:v>NU</x:v>
      </x:c>
      <x:c r="D146" t="n">
        <x:f>COUNTIFS(Games!$A$4:$A$1177,$A146,Games!$D$4:$D$1177,"post",Games!$G$4:$G$1177,$C146)+COUNTIFS(Games!$A$4:$A$1177,$A146,Games!$D$4:$D$1177,"post",Games!$L$4:$L$1177,$C146)</x:f>
        <x:v>2</x:v>
      </x:c>
      <x:c r="E146" t="n">
        <x:f>COUNTIFS(Games!$A$4:$A$1177,$A146,Games!$G$4:$G$1177,$C146,Games!$J$4:$J$1177,"W")+COUNTIFS(Games!$A$4:$A$1177,$A146,Games!$L$4:$L$1177,$C146,Games!$O$4:$O$1177,"W")</x:f>
        <x:v>2</x:v>
      </x:c>
      <x:c r="F146" t="n">
        <x:f>COUNTIFS(Games!$A$4:$A$1177,$A146,Games!$G$4:$G$1177,$C146,Games!$J$4:$J$1177,"L")+COUNTIFS(Games!$A$4:$A$1177,$A146,Games!$L$4:$L$1177,$C146,Games!$O$4:$O$1177,"L")</x:f>
        <x:v>0</x:v>
      </x:c>
      <x:c r="G146" t="n">
        <x:f>COUNTIFS(Games!$A$4:$A$1177,$A146,Games!$G$4:$G$1177,$C146,Games!$J$4:$J$1177,"T")+COUNTIFS(Games!$A$4:$A$1177,$A146,Games!$L$4:$L$1177,$C146,Games!$O$4:$O$1177,"T")</x:f>
        <x:v>0</x:v>
      </x:c>
      <x:c r="H146" t="n">
        <x:f>SUMIFS(Games!$H$4:$H$1177,Games!$A$4:$A$1177,$A146,Games!$D$4:$D$1177,"post",Games!$G$4:$G$1177,$C146)+SUMIFS(Games!$M$4:$M$1177,Games!$A$4:$A$1177,$A146,Games!$D$4:$D$1177,"post",Games!$L$4:$L$1177,$C146)</x:f>
        <x:v>75</x:v>
      </x:c>
      <x:c r="I146" t="n">
        <x:f>SUMIFS(Games!$M$4:$M$1177,Games!$A$4:$A$1177,$A146,Games!$D$4:$D$1177,"post",Games!$G$4:$G$1177,$C146)+SUMIFS(Games!$H$4:$H$1177,Games!$A$4:$A$1177,$A146,Games!$D$4:$D$1177,"post",Games!$L$4:$L$1177,$C146)</x:f>
        <x:v>25</x:v>
      </x:c>
      <x:c r="J146" t="str">
        <x:f>E146&amp;"-"&amp;F146&amp;IF(G146&gt;0,"-"&amp;G146,"")</x:f>
        <x:v>2-0</x:v>
      </x:c>
      <x:c r="K146" t="n">
        <x:f>COUNTIFS(Games!$A$4:$A$1177,$A146,Games!$D$4:$D$1177,"post",Games!$G$4:$G$1177,$C146,Games!$T$4:$T$1177,"&lt;&gt;")+COUNTIFS(Games!$A$4:$A$1177,$A146,Games!$D$4:$D$1177,"post",Games!$L$4:$L$1177,$C146,Games!$T$4:$T$1177,"&lt;&gt;")</x:f>
        <x:v>0</x:v>
      </x:c>
      <x:c r="L146" s="80" t="n">
        <x:f>IF(D146=0,0,K146/D146)</x:f>
        <x:v>0</x:v>
      </x:c>
      <x:c r="M146" t="str">
        <x:f>IF(AND(D146&gt;=2,K146&gt;=2,L146&gt;=75%),"YES","NO")</x:f>
        <x:v>NO</x:v>
      </x:c>
    </x:row>
    <x:row r="147">
      <x:c r="A147" t="str">
        <x:v>CFB</x:v>
      </x:c>
      <x:c r="B147" t="str">
        <x:v>Notre Dame Fighting Irish</x:v>
      </x:c>
      <x:c r="C147" t="str">
        <x:v>ND</x:v>
      </x:c>
      <x:c r="D147" t="n">
        <x:f>COUNTIFS(Games!$A$4:$A$1177,$A147,Games!$D$4:$D$1177,"post",Games!$G$4:$G$1177,$C147)+COUNTIFS(Games!$A$4:$A$1177,$A147,Games!$D$4:$D$1177,"post",Games!$L$4:$L$1177,$C147)</x:f>
        <x:v>3</x:v>
      </x:c>
      <x:c r="E147" t="n">
        <x:f>COUNTIFS(Games!$A$4:$A$1177,$A147,Games!$G$4:$G$1177,$C147,Games!$J$4:$J$1177,"W")+COUNTIFS(Games!$A$4:$A$1177,$A147,Games!$L$4:$L$1177,$C147,Games!$O$4:$O$1177,"W")</x:f>
        <x:v>3</x:v>
      </x:c>
      <x:c r="F147" t="n">
        <x:f>COUNTIFS(Games!$A$4:$A$1177,$A147,Games!$G$4:$G$1177,$C147,Games!$J$4:$J$1177,"L")+COUNTIFS(Games!$A$4:$A$1177,$A147,Games!$L$4:$L$1177,$C147,Games!$O$4:$O$1177,"L")</x:f>
        <x:v>0</x:v>
      </x:c>
      <x:c r="G147" t="n">
        <x:f>COUNTIFS(Games!$A$4:$A$1177,$A147,Games!$G$4:$G$1177,$C147,Games!$J$4:$J$1177,"T")+COUNTIFS(Games!$A$4:$A$1177,$A147,Games!$L$4:$L$1177,$C147,Games!$O$4:$O$1177,"T")</x:f>
        <x:v>0</x:v>
      </x:c>
      <x:c r="H147" t="n">
        <x:f>SUMIFS(Games!$H$4:$H$1177,Games!$A$4:$A$1177,$A147,Games!$D$4:$D$1177,"post",Games!$G$4:$G$1177,$C147)+SUMIFS(Games!$M$4:$M$1177,Games!$A$4:$A$1177,$A147,Games!$D$4:$D$1177,"post",Games!$L$4:$L$1177,$C147)</x:f>
        <x:v>120</x:v>
      </x:c>
      <x:c r="I147" t="n">
        <x:f>SUMIFS(Games!$M$4:$M$1177,Games!$A$4:$A$1177,$A147,Games!$D$4:$D$1177,"post",Games!$G$4:$G$1177,$C147)+SUMIFS(Games!$H$4:$H$1177,Games!$A$4:$A$1177,$A147,Games!$D$4:$D$1177,"post",Games!$L$4:$L$1177,$C147)</x:f>
        <x:v>23</x:v>
      </x:c>
      <x:c r="J147" t="str">
        <x:f>E147&amp;"-"&amp;F147&amp;IF(G147&gt;0,"-"&amp;G147,"")</x:f>
        <x:v>3-0</x:v>
      </x:c>
      <x:c r="K147" t="n">
        <x:f>COUNTIFS(Games!$A$4:$A$1177,$A147,Games!$D$4:$D$1177,"post",Games!$G$4:$G$1177,$C147,Games!$T$4:$T$1177,"&lt;&gt;")+COUNTIFS(Games!$A$4:$A$1177,$A147,Games!$D$4:$D$1177,"post",Games!$L$4:$L$1177,$C147,Games!$T$4:$T$1177,"&lt;&gt;")</x:f>
        <x:v>0</x:v>
      </x:c>
      <x:c r="L147" s="80" t="n">
        <x:f>IF(D147=0,0,K147/D147)</x:f>
        <x:v>0</x:v>
      </x:c>
      <x:c r="M147" t="str">
        <x:f>IF(AND(D147&gt;=2,K147&gt;=2,L147&gt;=75%),"YES","NO")</x:f>
        <x:v>NO</x:v>
      </x:c>
    </x:row>
    <x:row r="148">
      <x:c r="A148" t="str">
        <x:v>CFB</x:v>
      </x:c>
      <x:c r="B148" t="str">
        <x:v>Ohio Bobcats</x:v>
      </x:c>
      <x:c r="C148" t="str">
        <x:v>OHIO</x:v>
      </x:c>
      <x:c r="D148" t="n">
        <x:f>COUNTIFS(Games!$A$4:$A$1177,$A148,Games!$D$4:$D$1177,"post",Games!$G$4:$G$1177,$C148)+COUNTIFS(Games!$A$4:$A$1177,$A148,Games!$D$4:$D$1177,"post",Games!$L$4:$L$1177,$C148)</x:f>
        <x:v>3</x:v>
      </x:c>
      <x:c r="E148" t="n">
        <x:f>COUNTIFS(Games!$A$4:$A$1177,$A148,Games!$G$4:$G$1177,$C148,Games!$J$4:$J$1177,"W")+COUNTIFS(Games!$A$4:$A$1177,$A148,Games!$L$4:$L$1177,$C148,Games!$O$4:$O$1177,"W")</x:f>
        <x:v>1</x:v>
      </x:c>
      <x:c r="F148" t="n">
        <x:f>COUNTIFS(Games!$A$4:$A$1177,$A148,Games!$G$4:$G$1177,$C148,Games!$J$4:$J$1177,"L")+COUNTIFS(Games!$A$4:$A$1177,$A148,Games!$L$4:$L$1177,$C148,Games!$O$4:$O$1177,"L")</x:f>
        <x:v>2</x:v>
      </x:c>
      <x:c r="G148" t="n">
        <x:f>COUNTIFS(Games!$A$4:$A$1177,$A148,Games!$G$4:$G$1177,$C148,Games!$J$4:$J$1177,"T")+COUNTIFS(Games!$A$4:$A$1177,$A148,Games!$L$4:$L$1177,$C148,Games!$O$4:$O$1177,"T")</x:f>
        <x:v>0</x:v>
      </x:c>
      <x:c r="H148" t="n">
        <x:f>SUMIFS(Games!$H$4:$H$1177,Games!$A$4:$A$1177,$A148,Games!$D$4:$D$1177,"post",Games!$G$4:$G$1177,$C148)+SUMIFS(Games!$M$4:$M$1177,Games!$A$4:$A$1177,$A148,Games!$D$4:$D$1177,"post",Games!$L$4:$L$1177,$C148)</x:f>
        <x:v>86</x:v>
      </x:c>
      <x:c r="I148" t="n">
        <x:f>SUMIFS(Games!$M$4:$M$1177,Games!$A$4:$A$1177,$A148,Games!$D$4:$D$1177,"post",Games!$G$4:$G$1177,$C148)+SUMIFS(Games!$H$4:$H$1177,Games!$A$4:$A$1177,$A148,Games!$D$4:$D$1177,"post",Games!$L$4:$L$1177,$C148)</x:f>
        <x:v>117</x:v>
      </x:c>
      <x:c r="J148" t="str">
        <x:f>E148&amp;"-"&amp;F148&amp;IF(G148&gt;0,"-"&amp;G148,"")</x:f>
        <x:v>1-2</x:v>
      </x:c>
      <x:c r="K148" t="n">
        <x:f>COUNTIFS(Games!$A$4:$A$1177,$A148,Games!$D$4:$D$1177,"post",Games!$G$4:$G$1177,$C148,Games!$T$4:$T$1177,"&lt;&gt;")+COUNTIFS(Games!$A$4:$A$1177,$A148,Games!$D$4:$D$1177,"post",Games!$L$4:$L$1177,$C148,Games!$T$4:$T$1177,"&lt;&gt;")</x:f>
        <x:v>0</x:v>
      </x:c>
      <x:c r="L148" s="80" t="n">
        <x:f>IF(D148=0,0,K148/D148)</x:f>
        <x:v>0</x:v>
      </x:c>
      <x:c r="M148" t="str">
        <x:f>IF(AND(D148&gt;=2,K148&gt;=2,L148&gt;=75%),"YES","NO")</x:f>
        <x:v>NO</x:v>
      </x:c>
    </x:row>
    <x:row r="149">
      <x:c r="A149" t="str">
        <x:v>CFB</x:v>
      </x:c>
      <x:c r="B149" t="str">
        <x:v>Ohio State Buckeyes</x:v>
      </x:c>
      <x:c r="C149" t="str">
        <x:v>OSU</x:v>
      </x:c>
      <x:c r="D149" t="n">
        <x:f>COUNTIFS(Games!$A$4:$A$1177,$A149,Games!$D$4:$D$1177,"post",Games!$G$4:$G$1177,$C149)+COUNTIFS(Games!$A$4:$A$1177,$A149,Games!$D$4:$D$1177,"post",Games!$L$4:$L$1177,$C149)</x:f>
        <x:v>3</x:v>
      </x:c>
      <x:c r="E149" t="n">
        <x:f>COUNTIFS(Games!$A$4:$A$1177,$A149,Games!$G$4:$G$1177,$C149,Games!$J$4:$J$1177,"W")+COUNTIFS(Games!$A$4:$A$1177,$A149,Games!$L$4:$L$1177,$C149,Games!$O$4:$O$1177,"W")</x:f>
        <x:v>2</x:v>
      </x:c>
      <x:c r="F149" t="n">
        <x:f>COUNTIFS(Games!$A$4:$A$1177,$A149,Games!$G$4:$G$1177,$C149,Games!$J$4:$J$1177,"L")+COUNTIFS(Games!$A$4:$A$1177,$A149,Games!$L$4:$L$1177,$C149,Games!$O$4:$O$1177,"L")</x:f>
        <x:v>1</x:v>
      </x:c>
      <x:c r="G149" t="n">
        <x:f>COUNTIFS(Games!$A$4:$A$1177,$A149,Games!$G$4:$G$1177,$C149,Games!$J$4:$J$1177,"T")+COUNTIFS(Games!$A$4:$A$1177,$A149,Games!$L$4:$L$1177,$C149,Games!$O$4:$O$1177,"T")</x:f>
        <x:v>0</x:v>
      </x:c>
      <x:c r="H149" t="n">
        <x:f>SUMIFS(Games!$H$4:$H$1177,Games!$A$4:$A$1177,$A149,Games!$D$4:$D$1177,"post",Games!$G$4:$G$1177,$C149)+SUMIFS(Games!$M$4:$M$1177,Games!$A$4:$A$1177,$A149,Games!$D$4:$D$1177,"post",Games!$L$4:$L$1177,$C149)</x:f>
        <x:v>138</x:v>
      </x:c>
      <x:c r="I149" t="n">
        <x:f>SUMIFS(Games!$M$4:$M$1177,Games!$A$4:$A$1177,$A149,Games!$D$4:$D$1177,"post",Games!$G$4:$G$1177,$C149)+SUMIFS(Games!$H$4:$H$1177,Games!$A$4:$A$1177,$A149,Games!$D$4:$D$1177,"post",Games!$L$4:$L$1177,$C149)</x:f>
        <x:v>30</x:v>
      </x:c>
      <x:c r="J149" t="str">
        <x:f>E149&amp;"-"&amp;F149&amp;IF(G149&gt;0,"-"&amp;G149,"")</x:f>
        <x:v>2-1</x:v>
      </x:c>
      <x:c r="K149" t="n">
        <x:f>COUNTIFS(Games!$A$4:$A$1177,$A149,Games!$D$4:$D$1177,"post",Games!$G$4:$G$1177,$C149,Games!$T$4:$T$1177,"&lt;&gt;")+COUNTIFS(Games!$A$4:$A$1177,$A149,Games!$D$4:$D$1177,"post",Games!$L$4:$L$1177,$C149,Games!$T$4:$T$1177,"&lt;&gt;")</x:f>
        <x:v>0</x:v>
      </x:c>
      <x:c r="L149" s="80" t="n">
        <x:f>IF(D149=0,0,K149/D149)</x:f>
        <x:v>0</x:v>
      </x:c>
      <x:c r="M149" t="str">
        <x:f>IF(AND(D149&gt;=2,K149&gt;=2,L149&gt;=75%),"YES","NO")</x:f>
        <x:v>NO</x:v>
      </x:c>
    </x:row>
    <x:row r="150">
      <x:c r="A150" t="str">
        <x:v>CFB</x:v>
      </x:c>
      <x:c r="B150" t="str">
        <x:v>Oklahoma Sooners</x:v>
      </x:c>
      <x:c r="C150" t="str">
        <x:v>OU</x:v>
      </x:c>
      <x:c r="D150" t="n">
        <x:f>COUNTIFS(Games!$A$4:$A$1177,$A150,Games!$D$4:$D$1177,"post",Games!$G$4:$G$1177,$C150)+COUNTIFS(Games!$A$4:$A$1177,$A150,Games!$D$4:$D$1177,"post",Games!$L$4:$L$1177,$C150)</x:f>
        <x:v>3</x:v>
      </x:c>
      <x:c r="E150" t="n">
        <x:f>COUNTIFS(Games!$A$4:$A$1177,$A150,Games!$G$4:$G$1177,$C150,Games!$J$4:$J$1177,"W")+COUNTIFS(Games!$A$4:$A$1177,$A150,Games!$L$4:$L$1177,$C150,Games!$O$4:$O$1177,"W")</x:f>
        <x:v>2</x:v>
      </x:c>
      <x:c r="F150" t="n">
        <x:f>COUNTIFS(Games!$A$4:$A$1177,$A150,Games!$G$4:$G$1177,$C150,Games!$J$4:$J$1177,"L")+COUNTIFS(Games!$A$4:$A$1177,$A150,Games!$L$4:$L$1177,$C150,Games!$O$4:$O$1177,"L")</x:f>
        <x:v>1</x:v>
      </x:c>
      <x:c r="G150" t="n">
        <x:f>COUNTIFS(Games!$A$4:$A$1177,$A150,Games!$G$4:$G$1177,$C150,Games!$J$4:$J$1177,"T")+COUNTIFS(Games!$A$4:$A$1177,$A150,Games!$L$4:$L$1177,$C150,Games!$O$4:$O$1177,"T")</x:f>
        <x:v>0</x:v>
      </x:c>
      <x:c r="H150" t="n">
        <x:f>SUMIFS(Games!$H$4:$H$1177,Games!$A$4:$A$1177,$A150,Games!$D$4:$D$1177,"post",Games!$G$4:$G$1177,$C150)+SUMIFS(Games!$M$4:$M$1177,Games!$A$4:$A$1177,$A150,Games!$D$4:$D$1177,"post",Games!$L$4:$L$1177,$C150)</x:f>
        <x:v>75</x:v>
      </x:c>
      <x:c r="I150" t="n">
        <x:f>SUMIFS(Games!$M$4:$M$1177,Games!$A$4:$A$1177,$A150,Games!$D$4:$D$1177,"post",Games!$G$4:$G$1177,$C150)+SUMIFS(Games!$H$4:$H$1177,Games!$A$4:$A$1177,$A150,Games!$D$4:$D$1177,"post",Games!$L$4:$L$1177,$C150)</x:f>
        <x:v>23</x:v>
      </x:c>
      <x:c r="J150" t="str">
        <x:f>E150&amp;"-"&amp;F150&amp;IF(G150&gt;0,"-"&amp;G150,"")</x:f>
        <x:v>2-1</x:v>
      </x:c>
      <x:c r="K150" t="n">
        <x:f>COUNTIFS(Games!$A$4:$A$1177,$A150,Games!$D$4:$D$1177,"post",Games!$G$4:$G$1177,$C150,Games!$T$4:$T$1177,"&lt;&gt;")+COUNTIFS(Games!$A$4:$A$1177,$A150,Games!$D$4:$D$1177,"post",Games!$L$4:$L$1177,$C150,Games!$T$4:$T$1177,"&lt;&gt;")</x:f>
        <x:v>0</x:v>
      </x:c>
      <x:c r="L150" s="80" t="n">
        <x:f>IF(D150=0,0,K150/D150)</x:f>
        <x:v>0</x:v>
      </x:c>
      <x:c r="M150" t="str">
        <x:f>IF(AND(D150&gt;=2,K150&gt;=2,L150&gt;=75%),"YES","NO")</x:f>
        <x:v>NO</x:v>
      </x:c>
    </x:row>
    <x:row r="151">
      <x:c r="A151" t="str">
        <x:v>CFB</x:v>
      </x:c>
      <x:c r="B151" t="str">
        <x:v>Oklahoma State Cowboys</x:v>
      </x:c>
      <x:c r="C151" t="str">
        <x:v>OKST</x:v>
      </x:c>
      <x:c r="D151" t="n">
        <x:f>COUNTIFS(Games!$A$4:$A$1177,$A151,Games!$D$4:$D$1177,"post",Games!$G$4:$G$1177,$C151)+COUNTIFS(Games!$A$4:$A$1177,$A151,Games!$D$4:$D$1177,"post",Games!$L$4:$L$1177,$C151)</x:f>
        <x:v>3</x:v>
      </x:c>
      <x:c r="E151" t="n">
        <x:f>COUNTIFS(Games!$A$4:$A$1177,$A151,Games!$G$4:$G$1177,$C151,Games!$J$4:$J$1177,"W")+COUNTIFS(Games!$A$4:$A$1177,$A151,Games!$L$4:$L$1177,$C151,Games!$O$4:$O$1177,"W")</x:f>
        <x:v>2</x:v>
      </x:c>
      <x:c r="F151" t="n">
        <x:f>COUNTIFS(Games!$A$4:$A$1177,$A151,Games!$G$4:$G$1177,$C151,Games!$J$4:$J$1177,"L")+COUNTIFS(Games!$A$4:$A$1177,$A151,Games!$L$4:$L$1177,$C151,Games!$O$4:$O$1177,"L")</x:f>
        <x:v>1</x:v>
      </x:c>
      <x:c r="G151" t="n">
        <x:f>COUNTIFS(Games!$A$4:$A$1177,$A151,Games!$G$4:$G$1177,$C151,Games!$J$4:$J$1177,"T")+COUNTIFS(Games!$A$4:$A$1177,$A151,Games!$L$4:$L$1177,$C151,Games!$O$4:$O$1177,"T")</x:f>
        <x:v>0</x:v>
      </x:c>
      <x:c r="H151" t="n">
        <x:f>SUMIFS(Games!$H$4:$H$1177,Games!$A$4:$A$1177,$A151,Games!$D$4:$D$1177,"post",Games!$G$4:$G$1177,$C151)+SUMIFS(Games!$M$4:$M$1177,Games!$A$4:$A$1177,$A151,Games!$D$4:$D$1177,"post",Games!$L$4:$L$1177,$C151)</x:f>
        <x:v>108</x:v>
      </x:c>
      <x:c r="I151" t="n">
        <x:f>SUMIFS(Games!$M$4:$M$1177,Games!$A$4:$A$1177,$A151,Games!$D$4:$D$1177,"post",Games!$G$4:$G$1177,$C151)+SUMIFS(Games!$H$4:$H$1177,Games!$A$4:$A$1177,$A151,Games!$D$4:$D$1177,"post",Games!$L$4:$L$1177,$C151)</x:f>
        <x:v>55</x:v>
      </x:c>
      <x:c r="J151" t="str">
        <x:f>E151&amp;"-"&amp;F151&amp;IF(G151&gt;0,"-"&amp;G151,"")</x:f>
        <x:v>2-1</x:v>
      </x:c>
      <x:c r="K151" t="n">
        <x:f>COUNTIFS(Games!$A$4:$A$1177,$A151,Games!$D$4:$D$1177,"post",Games!$G$4:$G$1177,$C151,Games!$T$4:$T$1177,"&lt;&gt;")+COUNTIFS(Games!$A$4:$A$1177,$A151,Games!$D$4:$D$1177,"post",Games!$L$4:$L$1177,$C151,Games!$T$4:$T$1177,"&lt;&gt;")</x:f>
        <x:v>0</x:v>
      </x:c>
      <x:c r="L151" s="80" t="n">
        <x:f>IF(D151=0,0,K151/D151)</x:f>
        <x:v>0</x:v>
      </x:c>
      <x:c r="M151" t="str">
        <x:f>IF(AND(D151&gt;=2,K151&gt;=2,L151&gt;=75%),"YES","NO")</x:f>
        <x:v>NO</x:v>
      </x:c>
    </x:row>
    <x:row r="152">
      <x:c r="A152" t="str">
        <x:v>CFB</x:v>
      </x:c>
      <x:c r="B152" t="str">
        <x:v>Old Dominion Monarchs</x:v>
      </x:c>
      <x:c r="C152" t="str">
        <x:v>ODU</x:v>
      </x:c>
      <x:c r="D152" t="n">
        <x:f>COUNTIFS(Games!$A$4:$A$1177,$A152,Games!$D$4:$D$1177,"post",Games!$G$4:$G$1177,$C152)+COUNTIFS(Games!$A$4:$A$1177,$A152,Games!$D$4:$D$1177,"post",Games!$L$4:$L$1177,$C152)</x:f>
        <x:v>3</x:v>
      </x:c>
      <x:c r="E152" t="n">
        <x:f>COUNTIFS(Games!$A$4:$A$1177,$A152,Games!$G$4:$G$1177,$C152,Games!$J$4:$J$1177,"W")+COUNTIFS(Games!$A$4:$A$1177,$A152,Games!$L$4:$L$1177,$C152,Games!$O$4:$O$1177,"W")</x:f>
        <x:v>1</x:v>
      </x:c>
      <x:c r="F152" t="n">
        <x:f>COUNTIFS(Games!$A$4:$A$1177,$A152,Games!$G$4:$G$1177,$C152,Games!$J$4:$J$1177,"L")+COUNTIFS(Games!$A$4:$A$1177,$A152,Games!$L$4:$L$1177,$C152,Games!$O$4:$O$1177,"L")</x:f>
        <x:v>2</x:v>
      </x:c>
      <x:c r="G152" t="n">
        <x:f>COUNTIFS(Games!$A$4:$A$1177,$A152,Games!$G$4:$G$1177,$C152,Games!$J$4:$J$1177,"T")+COUNTIFS(Games!$A$4:$A$1177,$A152,Games!$L$4:$L$1177,$C152,Games!$O$4:$O$1177,"T")</x:f>
        <x:v>0</x:v>
      </x:c>
      <x:c r="H152" t="n">
        <x:f>SUMIFS(Games!$H$4:$H$1177,Games!$A$4:$A$1177,$A152,Games!$D$4:$D$1177,"post",Games!$G$4:$G$1177,$C152)+SUMIFS(Games!$M$4:$M$1177,Games!$A$4:$A$1177,$A152,Games!$D$4:$D$1177,"post",Games!$L$4:$L$1177,$C152)</x:f>
        <x:v>69</x:v>
      </x:c>
      <x:c r="I152" t="n">
        <x:f>SUMIFS(Games!$M$4:$M$1177,Games!$A$4:$A$1177,$A152,Games!$D$4:$D$1177,"post",Games!$G$4:$G$1177,$C152)+SUMIFS(Games!$H$4:$H$1177,Games!$A$4:$A$1177,$A152,Games!$D$4:$D$1177,"post",Games!$L$4:$L$1177,$C152)</x:f>
        <x:v>74</x:v>
      </x:c>
      <x:c r="J152" t="str">
        <x:f>E152&amp;"-"&amp;F152&amp;IF(G152&gt;0,"-"&amp;G152,"")</x:f>
        <x:v>1-2</x:v>
      </x:c>
      <x:c r="K152" t="n">
        <x:f>COUNTIFS(Games!$A$4:$A$1177,$A152,Games!$D$4:$D$1177,"post",Games!$G$4:$G$1177,$C152,Games!$T$4:$T$1177,"&lt;&gt;")+COUNTIFS(Games!$A$4:$A$1177,$A152,Games!$D$4:$D$1177,"post",Games!$L$4:$L$1177,$C152,Games!$T$4:$T$1177,"&lt;&gt;")</x:f>
        <x:v>0</x:v>
      </x:c>
      <x:c r="L152" s="80" t="n">
        <x:f>IF(D152=0,0,K152/D152)</x:f>
        <x:v>0</x:v>
      </x:c>
      <x:c r="M152" t="str">
        <x:f>IF(AND(D152&gt;=2,K152&gt;=2,L152&gt;=75%),"YES","NO")</x:f>
        <x:v>NO</x:v>
      </x:c>
    </x:row>
    <x:row r="153">
      <x:c r="A153" t="str">
        <x:v>CFB</x:v>
      </x:c>
      <x:c r="B153" t="str">
        <x:v>Ole Miss Rebels</x:v>
      </x:c>
      <x:c r="C153" t="str">
        <x:v>MISS</x:v>
      </x:c>
      <x:c r="D153" t="n">
        <x:f>COUNTIFS(Games!$A$4:$A$1177,$A153,Games!$D$4:$D$1177,"post",Games!$G$4:$G$1177,$C153)+COUNTIFS(Games!$A$4:$A$1177,$A153,Games!$D$4:$D$1177,"post",Games!$L$4:$L$1177,$C153)</x:f>
        <x:v>3</x:v>
      </x:c>
      <x:c r="E153" t="n">
        <x:f>COUNTIFS(Games!$A$4:$A$1177,$A153,Games!$G$4:$G$1177,$C153,Games!$J$4:$J$1177,"W")+COUNTIFS(Games!$A$4:$A$1177,$A153,Games!$L$4:$L$1177,$C153,Games!$O$4:$O$1177,"W")</x:f>
        <x:v>3</x:v>
      </x:c>
      <x:c r="F153" t="n">
        <x:f>COUNTIFS(Games!$A$4:$A$1177,$A153,Games!$G$4:$G$1177,$C153,Games!$J$4:$J$1177,"L")+COUNTIFS(Games!$A$4:$A$1177,$A153,Games!$L$4:$L$1177,$C153,Games!$O$4:$O$1177,"L")</x:f>
        <x:v>0</x:v>
      </x:c>
      <x:c r="G153" t="n">
        <x:f>COUNTIFS(Games!$A$4:$A$1177,$A153,Games!$G$4:$G$1177,$C153,Games!$J$4:$J$1177,"T")+COUNTIFS(Games!$A$4:$A$1177,$A153,Games!$L$4:$L$1177,$C153,Games!$O$4:$O$1177,"T")</x:f>
        <x:v>0</x:v>
      </x:c>
      <x:c r="H153" t="n">
        <x:f>SUMIFS(Games!$H$4:$H$1177,Games!$A$4:$A$1177,$A153,Games!$D$4:$D$1177,"post",Games!$G$4:$G$1177,$C153)+SUMIFS(Games!$M$4:$M$1177,Games!$A$4:$A$1177,$A153,Games!$D$4:$D$1177,"post",Games!$L$4:$L$1177,$C153)</x:f>
        <x:v>114</x:v>
      </x:c>
      <x:c r="I153" t="n">
        <x:f>SUMIFS(Games!$M$4:$M$1177,Games!$A$4:$A$1177,$A153,Games!$D$4:$D$1177,"post",Games!$G$4:$G$1177,$C153)+SUMIFS(Games!$H$4:$H$1177,Games!$A$4:$A$1177,$A153,Games!$D$4:$D$1177,"post",Games!$L$4:$L$1177,$C153)</x:f>
        <x:v>71</x:v>
      </x:c>
      <x:c r="J153" t="str">
        <x:f>E153&amp;"-"&amp;F153&amp;IF(G153&gt;0,"-"&amp;G153,"")</x:f>
        <x:v>3-0</x:v>
      </x:c>
      <x:c r="K153" t="n">
        <x:f>COUNTIFS(Games!$A$4:$A$1177,$A153,Games!$D$4:$D$1177,"post",Games!$G$4:$G$1177,$C153,Games!$T$4:$T$1177,"&lt;&gt;")+COUNTIFS(Games!$A$4:$A$1177,$A153,Games!$D$4:$D$1177,"post",Games!$L$4:$L$1177,$C153,Games!$T$4:$T$1177,"&lt;&gt;")</x:f>
        <x:v>0</x:v>
      </x:c>
      <x:c r="L153" s="80" t="n">
        <x:f>IF(D153=0,0,K153/D153)</x:f>
        <x:v>0</x:v>
      </x:c>
      <x:c r="M153" t="str">
        <x:f>IF(AND(D153&gt;=2,K153&gt;=2,L153&gt;=75%),"YES","NO")</x:f>
        <x:v>NO</x:v>
      </x:c>
    </x:row>
    <x:row r="154">
      <x:c r="A154" t="str">
        <x:v>CFB</x:v>
      </x:c>
      <x:c r="B154" t="str">
        <x:v>Oregon Ducks</x:v>
      </x:c>
      <x:c r="C154" t="str">
        <x:v>ORE</x:v>
      </x:c>
      <x:c r="D154" t="n">
        <x:f>COUNTIFS(Games!$A$4:$A$1177,$A154,Games!$D$4:$D$1177,"post",Games!$G$4:$G$1177,$C154)+COUNTIFS(Games!$A$4:$A$1177,$A154,Games!$D$4:$D$1177,"post",Games!$L$4:$L$1177,$C154)</x:f>
        <x:v>3</x:v>
      </x:c>
      <x:c r="E154" t="n">
        <x:f>COUNTIFS(Games!$A$4:$A$1177,$A154,Games!$G$4:$G$1177,$C154,Games!$J$4:$J$1177,"W")+COUNTIFS(Games!$A$4:$A$1177,$A154,Games!$L$4:$L$1177,$C154,Games!$O$4:$O$1177,"W")</x:f>
        <x:v>2</x:v>
      </x:c>
      <x:c r="F154" t="n">
        <x:f>COUNTIFS(Games!$A$4:$A$1177,$A154,Games!$G$4:$G$1177,$C154,Games!$J$4:$J$1177,"L")+COUNTIFS(Games!$A$4:$A$1177,$A154,Games!$L$4:$L$1177,$C154,Games!$O$4:$O$1177,"L")</x:f>
        <x:v>1</x:v>
      </x:c>
      <x:c r="G154" t="n">
        <x:f>COUNTIFS(Games!$A$4:$A$1177,$A154,Games!$G$4:$G$1177,$C154,Games!$J$4:$J$1177,"T")+COUNTIFS(Games!$A$4:$A$1177,$A154,Games!$L$4:$L$1177,$C154,Games!$O$4:$O$1177,"T")</x:f>
        <x:v>0</x:v>
      </x:c>
      <x:c r="H154" t="n">
        <x:f>SUMIFS(Games!$H$4:$H$1177,Games!$A$4:$A$1177,$A154,Games!$D$4:$D$1177,"post",Games!$G$4:$G$1177,$C154)+SUMIFS(Games!$M$4:$M$1177,Games!$A$4:$A$1177,$A154,Games!$D$4:$D$1177,"post",Games!$L$4:$L$1177,$C154)</x:f>
        <x:v>149</x:v>
      </x:c>
      <x:c r="I154" t="n">
        <x:f>SUMIFS(Games!$M$4:$M$1177,Games!$A$4:$A$1177,$A154,Games!$D$4:$D$1177,"post",Games!$G$4:$G$1177,$C154)+SUMIFS(Games!$H$4:$H$1177,Games!$A$4:$A$1177,$A154,Games!$D$4:$D$1177,"post",Games!$L$4:$L$1177,$C154)</x:f>
        <x:v>66</x:v>
      </x:c>
      <x:c r="J154" t="str">
        <x:f>E154&amp;"-"&amp;F154&amp;IF(G154&gt;0,"-"&amp;G154,"")</x:f>
        <x:v>2-1</x:v>
      </x:c>
      <x:c r="K154" t="n">
        <x:f>COUNTIFS(Games!$A$4:$A$1177,$A154,Games!$D$4:$D$1177,"post",Games!$G$4:$G$1177,$C154,Games!$T$4:$T$1177,"&lt;&gt;")+COUNTIFS(Games!$A$4:$A$1177,$A154,Games!$D$4:$D$1177,"post",Games!$L$4:$L$1177,$C154,Games!$T$4:$T$1177,"&lt;&gt;")</x:f>
        <x:v>0</x:v>
      </x:c>
      <x:c r="L154" s="80" t="n">
        <x:f>IF(D154=0,0,K154/D154)</x:f>
        <x:v>0</x:v>
      </x:c>
      <x:c r="M154" t="str">
        <x:f>IF(AND(D154&gt;=2,K154&gt;=2,L154&gt;=75%),"YES","NO")</x:f>
        <x:v>NO</x:v>
      </x:c>
    </x:row>
    <x:row r="155">
      <x:c r="A155" t="str">
        <x:v>CFB</x:v>
      </x:c>
      <x:c r="B155" t="str">
        <x:v>Oregon State Beavers</x:v>
      </x:c>
      <x:c r="C155" t="str">
        <x:v>ORST</x:v>
      </x:c>
      <x:c r="D155" t="n">
        <x:f>COUNTIFS(Games!$A$4:$A$1177,$A155,Games!$D$4:$D$1177,"post",Games!$G$4:$G$1177,$C155)+COUNTIFS(Games!$A$4:$A$1177,$A155,Games!$D$4:$D$1177,"post",Games!$L$4:$L$1177,$C155)</x:f>
        <x:v>3</x:v>
      </x:c>
      <x:c r="E155" t="n">
        <x:f>COUNTIFS(Games!$A$4:$A$1177,$A155,Games!$G$4:$G$1177,$C155,Games!$J$4:$J$1177,"W")+COUNTIFS(Games!$A$4:$A$1177,$A155,Games!$L$4:$L$1177,$C155,Games!$O$4:$O$1177,"W")</x:f>
        <x:v>1</x:v>
      </x:c>
      <x:c r="F155" t="n">
        <x:f>COUNTIFS(Games!$A$4:$A$1177,$A155,Games!$G$4:$G$1177,$C155,Games!$J$4:$J$1177,"L")+COUNTIFS(Games!$A$4:$A$1177,$A155,Games!$L$4:$L$1177,$C155,Games!$O$4:$O$1177,"L")</x:f>
        <x:v>2</x:v>
      </x:c>
      <x:c r="G155" t="n">
        <x:f>COUNTIFS(Games!$A$4:$A$1177,$A155,Games!$G$4:$G$1177,$C155,Games!$J$4:$J$1177,"T")+COUNTIFS(Games!$A$4:$A$1177,$A155,Games!$L$4:$L$1177,$C155,Games!$O$4:$O$1177,"T")</x:f>
        <x:v>0</x:v>
      </x:c>
      <x:c r="H155" t="n">
        <x:f>SUMIFS(Games!$H$4:$H$1177,Games!$A$4:$A$1177,$A155,Games!$D$4:$D$1177,"post",Games!$G$4:$G$1177,$C155)+SUMIFS(Games!$M$4:$M$1177,Games!$A$4:$A$1177,$A155,Games!$D$4:$D$1177,"post",Games!$L$4:$L$1177,$C155)</x:f>
        <x:v>96</x:v>
      </x:c>
      <x:c r="I155" t="n">
        <x:f>SUMIFS(Games!$M$4:$M$1177,Games!$A$4:$A$1177,$A155,Games!$D$4:$D$1177,"post",Games!$G$4:$G$1177,$C155)+SUMIFS(Games!$H$4:$H$1177,Games!$A$4:$A$1177,$A155,Games!$D$4:$D$1177,"post",Games!$L$4:$L$1177,$C155)</x:f>
        <x:v>85</x:v>
      </x:c>
      <x:c r="J155" t="str">
        <x:f>E155&amp;"-"&amp;F155&amp;IF(G155&gt;0,"-"&amp;G155,"")</x:f>
        <x:v>1-2</x:v>
      </x:c>
      <x:c r="K155" t="n">
        <x:f>COUNTIFS(Games!$A$4:$A$1177,$A155,Games!$D$4:$D$1177,"post",Games!$G$4:$G$1177,$C155,Games!$T$4:$T$1177,"&lt;&gt;")+COUNTIFS(Games!$A$4:$A$1177,$A155,Games!$D$4:$D$1177,"post",Games!$L$4:$L$1177,$C155,Games!$T$4:$T$1177,"&lt;&gt;")</x:f>
        <x:v>0</x:v>
      </x:c>
      <x:c r="L155" s="80" t="n">
        <x:f>IF(D155=0,0,K155/D155)</x:f>
        <x:v>0</x:v>
      </x:c>
      <x:c r="M155" t="str">
        <x:f>IF(AND(D155&gt;=2,K155&gt;=2,L155&gt;=75%),"YES","NO")</x:f>
        <x:v>NO</x:v>
      </x:c>
    </x:row>
    <x:row r="156">
      <x:c r="A156" t="str">
        <x:v>CFB</x:v>
      </x:c>
      <x:c r="B156" t="str">
        <x:v>Penn State Nittany Lions</x:v>
      </x:c>
      <x:c r="C156" t="str">
        <x:v>PSU</x:v>
      </x:c>
      <x:c r="D156" t="n">
        <x:f>COUNTIFS(Games!$A$4:$A$1177,$A156,Games!$D$4:$D$1177,"post",Games!$G$4:$G$1177,$C156)+COUNTIFS(Games!$A$4:$A$1177,$A156,Games!$D$4:$D$1177,"post",Games!$L$4:$L$1177,$C156)</x:f>
        <x:v>3</x:v>
      </x:c>
      <x:c r="E156" t="n">
        <x:f>COUNTIFS(Games!$A$4:$A$1177,$A156,Games!$G$4:$G$1177,$C156,Games!$J$4:$J$1177,"W")+COUNTIFS(Games!$A$4:$A$1177,$A156,Games!$L$4:$L$1177,$C156,Games!$O$4:$O$1177,"W")</x:f>
        <x:v>3</x:v>
      </x:c>
      <x:c r="F156" t="n">
        <x:f>COUNTIFS(Games!$A$4:$A$1177,$A156,Games!$G$4:$G$1177,$C156,Games!$J$4:$J$1177,"L")+COUNTIFS(Games!$A$4:$A$1177,$A156,Games!$L$4:$L$1177,$C156,Games!$O$4:$O$1177,"L")</x:f>
        <x:v>0</x:v>
      </x:c>
      <x:c r="G156" t="n">
        <x:f>COUNTIFS(Games!$A$4:$A$1177,$A156,Games!$G$4:$G$1177,$C156,Games!$J$4:$J$1177,"T")+COUNTIFS(Games!$A$4:$A$1177,$A156,Games!$L$4:$L$1177,$C156,Games!$O$4:$O$1177,"T")</x:f>
        <x:v>0</x:v>
      </x:c>
      <x:c r="H156" t="n">
        <x:f>SUMIFS(Games!$H$4:$H$1177,Games!$A$4:$A$1177,$A156,Games!$D$4:$D$1177,"post",Games!$G$4:$G$1177,$C156)+SUMIFS(Games!$M$4:$M$1177,Games!$A$4:$A$1177,$A156,Games!$D$4:$D$1177,"post",Games!$L$4:$L$1177,$C156)</x:f>
        <x:v>127</x:v>
      </x:c>
      <x:c r="I156" t="n">
        <x:f>SUMIFS(Games!$M$4:$M$1177,Games!$A$4:$A$1177,$A156,Games!$D$4:$D$1177,"post",Games!$G$4:$G$1177,$C156)+SUMIFS(Games!$H$4:$H$1177,Games!$A$4:$A$1177,$A156,Games!$D$4:$D$1177,"post",Games!$L$4:$L$1177,$C156)</x:f>
        <x:v>22</x:v>
      </x:c>
      <x:c r="J156" t="str">
        <x:f>E156&amp;"-"&amp;F156&amp;IF(G156&gt;0,"-"&amp;G156,"")</x:f>
        <x:v>3-0</x:v>
      </x:c>
      <x:c r="K156" t="n">
        <x:f>COUNTIFS(Games!$A$4:$A$1177,$A156,Games!$D$4:$D$1177,"post",Games!$G$4:$G$1177,$C156,Games!$T$4:$T$1177,"&lt;&gt;")+COUNTIFS(Games!$A$4:$A$1177,$A156,Games!$D$4:$D$1177,"post",Games!$L$4:$L$1177,$C156,Games!$T$4:$T$1177,"&lt;&gt;")</x:f>
        <x:v>0</x:v>
      </x:c>
      <x:c r="L156" s="80" t="n">
        <x:f>IF(D156=0,0,K156/D156)</x:f>
        <x:v>0</x:v>
      </x:c>
      <x:c r="M156" t="str">
        <x:f>IF(AND(D156&gt;=2,K156&gt;=2,L156&gt;=75%),"YES","NO")</x:f>
        <x:v>NO</x:v>
      </x:c>
    </x:row>
    <x:row r="157">
      <x:c r="A157" t="str">
        <x:v>CFB</x:v>
      </x:c>
      <x:c r="B157" t="str">
        <x:v>Pittsburgh Panthers</x:v>
      </x:c>
      <x:c r="C157" t="str">
        <x:v>PITT</x:v>
      </x:c>
      <x:c r="D157" t="n">
        <x:f>COUNTIFS(Games!$A$4:$A$1177,$A157,Games!$D$4:$D$1177,"post",Games!$G$4:$G$1177,$C157)+COUNTIFS(Games!$A$4:$A$1177,$A157,Games!$D$4:$D$1177,"post",Games!$L$4:$L$1177,$C157)</x:f>
        <x:v>3</x:v>
      </x:c>
      <x:c r="E157" t="n">
        <x:f>COUNTIFS(Games!$A$4:$A$1177,$A157,Games!$G$4:$G$1177,$C157,Games!$J$4:$J$1177,"W")+COUNTIFS(Games!$A$4:$A$1177,$A157,Games!$L$4:$L$1177,$C157,Games!$O$4:$O$1177,"W")</x:f>
        <x:v>3</x:v>
      </x:c>
      <x:c r="F157" t="n">
        <x:f>COUNTIFS(Games!$A$4:$A$1177,$A157,Games!$G$4:$G$1177,$C157,Games!$J$4:$J$1177,"L")+COUNTIFS(Games!$A$4:$A$1177,$A157,Games!$L$4:$L$1177,$C157,Games!$O$4:$O$1177,"L")</x:f>
        <x:v>0</x:v>
      </x:c>
      <x:c r="G157" t="n">
        <x:f>COUNTIFS(Games!$A$4:$A$1177,$A157,Games!$G$4:$G$1177,$C157,Games!$J$4:$J$1177,"T")+COUNTIFS(Games!$A$4:$A$1177,$A157,Games!$L$4:$L$1177,$C157,Games!$O$4:$O$1177,"T")</x:f>
        <x:v>0</x:v>
      </x:c>
      <x:c r="H157" t="n">
        <x:f>SUMIFS(Games!$H$4:$H$1177,Games!$A$4:$A$1177,$A157,Games!$D$4:$D$1177,"post",Games!$G$4:$G$1177,$C157)+SUMIFS(Games!$M$4:$M$1177,Games!$A$4:$A$1177,$A157,Games!$D$4:$D$1177,"post",Games!$L$4:$L$1177,$C157)</x:f>
        <x:v>98</x:v>
      </x:c>
      <x:c r="I157" t="n">
        <x:f>SUMIFS(Games!$M$4:$M$1177,Games!$A$4:$A$1177,$A157,Games!$D$4:$D$1177,"post",Games!$G$4:$G$1177,$C157)+SUMIFS(Games!$H$4:$H$1177,Games!$A$4:$A$1177,$A157,Games!$D$4:$D$1177,"post",Games!$L$4:$L$1177,$C157)</x:f>
        <x:v>34</x:v>
      </x:c>
      <x:c r="J157" t="str">
        <x:f>E157&amp;"-"&amp;F157&amp;IF(G157&gt;0,"-"&amp;G157,"")</x:f>
        <x:v>3-0</x:v>
      </x:c>
      <x:c r="K157" t="n">
        <x:f>COUNTIFS(Games!$A$4:$A$1177,$A157,Games!$D$4:$D$1177,"post",Games!$G$4:$G$1177,$C157,Games!$T$4:$T$1177,"&lt;&gt;")+COUNTIFS(Games!$A$4:$A$1177,$A157,Games!$D$4:$D$1177,"post",Games!$L$4:$L$1177,$C157,Games!$T$4:$T$1177,"&lt;&gt;")</x:f>
        <x:v>0</x:v>
      </x:c>
      <x:c r="L157" s="80" t="n">
        <x:f>IF(D157=0,0,K157/D157)</x:f>
        <x:v>0</x:v>
      </x:c>
      <x:c r="M157" t="str">
        <x:f>IF(AND(D157&gt;=2,K157&gt;=2,L157&gt;=75%),"YES","NO")</x:f>
        <x:v>NO</x:v>
      </x:c>
    </x:row>
    <x:row r="158">
      <x:c r="A158" t="str">
        <x:v>CFB</x:v>
      </x:c>
      <x:c r="B158" t="str">
        <x:v>Portland State Vikings</x:v>
      </x:c>
      <x:c r="C158" t="str">
        <x:v>PRST</x:v>
      </x:c>
      <x:c r="D158" t="n">
        <x:f>COUNTIFS(Games!$A$4:$A$1177,$A158,Games!$D$4:$D$1177,"post",Games!$G$4:$G$1177,$C158)+COUNTIFS(Games!$A$4:$A$1177,$A158,Games!$D$4:$D$1177,"post",Games!$L$4:$L$1177,$C158)</x:f>
        <x:v>2</x:v>
      </x:c>
      <x:c r="E158" t="n">
        <x:f>COUNTIFS(Games!$A$4:$A$1177,$A158,Games!$G$4:$G$1177,$C158,Games!$J$4:$J$1177,"W")+COUNTIFS(Games!$A$4:$A$1177,$A158,Games!$L$4:$L$1177,$C158,Games!$O$4:$O$1177,"W")</x:f>
        <x:v>0</x:v>
      </x:c>
      <x:c r="F158" t="n">
        <x:f>COUNTIFS(Games!$A$4:$A$1177,$A158,Games!$G$4:$G$1177,$C158,Games!$J$4:$J$1177,"L")+COUNTIFS(Games!$A$4:$A$1177,$A158,Games!$L$4:$L$1177,$C158,Games!$O$4:$O$1177,"L")</x:f>
        <x:v>2</x:v>
      </x:c>
      <x:c r="G158" t="n">
        <x:f>COUNTIFS(Games!$A$4:$A$1177,$A158,Games!$G$4:$G$1177,$C158,Games!$J$4:$J$1177,"T")+COUNTIFS(Games!$A$4:$A$1177,$A158,Games!$L$4:$L$1177,$C158,Games!$O$4:$O$1177,"T")</x:f>
        <x:v>0</x:v>
      </x:c>
      <x:c r="H158" t="n">
        <x:f>SUMIFS(Games!$H$4:$H$1177,Games!$A$4:$A$1177,$A158,Games!$D$4:$D$1177,"post",Games!$G$4:$G$1177,$C158)+SUMIFS(Games!$M$4:$M$1177,Games!$A$4:$A$1177,$A158,Games!$D$4:$D$1177,"post",Games!$L$4:$L$1177,$C158)</x:f>
        <x:v>20</x:v>
      </x:c>
      <x:c r="I158" t="n">
        <x:f>SUMIFS(Games!$M$4:$M$1177,Games!$A$4:$A$1177,$A158,Games!$D$4:$D$1177,"post",Games!$G$4:$G$1177,$C158)+SUMIFS(Games!$H$4:$H$1177,Games!$A$4:$A$1177,$A158,Games!$D$4:$D$1177,"post",Games!$L$4:$L$1177,$C158)</x:f>
        <x:v>137</x:v>
      </x:c>
      <x:c r="J158" t="str">
        <x:f>E158&amp;"-"&amp;F158&amp;IF(G158&gt;0,"-"&amp;G158,"")</x:f>
        <x:v>0-2</x:v>
      </x:c>
      <x:c r="K158" t="n">
        <x:f>COUNTIFS(Games!$A$4:$A$1177,$A158,Games!$D$4:$D$1177,"post",Games!$G$4:$G$1177,$C158,Games!$T$4:$T$1177,"&lt;&gt;")+COUNTIFS(Games!$A$4:$A$1177,$A158,Games!$D$4:$D$1177,"post",Games!$L$4:$L$1177,$C158,Games!$T$4:$T$1177,"&lt;&gt;")</x:f>
        <x:v>0</x:v>
      </x:c>
      <x:c r="L158" s="80" t="n">
        <x:f>IF(D158=0,0,K158/D158)</x:f>
        <x:v>0</x:v>
      </x:c>
      <x:c r="M158" t="str">
        <x:f>IF(AND(D158&gt;=2,K158&gt;=2,L158&gt;=75%),"YES","NO")</x:f>
        <x:v>NO</x:v>
      </x:c>
    </x:row>
    <x:row r="159">
      <x:c r="A159" t="str">
        <x:v>CFB</x:v>
      </x:c>
      <x:c r="B159" t="str">
        <x:v>Prairie View A&amp;M Panthers</x:v>
      </x:c>
      <x:c r="C159" t="str">
        <x:v>PV</x:v>
      </x:c>
      <x:c r="D159" t="n">
        <x:f>COUNTIFS(Games!$A$4:$A$1177,$A159,Games!$D$4:$D$1177,"post",Games!$G$4:$G$1177,$C159)+COUNTIFS(Games!$A$4:$A$1177,$A159,Games!$D$4:$D$1177,"post",Games!$L$4:$L$1177,$C159)</x:f>
        <x:v>1</x:v>
      </x:c>
      <x:c r="E159" t="n">
        <x:f>COUNTIFS(Games!$A$4:$A$1177,$A159,Games!$G$4:$G$1177,$C159,Games!$J$4:$J$1177,"W")+COUNTIFS(Games!$A$4:$A$1177,$A159,Games!$L$4:$L$1177,$C159,Games!$O$4:$O$1177,"W")</x:f>
        <x:v>0</x:v>
      </x:c>
      <x:c r="F159" t="n">
        <x:f>COUNTIFS(Games!$A$4:$A$1177,$A159,Games!$G$4:$G$1177,$C159,Games!$J$4:$J$1177,"L")+COUNTIFS(Games!$A$4:$A$1177,$A159,Games!$L$4:$L$1177,$C159,Games!$O$4:$O$1177,"L")</x:f>
        <x:v>1</x:v>
      </x:c>
      <x:c r="G159" t="n">
        <x:f>COUNTIFS(Games!$A$4:$A$1177,$A159,Games!$G$4:$G$1177,$C159,Games!$J$4:$J$1177,"T")+COUNTIFS(Games!$A$4:$A$1177,$A159,Games!$L$4:$L$1177,$C159,Games!$O$4:$O$1177,"T")</x:f>
        <x:v>0</x:v>
      </x:c>
      <x:c r="H159" t="n">
        <x:f>SUMIFS(Games!$H$4:$H$1177,Games!$A$4:$A$1177,$A159,Games!$D$4:$D$1177,"post",Games!$G$4:$G$1177,$C159)+SUMIFS(Games!$M$4:$M$1177,Games!$A$4:$A$1177,$A159,Games!$D$4:$D$1177,"post",Games!$L$4:$L$1177,$C159)</x:f>
        <x:v>3</x:v>
      </x:c>
      <x:c r="I159" t="n">
        <x:f>SUMIFS(Games!$M$4:$M$1177,Games!$A$4:$A$1177,$A159,Games!$D$4:$D$1177,"post",Games!$G$4:$G$1177,$C159)+SUMIFS(Games!$H$4:$H$1177,Games!$A$4:$A$1177,$A159,Games!$D$4:$D$1177,"post",Games!$L$4:$L$1177,$C159)</x:f>
        <x:v>44</x:v>
      </x:c>
      <x:c r="J159" t="str">
        <x:f>E159&amp;"-"&amp;F159&amp;IF(G159&gt;0,"-"&amp;G159,"")</x:f>
        <x:v>0-1</x:v>
      </x:c>
      <x:c r="K159" t="n">
        <x:f>COUNTIFS(Games!$A$4:$A$1177,$A159,Games!$D$4:$D$1177,"post",Games!$G$4:$G$1177,$C159,Games!$T$4:$T$1177,"&lt;&gt;")+COUNTIFS(Games!$A$4:$A$1177,$A159,Games!$D$4:$D$1177,"post",Games!$L$4:$L$1177,$C159,Games!$T$4:$T$1177,"&lt;&gt;")</x:f>
        <x:v>0</x:v>
      </x:c>
      <x:c r="L159" s="80" t="n">
        <x:f>IF(D159=0,0,K159/D159)</x:f>
        <x:v>0</x:v>
      </x:c>
      <x:c r="M159" t="str">
        <x:f>IF(AND(D159&gt;=2,K159&gt;=2,L159&gt;=75%),"YES","NO")</x:f>
        <x:v>NO</x:v>
      </x:c>
    </x:row>
    <x:row r="160">
      <x:c r="A160" t="str">
        <x:v>CFB</x:v>
      </x:c>
      <x:c r="B160" t="str">
        <x:v>Purdue Boilermakers</x:v>
      </x:c>
      <x:c r="C160" t="str">
        <x:v>PUR</x:v>
      </x:c>
      <x:c r="D160" t="n">
        <x:f>COUNTIFS(Games!$A$4:$A$1177,$A160,Games!$D$4:$D$1177,"post",Games!$G$4:$G$1177,$C160)+COUNTIFS(Games!$A$4:$A$1177,$A160,Games!$D$4:$D$1177,"post",Games!$L$4:$L$1177,$C160)</x:f>
        <x:v>3</x:v>
      </x:c>
      <x:c r="E160" t="n">
        <x:f>COUNTIFS(Games!$A$4:$A$1177,$A160,Games!$G$4:$G$1177,$C160,Games!$J$4:$J$1177,"W")+COUNTIFS(Games!$A$4:$A$1177,$A160,Games!$L$4:$L$1177,$C160,Games!$O$4:$O$1177,"W")</x:f>
        <x:v>1</x:v>
      </x:c>
      <x:c r="F160" t="n">
        <x:f>COUNTIFS(Games!$A$4:$A$1177,$A160,Games!$G$4:$G$1177,$C160,Games!$J$4:$J$1177,"L")+COUNTIFS(Games!$A$4:$A$1177,$A160,Games!$L$4:$L$1177,$C160,Games!$O$4:$O$1177,"L")</x:f>
        <x:v>2</x:v>
      </x:c>
      <x:c r="G160" t="n">
        <x:f>COUNTIFS(Games!$A$4:$A$1177,$A160,Games!$G$4:$G$1177,$C160,Games!$J$4:$J$1177,"T")+COUNTIFS(Games!$A$4:$A$1177,$A160,Games!$L$4:$L$1177,$C160,Games!$O$4:$O$1177,"T")</x:f>
        <x:v>0</x:v>
      </x:c>
      <x:c r="H160" t="n">
        <x:f>SUMIFS(Games!$H$4:$H$1177,Games!$A$4:$A$1177,$A160,Games!$D$4:$D$1177,"post",Games!$G$4:$G$1177,$C160)+SUMIFS(Games!$M$4:$M$1177,Games!$A$4:$A$1177,$A160,Games!$D$4:$D$1177,"post",Games!$L$4:$L$1177,$C160)</x:f>
        <x:v>118</x:v>
      </x:c>
      <x:c r="I160" t="n">
        <x:f>SUMIFS(Games!$M$4:$M$1177,Games!$A$4:$A$1177,$A160,Games!$D$4:$D$1177,"post",Games!$G$4:$G$1177,$C160)+SUMIFS(Games!$H$4:$H$1177,Games!$A$4:$A$1177,$A160,Games!$D$4:$D$1177,"post",Games!$L$4:$L$1177,$C160)</x:f>
        <x:v>109</x:v>
      </x:c>
      <x:c r="J160" t="str">
        <x:f>E160&amp;"-"&amp;F160&amp;IF(G160&gt;0,"-"&amp;G160,"")</x:f>
        <x:v>1-2</x:v>
      </x:c>
      <x:c r="K160" t="n">
        <x:f>COUNTIFS(Games!$A$4:$A$1177,$A160,Games!$D$4:$D$1177,"post",Games!$G$4:$G$1177,$C160,Games!$T$4:$T$1177,"&lt;&gt;")+COUNTIFS(Games!$A$4:$A$1177,$A160,Games!$D$4:$D$1177,"post",Games!$L$4:$L$1177,$C160,Games!$T$4:$T$1177,"&lt;&gt;")</x:f>
        <x:v>0</x:v>
      </x:c>
      <x:c r="L160" s="80" t="n">
        <x:f>IF(D160=0,0,K160/D160)</x:f>
        <x:v>0</x:v>
      </x:c>
      <x:c r="M160" t="str">
        <x:f>IF(AND(D160&gt;=2,K160&gt;=2,L160&gt;=75%),"YES","NO")</x:f>
        <x:v>NO</x:v>
      </x:c>
    </x:row>
    <x:row r="161">
      <x:c r="A161" t="str">
        <x:v>CFB</x:v>
      </x:c>
      <x:c r="B161" t="str">
        <x:v>Rhode Island Rams</x:v>
      </x:c>
      <x:c r="C161" t="str">
        <x:v>URI</x:v>
      </x:c>
      <x:c r="D161" t="n">
        <x:f>COUNTIFS(Games!$A$4:$A$1177,$A161,Games!$D$4:$D$1177,"post",Games!$G$4:$G$1177,$C161)+COUNTIFS(Games!$A$4:$A$1177,$A161,Games!$D$4:$D$1177,"post",Games!$L$4:$L$1177,$C161)</x:f>
        <x:v>1</x:v>
      </x:c>
      <x:c r="E161" t="n">
        <x:f>COUNTIFS(Games!$A$4:$A$1177,$A161,Games!$G$4:$G$1177,$C161,Games!$J$4:$J$1177,"W")+COUNTIFS(Games!$A$4:$A$1177,$A161,Games!$L$4:$L$1177,$C161,Games!$O$4:$O$1177,"W")</x:f>
        <x:v>0</x:v>
      </x:c>
      <x:c r="F161" t="n">
        <x:f>COUNTIFS(Games!$A$4:$A$1177,$A161,Games!$G$4:$G$1177,$C161,Games!$J$4:$J$1177,"L")+COUNTIFS(Games!$A$4:$A$1177,$A161,Games!$L$4:$L$1177,$C161,Games!$O$4:$O$1177,"L")</x:f>
        <x:v>1</x:v>
      </x:c>
      <x:c r="G161" t="n">
        <x:f>COUNTIFS(Games!$A$4:$A$1177,$A161,Games!$G$4:$G$1177,$C161,Games!$J$4:$J$1177,"T")+COUNTIFS(Games!$A$4:$A$1177,$A161,Games!$L$4:$L$1177,$C161,Games!$O$4:$O$1177,"T")</x:f>
        <x:v>0</x:v>
      </x:c>
      <x:c r="H161" t="n">
        <x:f>SUMIFS(Games!$H$4:$H$1177,Games!$A$4:$A$1177,$A161,Games!$D$4:$D$1177,"post",Games!$G$4:$G$1177,$C161)+SUMIFS(Games!$M$4:$M$1177,Games!$A$4:$A$1177,$A161,Games!$D$4:$D$1177,"post",Games!$L$4:$L$1177,$C161)</x:f>
        <x:v>14</x:v>
      </x:c>
      <x:c r="I161" t="n">
        <x:f>SUMIFS(Games!$M$4:$M$1177,Games!$A$4:$A$1177,$A161,Games!$D$4:$D$1177,"post",Games!$G$4:$G$1177,$C161)+SUMIFS(Games!$H$4:$H$1177,Games!$A$4:$A$1177,$A161,Games!$D$4:$D$1177,"post",Games!$L$4:$L$1177,$C161)</x:f>
        <x:v>38</x:v>
      </x:c>
      <x:c r="J161" t="str">
        <x:f>E161&amp;"-"&amp;F161&amp;IF(G161&gt;0,"-"&amp;G161,"")</x:f>
        <x:v>0-1</x:v>
      </x:c>
      <x:c r="K161" t="n">
        <x:f>COUNTIFS(Games!$A$4:$A$1177,$A161,Games!$D$4:$D$1177,"post",Games!$G$4:$G$1177,$C161,Games!$T$4:$T$1177,"&lt;&gt;")+COUNTIFS(Games!$A$4:$A$1177,$A161,Games!$D$4:$D$1177,"post",Games!$L$4:$L$1177,$C161,Games!$T$4:$T$1177,"&lt;&gt;")</x:f>
        <x:v>0</x:v>
      </x:c>
      <x:c r="L161" s="80" t="n">
        <x:f>IF(D161=0,0,K161/D161)</x:f>
        <x:v>0</x:v>
      </x:c>
      <x:c r="M161" t="str">
        <x:f>IF(AND(D161&gt;=2,K161&gt;=2,L161&gt;=75%),"YES","NO")</x:f>
        <x:v>NO</x:v>
      </x:c>
    </x:row>
    <x:row r="162">
      <x:c r="A162" t="str">
        <x:v>CFB</x:v>
      </x:c>
      <x:c r="B162" t="str">
        <x:v>Rice Owls</x:v>
      </x:c>
      <x:c r="C162" t="str">
        <x:v>RICE</x:v>
      </x:c>
      <x:c r="D162" t="n">
        <x:f>COUNTIFS(Games!$A$4:$A$1177,$A162,Games!$D$4:$D$1177,"post",Games!$G$4:$G$1177,$C162)+COUNTIFS(Games!$A$4:$A$1177,$A162,Games!$D$4:$D$1177,"post",Games!$L$4:$L$1177,$C162)</x:f>
        <x:v>3</x:v>
      </x:c>
      <x:c r="E162" t="n">
        <x:f>COUNTIFS(Games!$A$4:$A$1177,$A162,Games!$G$4:$G$1177,$C162,Games!$J$4:$J$1177,"W")+COUNTIFS(Games!$A$4:$A$1177,$A162,Games!$L$4:$L$1177,$C162,Games!$O$4:$O$1177,"W")</x:f>
        <x:v>1</x:v>
      </x:c>
      <x:c r="F162" t="n">
        <x:f>COUNTIFS(Games!$A$4:$A$1177,$A162,Games!$G$4:$G$1177,$C162,Games!$J$4:$J$1177,"L")+COUNTIFS(Games!$A$4:$A$1177,$A162,Games!$L$4:$L$1177,$C162,Games!$O$4:$O$1177,"L")</x:f>
        <x:v>2</x:v>
      </x:c>
      <x:c r="G162" t="n">
        <x:f>COUNTIFS(Games!$A$4:$A$1177,$A162,Games!$G$4:$G$1177,$C162,Games!$J$4:$J$1177,"T")+COUNTIFS(Games!$A$4:$A$1177,$A162,Games!$L$4:$L$1177,$C162,Games!$O$4:$O$1177,"T")</x:f>
        <x:v>0</x:v>
      </x:c>
      <x:c r="H162" t="n">
        <x:f>SUMIFS(Games!$H$4:$H$1177,Games!$A$4:$A$1177,$A162,Games!$D$4:$D$1177,"post",Games!$G$4:$G$1177,$C162)+SUMIFS(Games!$M$4:$M$1177,Games!$A$4:$A$1177,$A162,Games!$D$4:$D$1177,"post",Games!$L$4:$L$1177,$C162)</x:f>
        <x:v>52</x:v>
      </x:c>
      <x:c r="I162" t="n">
        <x:f>SUMIFS(Games!$M$4:$M$1177,Games!$A$4:$A$1177,$A162,Games!$D$4:$D$1177,"post",Games!$G$4:$G$1177,$C162)+SUMIFS(Games!$H$4:$H$1177,Games!$A$4:$A$1177,$A162,Games!$D$4:$D$1177,"post",Games!$L$4:$L$1177,$C162)</x:f>
        <x:v>83</x:v>
      </x:c>
      <x:c r="J162" t="str">
        <x:f>E162&amp;"-"&amp;F162&amp;IF(G162&gt;0,"-"&amp;G162,"")</x:f>
        <x:v>1-2</x:v>
      </x:c>
      <x:c r="K162" t="n">
        <x:f>COUNTIFS(Games!$A$4:$A$1177,$A162,Games!$D$4:$D$1177,"post",Games!$G$4:$G$1177,$C162,Games!$T$4:$T$1177,"&lt;&gt;")+COUNTIFS(Games!$A$4:$A$1177,$A162,Games!$D$4:$D$1177,"post",Games!$L$4:$L$1177,$C162,Games!$T$4:$T$1177,"&lt;&gt;")</x:f>
        <x:v>0</x:v>
      </x:c>
      <x:c r="L162" s="80" t="n">
        <x:f>IF(D162=0,0,K162/D162)</x:f>
        <x:v>0</x:v>
      </x:c>
      <x:c r="M162" t="str">
        <x:f>IF(AND(D162&gt;=2,K162&gt;=2,L162&gt;=75%),"YES","NO")</x:f>
        <x:v>NO</x:v>
      </x:c>
    </x:row>
    <x:row r="163">
      <x:c r="A163" t="str">
        <x:v>CFB</x:v>
      </x:c>
      <x:c r="B163" t="str">
        <x:v>Richmond Spiders</x:v>
      </x:c>
      <x:c r="C163" t="str">
        <x:v>RICH</x:v>
      </x:c>
      <x:c r="D163" t="n">
        <x:f>COUNTIFS(Games!$A$4:$A$1177,$A163,Games!$D$4:$D$1177,"post",Games!$G$4:$G$1177,$C163)+COUNTIFS(Games!$A$4:$A$1177,$A163,Games!$D$4:$D$1177,"post",Games!$L$4:$L$1177,$C163)</x:f>
        <x:v>1</x:v>
      </x:c>
      <x:c r="E163" t="n">
        <x:f>COUNTIFS(Games!$A$4:$A$1177,$A163,Games!$G$4:$G$1177,$C163,Games!$J$4:$J$1177,"W")+COUNTIFS(Games!$A$4:$A$1177,$A163,Games!$L$4:$L$1177,$C163,Games!$O$4:$O$1177,"W")</x:f>
        <x:v>0</x:v>
      </x:c>
      <x:c r="F163" t="n">
        <x:f>COUNTIFS(Games!$A$4:$A$1177,$A163,Games!$G$4:$G$1177,$C163,Games!$J$4:$J$1177,"L")+COUNTIFS(Games!$A$4:$A$1177,$A163,Games!$L$4:$L$1177,$C163,Games!$O$4:$O$1177,"L")</x:f>
        <x:v>1</x:v>
      </x:c>
      <x:c r="G163" t="n">
        <x:f>COUNTIFS(Games!$A$4:$A$1177,$A163,Games!$G$4:$G$1177,$C163,Games!$J$4:$J$1177,"T")+COUNTIFS(Games!$A$4:$A$1177,$A163,Games!$L$4:$L$1177,$C163,Games!$O$4:$O$1177,"T")</x:f>
        <x:v>0</x:v>
      </x:c>
      <x:c r="H163" t="n">
        <x:f>SUMIFS(Games!$H$4:$H$1177,Games!$A$4:$A$1177,$A163,Games!$D$4:$D$1177,"post",Games!$G$4:$G$1177,$C163)+SUMIFS(Games!$M$4:$M$1177,Games!$A$4:$A$1177,$A163,Games!$D$4:$D$1177,"post",Games!$L$4:$L$1177,$C163)</x:f>
        <x:v>0</x:v>
      </x:c>
      <x:c r="I163" t="n">
        <x:f>SUMIFS(Games!$M$4:$M$1177,Games!$A$4:$A$1177,$A163,Games!$D$4:$D$1177,"post",Games!$G$4:$G$1177,$C163)+SUMIFS(Games!$H$4:$H$1177,Games!$A$4:$A$1177,$A163,Games!$D$4:$D$1177,"post",Games!$L$4:$L$1177,$C163)</x:f>
        <x:v>73</x:v>
      </x:c>
      <x:c r="J163" t="str">
        <x:f>E163&amp;"-"&amp;F163&amp;IF(G163&gt;0,"-"&amp;G163,"")</x:f>
        <x:v>0-1</x:v>
      </x:c>
      <x:c r="K163" t="n">
        <x:f>COUNTIFS(Games!$A$4:$A$1177,$A163,Games!$D$4:$D$1177,"post",Games!$G$4:$G$1177,$C163,Games!$T$4:$T$1177,"&lt;&gt;")+COUNTIFS(Games!$A$4:$A$1177,$A163,Games!$D$4:$D$1177,"post",Games!$L$4:$L$1177,$C163,Games!$T$4:$T$1177,"&lt;&gt;")</x:f>
        <x:v>0</x:v>
      </x:c>
      <x:c r="L163" s="80" t="n">
        <x:f>IF(D163=0,0,K163/D163)</x:f>
        <x:v>0</x:v>
      </x:c>
      <x:c r="M163" t="str">
        <x:f>IF(AND(D163&gt;=2,K163&gt;=2,L163&gt;=75%),"YES","NO")</x:f>
        <x:v>NO</x:v>
      </x:c>
    </x:row>
    <x:row r="164">
      <x:c r="A164" t="str">
        <x:v>CFB</x:v>
      </x:c>
      <x:c r="B164" t="str">
        <x:v>Robert Morris Colonials</x:v>
      </x:c>
      <x:c r="C164" t="str">
        <x:v>RMU</x:v>
      </x:c>
      <x:c r="D164" t="n">
        <x:f>COUNTIFS(Games!$A$4:$A$1177,$A164,Games!$D$4:$D$1177,"post",Games!$G$4:$G$1177,$C164)+COUNTIFS(Games!$A$4:$A$1177,$A164,Games!$D$4:$D$1177,"post",Games!$L$4:$L$1177,$C164)</x:f>
        <x:v>1</x:v>
      </x:c>
      <x:c r="E164" t="n">
        <x:f>COUNTIFS(Games!$A$4:$A$1177,$A164,Games!$G$4:$G$1177,$C164,Games!$J$4:$J$1177,"W")+COUNTIFS(Games!$A$4:$A$1177,$A164,Games!$L$4:$L$1177,$C164,Games!$O$4:$O$1177,"W")</x:f>
        <x:v>0</x:v>
      </x:c>
      <x:c r="F164" t="n">
        <x:f>COUNTIFS(Games!$A$4:$A$1177,$A164,Games!$G$4:$G$1177,$C164,Games!$J$4:$J$1177,"L")+COUNTIFS(Games!$A$4:$A$1177,$A164,Games!$L$4:$L$1177,$C164,Games!$O$4:$O$1177,"L")</x:f>
        <x:v>1</x:v>
      </x:c>
      <x:c r="G164" t="n">
        <x:f>COUNTIFS(Games!$A$4:$A$1177,$A164,Games!$G$4:$G$1177,$C164,Games!$J$4:$J$1177,"T")+COUNTIFS(Games!$A$4:$A$1177,$A164,Games!$L$4:$L$1177,$C164,Games!$O$4:$O$1177,"T")</x:f>
        <x:v>0</x:v>
      </x:c>
      <x:c r="H164" t="n">
        <x:f>SUMIFS(Games!$H$4:$H$1177,Games!$A$4:$A$1177,$A164,Games!$D$4:$D$1177,"post",Games!$G$4:$G$1177,$C164)+SUMIFS(Games!$M$4:$M$1177,Games!$A$4:$A$1177,$A164,Games!$D$4:$D$1177,"post",Games!$L$4:$L$1177,$C164)</x:f>
        <x:v>10</x:v>
      </x:c>
      <x:c r="I164" t="n">
        <x:f>SUMIFS(Games!$M$4:$M$1177,Games!$A$4:$A$1177,$A164,Games!$D$4:$D$1177,"post",Games!$G$4:$G$1177,$C164)+SUMIFS(Games!$H$4:$H$1177,Games!$A$4:$A$1177,$A164,Games!$D$4:$D$1177,"post",Games!$L$4:$L$1177,$C164)</x:f>
        <x:v>45</x:v>
      </x:c>
      <x:c r="J164" t="str">
        <x:f>E164&amp;"-"&amp;F164&amp;IF(G164&gt;0,"-"&amp;G164,"")</x:f>
        <x:v>0-1</x:v>
      </x:c>
      <x:c r="K164" t="n">
        <x:f>COUNTIFS(Games!$A$4:$A$1177,$A164,Games!$D$4:$D$1177,"post",Games!$G$4:$G$1177,$C164,Games!$T$4:$T$1177,"&lt;&gt;")+COUNTIFS(Games!$A$4:$A$1177,$A164,Games!$D$4:$D$1177,"post",Games!$L$4:$L$1177,$C164,Games!$T$4:$T$1177,"&lt;&gt;")</x:f>
        <x:v>0</x:v>
      </x:c>
      <x:c r="L164" s="80" t="n">
        <x:f>IF(D164=0,0,K164/D164)</x:f>
        <x:v>0</x:v>
      </x:c>
      <x:c r="M164" t="str">
        <x:f>IF(AND(D164&gt;=2,K164&gt;=2,L164&gt;=75%),"YES","NO")</x:f>
        <x:v>NO</x:v>
      </x:c>
    </x:row>
    <x:row r="165">
      <x:c r="A165" t="str">
        <x:v>CFB</x:v>
      </x:c>
      <x:c r="B165" t="str">
        <x:v>Rutgers Scarlet Knights</x:v>
      </x:c>
      <x:c r="C165" t="str">
        <x:v>RUTG</x:v>
      </x:c>
      <x:c r="D165" t="n">
        <x:f>COUNTIFS(Games!$A$4:$A$1177,$A165,Games!$D$4:$D$1177,"post",Games!$G$4:$G$1177,$C165)+COUNTIFS(Games!$A$4:$A$1177,$A165,Games!$D$4:$D$1177,"post",Games!$L$4:$L$1177,$C165)</x:f>
        <x:v>3</x:v>
      </x:c>
      <x:c r="E165" t="n">
        <x:f>COUNTIFS(Games!$A$4:$A$1177,$A165,Games!$G$4:$G$1177,$C165,Games!$J$4:$J$1177,"W")+COUNTIFS(Games!$A$4:$A$1177,$A165,Games!$L$4:$L$1177,$C165,Games!$O$4:$O$1177,"W")</x:f>
        <x:v>0</x:v>
      </x:c>
      <x:c r="F165" t="n">
        <x:f>COUNTIFS(Games!$A$4:$A$1177,$A165,Games!$G$4:$G$1177,$C165,Games!$J$4:$J$1177,"L")+COUNTIFS(Games!$A$4:$A$1177,$A165,Games!$L$4:$L$1177,$C165,Games!$O$4:$O$1177,"L")</x:f>
        <x:v>3</x:v>
      </x:c>
      <x:c r="G165" t="n">
        <x:f>COUNTIFS(Games!$A$4:$A$1177,$A165,Games!$G$4:$G$1177,$C165,Games!$J$4:$J$1177,"T")+COUNTIFS(Games!$A$4:$A$1177,$A165,Games!$L$4:$L$1177,$C165,Games!$O$4:$O$1177,"T")</x:f>
        <x:v>0</x:v>
      </x:c>
      <x:c r="H165" t="n">
        <x:f>SUMIFS(Games!$H$4:$H$1177,Games!$A$4:$A$1177,$A165,Games!$D$4:$D$1177,"post",Games!$G$4:$G$1177,$C165)+SUMIFS(Games!$M$4:$M$1177,Games!$A$4:$A$1177,$A165,Games!$D$4:$D$1177,"post",Games!$L$4:$L$1177,$C165)</x:f>
        <x:v>77</x:v>
      </x:c>
      <x:c r="I165" t="n">
        <x:f>SUMIFS(Games!$M$4:$M$1177,Games!$A$4:$A$1177,$A165,Games!$D$4:$D$1177,"post",Games!$G$4:$G$1177,$C165)+SUMIFS(Games!$H$4:$H$1177,Games!$A$4:$A$1177,$A165,Games!$D$4:$D$1177,"post",Games!$L$4:$L$1177,$C165)</x:f>
        <x:v>107</x:v>
      </x:c>
      <x:c r="J165" t="str">
        <x:f>E165&amp;"-"&amp;F165&amp;IF(G165&gt;0,"-"&amp;G165,"")</x:f>
        <x:v>0-3</x:v>
      </x:c>
      <x:c r="K165" t="n">
        <x:f>COUNTIFS(Games!$A$4:$A$1177,$A165,Games!$D$4:$D$1177,"post",Games!$G$4:$G$1177,$C165,Games!$T$4:$T$1177,"&lt;&gt;")+COUNTIFS(Games!$A$4:$A$1177,$A165,Games!$D$4:$D$1177,"post",Games!$L$4:$L$1177,$C165,Games!$T$4:$T$1177,"&lt;&gt;")</x:f>
        <x:v>0</x:v>
      </x:c>
      <x:c r="L165" s="80" t="n">
        <x:f>IF(D165=0,0,K165/D165)</x:f>
        <x:v>0</x:v>
      </x:c>
      <x:c r="M165" t="str">
        <x:f>IF(AND(D165&gt;=2,K165&gt;=2,L165&gt;=75%),"YES","NO")</x:f>
        <x:v>NO</x:v>
      </x:c>
    </x:row>
    <x:row r="166">
      <x:c r="A166" t="str">
        <x:v>CFB</x:v>
      </x:c>
      <x:c r="B166" t="str">
        <x:v>Sacramento State Hornets</x:v>
      </x:c>
      <x:c r="C166" t="str">
        <x:v>SAC</x:v>
      </x:c>
      <x:c r="D166" t="n">
        <x:f>COUNTIFS(Games!$A$4:$A$1177,$A166,Games!$D$4:$D$1177,"post",Games!$G$4:$G$1177,$C166)+COUNTIFS(Games!$A$4:$A$1177,$A166,Games!$D$4:$D$1177,"post",Games!$L$4:$L$1177,$C166)</x:f>
        <x:v>4</x:v>
      </x:c>
      <x:c r="E166" t="n">
        <x:f>COUNTIFS(Games!$A$4:$A$1177,$A166,Games!$G$4:$G$1177,$C166,Games!$J$4:$J$1177,"W")+COUNTIFS(Games!$A$4:$A$1177,$A166,Games!$L$4:$L$1177,$C166,Games!$O$4:$O$1177,"W")</x:f>
        <x:v>1</x:v>
      </x:c>
      <x:c r="F166" t="n">
        <x:f>COUNTIFS(Games!$A$4:$A$1177,$A166,Games!$G$4:$G$1177,$C166,Games!$J$4:$J$1177,"L")+COUNTIFS(Games!$A$4:$A$1177,$A166,Games!$L$4:$L$1177,$C166,Games!$O$4:$O$1177,"L")</x:f>
        <x:v>3</x:v>
      </x:c>
      <x:c r="G166" t="n">
        <x:f>COUNTIFS(Games!$A$4:$A$1177,$A166,Games!$G$4:$G$1177,$C166,Games!$J$4:$J$1177,"T")+COUNTIFS(Games!$A$4:$A$1177,$A166,Games!$L$4:$L$1177,$C166,Games!$O$4:$O$1177,"T")</x:f>
        <x:v>0</x:v>
      </x:c>
      <x:c r="H166" t="n">
        <x:f>SUMIFS(Games!$H$4:$H$1177,Games!$A$4:$A$1177,$A166,Games!$D$4:$D$1177,"post",Games!$G$4:$G$1177,$C166)+SUMIFS(Games!$M$4:$M$1177,Games!$A$4:$A$1177,$A166,Games!$D$4:$D$1177,"post",Games!$L$4:$L$1177,$C166)</x:f>
        <x:v>82</x:v>
      </x:c>
      <x:c r="I166" t="n">
        <x:f>SUMIFS(Games!$M$4:$M$1177,Games!$A$4:$A$1177,$A166,Games!$D$4:$D$1177,"post",Games!$G$4:$G$1177,$C166)+SUMIFS(Games!$H$4:$H$1177,Games!$A$4:$A$1177,$A166,Games!$D$4:$D$1177,"post",Games!$L$4:$L$1177,$C166)</x:f>
        <x:v>108</x:v>
      </x:c>
      <x:c r="J166" t="str">
        <x:f>E166&amp;"-"&amp;F166&amp;IF(G166&gt;0,"-"&amp;G166,"")</x:f>
        <x:v>1-3</x:v>
      </x:c>
      <x:c r="K166" t="n">
        <x:f>COUNTIFS(Games!$A$4:$A$1177,$A166,Games!$D$4:$D$1177,"post",Games!$G$4:$G$1177,$C166,Games!$T$4:$T$1177,"&lt;&gt;")+COUNTIFS(Games!$A$4:$A$1177,$A166,Games!$D$4:$D$1177,"post",Games!$L$4:$L$1177,$C166,Games!$T$4:$T$1177,"&lt;&gt;")</x:f>
        <x:v>0</x:v>
      </x:c>
      <x:c r="L166" s="80" t="n">
        <x:f>IF(D166=0,0,K166/D166)</x:f>
        <x:v>0</x:v>
      </x:c>
      <x:c r="M166" t="str">
        <x:f>IF(AND(D166&gt;=2,K166&gt;=2,L166&gt;=75%),"YES","NO")</x:f>
        <x:v>NO</x:v>
      </x:c>
    </x:row>
    <x:row r="167">
      <x:c r="A167" t="str">
        <x:v>CFB</x:v>
      </x:c>
      <x:c r="B167" t="str">
        <x:v>Sacred Heart Pioneers</x:v>
      </x:c>
      <x:c r="C167" t="str">
        <x:v>SHU</x:v>
      </x:c>
      <x:c r="D167" t="n">
        <x:f>COUNTIFS(Games!$A$4:$A$1177,$A167,Games!$D$4:$D$1177,"post",Games!$G$4:$G$1177,$C167)+COUNTIFS(Games!$A$4:$A$1177,$A167,Games!$D$4:$D$1177,"post",Games!$L$4:$L$1177,$C167)</x:f>
        <x:v>1</x:v>
      </x:c>
      <x:c r="E167" t="n">
        <x:f>COUNTIFS(Games!$A$4:$A$1177,$A167,Games!$G$4:$G$1177,$C167,Games!$J$4:$J$1177,"W")+COUNTIFS(Games!$A$4:$A$1177,$A167,Games!$L$4:$L$1177,$C167,Games!$O$4:$O$1177,"W")</x:f>
        <x:v>0</x:v>
      </x:c>
      <x:c r="F167" t="n">
        <x:f>COUNTIFS(Games!$A$4:$A$1177,$A167,Games!$G$4:$G$1177,$C167,Games!$J$4:$J$1177,"L")+COUNTIFS(Games!$A$4:$A$1177,$A167,Games!$L$4:$L$1177,$C167,Games!$O$4:$O$1177,"L")</x:f>
        <x:v>1</x:v>
      </x:c>
      <x:c r="G167" t="n">
        <x:f>COUNTIFS(Games!$A$4:$A$1177,$A167,Games!$G$4:$G$1177,$C167,Games!$J$4:$J$1177,"T")+COUNTIFS(Games!$A$4:$A$1177,$A167,Games!$L$4:$L$1177,$C167,Games!$O$4:$O$1177,"T")</x:f>
        <x:v>0</x:v>
      </x:c>
      <x:c r="H167" t="n">
        <x:f>SUMIFS(Games!$H$4:$H$1177,Games!$A$4:$A$1177,$A167,Games!$D$4:$D$1177,"post",Games!$G$4:$G$1177,$C167)+SUMIFS(Games!$M$4:$M$1177,Games!$A$4:$A$1177,$A167,Games!$D$4:$D$1177,"post",Games!$L$4:$L$1177,$C167)</x:f>
        <x:v>10</x:v>
      </x:c>
      <x:c r="I167" t="n">
        <x:f>SUMIFS(Games!$M$4:$M$1177,Games!$A$4:$A$1177,$A167,Games!$D$4:$D$1177,"post",Games!$G$4:$G$1177,$C167)+SUMIFS(Games!$H$4:$H$1177,Games!$A$4:$A$1177,$A167,Games!$D$4:$D$1177,"post",Games!$L$4:$L$1177,$C167)</x:f>
        <x:v>37</x:v>
      </x:c>
      <x:c r="J167" t="str">
        <x:f>E167&amp;"-"&amp;F167&amp;IF(G167&gt;0,"-"&amp;G167,"")</x:f>
        <x:v>0-1</x:v>
      </x:c>
      <x:c r="K167" t="n">
        <x:f>COUNTIFS(Games!$A$4:$A$1177,$A167,Games!$D$4:$D$1177,"post",Games!$G$4:$G$1177,$C167,Games!$T$4:$T$1177,"&lt;&gt;")+COUNTIFS(Games!$A$4:$A$1177,$A167,Games!$D$4:$D$1177,"post",Games!$L$4:$L$1177,$C167,Games!$T$4:$T$1177,"&lt;&gt;")</x:f>
        <x:v>0</x:v>
      </x:c>
      <x:c r="L167" s="80" t="n">
        <x:f>IF(D167=0,0,K167/D167)</x:f>
        <x:v>0</x:v>
      </x:c>
      <x:c r="M167" t="str">
        <x:f>IF(AND(D167&gt;=2,K167&gt;=2,L167&gt;=75%),"YES","NO")</x:f>
        <x:v>NO</x:v>
      </x:c>
    </x:row>
    <x:row r="168">
      <x:c r="A168" t="str">
        <x:v>CFB</x:v>
      </x:c>
      <x:c r="B168" t="str">
        <x:v>Sam Houston Bearkats</x:v>
      </x:c>
      <x:c r="C168" t="str">
        <x:v>SHSU</x:v>
      </x:c>
      <x:c r="D168" t="n">
        <x:f>COUNTIFS(Games!$A$4:$A$1177,$A168,Games!$D$4:$D$1177,"post",Games!$G$4:$G$1177,$C168)+COUNTIFS(Games!$A$4:$A$1177,$A168,Games!$D$4:$D$1177,"post",Games!$L$4:$L$1177,$C168)</x:f>
        <x:v>3</x:v>
      </x:c>
      <x:c r="E168" t="n">
        <x:f>COUNTIFS(Games!$A$4:$A$1177,$A168,Games!$G$4:$G$1177,$C168,Games!$J$4:$J$1177,"W")+COUNTIFS(Games!$A$4:$A$1177,$A168,Games!$L$4:$L$1177,$C168,Games!$O$4:$O$1177,"W")</x:f>
        <x:v>1</x:v>
      </x:c>
      <x:c r="F168" t="n">
        <x:f>COUNTIFS(Games!$A$4:$A$1177,$A168,Games!$G$4:$G$1177,$C168,Games!$J$4:$J$1177,"L")+COUNTIFS(Games!$A$4:$A$1177,$A168,Games!$L$4:$L$1177,$C168,Games!$O$4:$O$1177,"L")</x:f>
        <x:v>2</x:v>
      </x:c>
      <x:c r="G168" t="n">
        <x:f>COUNTIFS(Games!$A$4:$A$1177,$A168,Games!$G$4:$G$1177,$C168,Games!$J$4:$J$1177,"T")+COUNTIFS(Games!$A$4:$A$1177,$A168,Games!$L$4:$L$1177,$C168,Games!$O$4:$O$1177,"T")</x:f>
        <x:v>0</x:v>
      </x:c>
      <x:c r="H168" t="n">
        <x:f>SUMIFS(Games!$H$4:$H$1177,Games!$A$4:$A$1177,$A168,Games!$D$4:$D$1177,"post",Games!$G$4:$G$1177,$C168)+SUMIFS(Games!$M$4:$M$1177,Games!$A$4:$A$1177,$A168,Games!$D$4:$D$1177,"post",Games!$L$4:$L$1177,$C168)</x:f>
        <x:v>97</x:v>
      </x:c>
      <x:c r="I168" t="n">
        <x:f>SUMIFS(Games!$M$4:$M$1177,Games!$A$4:$A$1177,$A168,Games!$D$4:$D$1177,"post",Games!$G$4:$G$1177,$C168)+SUMIFS(Games!$H$4:$H$1177,Games!$A$4:$A$1177,$A168,Games!$D$4:$D$1177,"post",Games!$L$4:$L$1177,$C168)</x:f>
        <x:v>47</x:v>
      </x:c>
      <x:c r="J168" t="str">
        <x:f>E168&amp;"-"&amp;F168&amp;IF(G168&gt;0,"-"&amp;G168,"")</x:f>
        <x:v>1-2</x:v>
      </x:c>
      <x:c r="K168" t="n">
        <x:f>COUNTIFS(Games!$A$4:$A$1177,$A168,Games!$D$4:$D$1177,"post",Games!$G$4:$G$1177,$C168,Games!$T$4:$T$1177,"&lt;&gt;")+COUNTIFS(Games!$A$4:$A$1177,$A168,Games!$D$4:$D$1177,"post",Games!$L$4:$L$1177,$C168,Games!$T$4:$T$1177,"&lt;&gt;")</x:f>
        <x:v>0</x:v>
      </x:c>
      <x:c r="L168" s="80" t="n">
        <x:f>IF(D168=0,0,K168/D168)</x:f>
        <x:v>0</x:v>
      </x:c>
      <x:c r="M168" t="str">
        <x:f>IF(AND(D168&gt;=2,K168&gt;=2,L168&gt;=75%),"YES","NO")</x:f>
        <x:v>NO</x:v>
      </x:c>
    </x:row>
    <x:row r="169">
      <x:c r="A169" t="str">
        <x:v>CFB</x:v>
      </x:c>
      <x:c r="B169" t="str">
        <x:v>Samford Bulldogs</x:v>
      </x:c>
      <x:c r="C169" t="str">
        <x:v>SAM</x:v>
      </x:c>
      <x:c r="D169" t="n">
        <x:f>COUNTIFS(Games!$A$4:$A$1177,$A169,Games!$D$4:$D$1177,"post",Games!$G$4:$G$1177,$C169)+COUNTIFS(Games!$A$4:$A$1177,$A169,Games!$D$4:$D$1177,"post",Games!$L$4:$L$1177,$C169)</x:f>
        <x:v>0</x:v>
      </x:c>
      <x:c r="E169" t="n">
        <x:f>COUNTIFS(Games!$A$4:$A$1177,$A169,Games!$G$4:$G$1177,$C169,Games!$J$4:$J$1177,"W")+COUNTIFS(Games!$A$4:$A$1177,$A169,Games!$L$4:$L$1177,$C169,Games!$O$4:$O$1177,"W")</x:f>
        <x:v>0</x:v>
      </x:c>
      <x:c r="F169" t="n">
        <x:f>COUNTIFS(Games!$A$4:$A$1177,$A169,Games!$G$4:$G$1177,$C169,Games!$J$4:$J$1177,"L")+COUNTIFS(Games!$A$4:$A$1177,$A169,Games!$L$4:$L$1177,$C169,Games!$O$4:$O$1177,"L")</x:f>
        <x:v>0</x:v>
      </x:c>
      <x:c r="G169" t="n">
        <x:f>COUNTIFS(Games!$A$4:$A$1177,$A169,Games!$G$4:$G$1177,$C169,Games!$J$4:$J$1177,"T")+COUNTIFS(Games!$A$4:$A$1177,$A169,Games!$L$4:$L$1177,$C169,Games!$O$4:$O$1177,"T")</x:f>
        <x:v>0</x:v>
      </x:c>
      <x:c r="H169" t="n">
        <x:f>SUMIFS(Games!$H$4:$H$1177,Games!$A$4:$A$1177,$A169,Games!$D$4:$D$1177,"post",Games!$G$4:$G$1177,$C169)+SUMIFS(Games!$M$4:$M$1177,Games!$A$4:$A$1177,$A169,Games!$D$4:$D$1177,"post",Games!$L$4:$L$1177,$C169)</x:f>
        <x:v>0</x:v>
      </x:c>
      <x:c r="I169" t="n">
        <x:f>SUMIFS(Games!$M$4:$M$1177,Games!$A$4:$A$1177,$A169,Games!$D$4:$D$1177,"post",Games!$G$4:$G$1177,$C169)+SUMIFS(Games!$H$4:$H$1177,Games!$A$4:$A$1177,$A169,Games!$D$4:$D$1177,"post",Games!$L$4:$L$1177,$C169)</x:f>
        <x:v>0</x:v>
      </x:c>
      <x:c r="J169" t="str">
        <x:f>E169&amp;"-"&amp;F169&amp;IF(G169&gt;0,"-"&amp;G169,"")</x:f>
        <x:v>0-0</x:v>
      </x:c>
      <x:c r="K169" t="n">
        <x:f>COUNTIFS(Games!$A$4:$A$1177,$A169,Games!$D$4:$D$1177,"post",Games!$G$4:$G$1177,$C169,Games!$T$4:$T$1177,"&lt;&gt;")+COUNTIFS(Games!$A$4:$A$1177,$A169,Games!$D$4:$D$1177,"post",Games!$L$4:$L$1177,$C169,Games!$T$4:$T$1177,"&lt;&gt;")</x:f>
        <x:v>0</x:v>
      </x:c>
      <x:c r="L169" s="80" t="n">
        <x:f>IF(D169=0,0,K169/D169)</x:f>
        <x:v>0</x:v>
      </x:c>
      <x:c r="M169" t="str">
        <x:f>IF(AND(D169&gt;=2,K169&gt;=2,L169&gt;=75%),"YES","NO")</x:f>
        <x:v>NO</x:v>
      </x:c>
    </x:row>
    <x:row r="170">
      <x:c r="A170" t="str">
        <x:v>CFB</x:v>
      </x:c>
      <x:c r="B170" t="str">
        <x:v>San Diego State Aztecs</x:v>
      </x:c>
      <x:c r="C170" t="str">
        <x:v>SDSU</x:v>
      </x:c>
      <x:c r="D170" t="n">
        <x:f>COUNTIFS(Games!$A$4:$A$1177,$A170,Games!$D$4:$D$1177,"post",Games!$G$4:$G$1177,$C170)+COUNTIFS(Games!$A$4:$A$1177,$A170,Games!$D$4:$D$1177,"post",Games!$L$4:$L$1177,$C170)</x:f>
        <x:v>3</x:v>
      </x:c>
      <x:c r="E170" t="n">
        <x:f>COUNTIFS(Games!$A$4:$A$1177,$A170,Games!$G$4:$G$1177,$C170,Games!$J$4:$J$1177,"W")+COUNTIFS(Games!$A$4:$A$1177,$A170,Games!$L$4:$L$1177,$C170,Games!$O$4:$O$1177,"W")</x:f>
        <x:v>1</x:v>
      </x:c>
      <x:c r="F170" t="n">
        <x:f>COUNTIFS(Games!$A$4:$A$1177,$A170,Games!$G$4:$G$1177,$C170,Games!$J$4:$J$1177,"L")+COUNTIFS(Games!$A$4:$A$1177,$A170,Games!$L$4:$L$1177,$C170,Games!$O$4:$O$1177,"L")</x:f>
        <x:v>2</x:v>
      </x:c>
      <x:c r="G170" t="n">
        <x:f>COUNTIFS(Games!$A$4:$A$1177,$A170,Games!$G$4:$G$1177,$C170,Games!$J$4:$J$1177,"T")+COUNTIFS(Games!$A$4:$A$1177,$A170,Games!$L$4:$L$1177,$C170,Games!$O$4:$O$1177,"T")</x:f>
        <x:v>0</x:v>
      </x:c>
      <x:c r="H170" t="n">
        <x:f>SUMIFS(Games!$H$4:$H$1177,Games!$A$4:$A$1177,$A170,Games!$D$4:$D$1177,"post",Games!$G$4:$G$1177,$C170)+SUMIFS(Games!$M$4:$M$1177,Games!$A$4:$A$1177,$A170,Games!$D$4:$D$1177,"post",Games!$L$4:$L$1177,$C170)</x:f>
        <x:v>76</x:v>
      </x:c>
      <x:c r="I170" t="n">
        <x:f>SUMIFS(Games!$M$4:$M$1177,Games!$A$4:$A$1177,$A170,Games!$D$4:$D$1177,"post",Games!$G$4:$G$1177,$C170)+SUMIFS(Games!$H$4:$H$1177,Games!$A$4:$A$1177,$A170,Games!$D$4:$D$1177,"post",Games!$L$4:$L$1177,$C170)</x:f>
        <x:v>74</x:v>
      </x:c>
      <x:c r="J170" t="str">
        <x:f>E170&amp;"-"&amp;F170&amp;IF(G170&gt;0,"-"&amp;G170,"")</x:f>
        <x:v>1-2</x:v>
      </x:c>
      <x:c r="K170" t="n">
        <x:f>COUNTIFS(Games!$A$4:$A$1177,$A170,Games!$D$4:$D$1177,"post",Games!$G$4:$G$1177,$C170,Games!$T$4:$T$1177,"&lt;&gt;")+COUNTIFS(Games!$A$4:$A$1177,$A170,Games!$D$4:$D$1177,"post",Games!$L$4:$L$1177,$C170,Games!$T$4:$T$1177,"&lt;&gt;")</x:f>
        <x:v>0</x:v>
      </x:c>
      <x:c r="L170" s="80" t="n">
        <x:f>IF(D170=0,0,K170/D170)</x:f>
        <x:v>0</x:v>
      </x:c>
      <x:c r="M170" t="str">
        <x:f>IF(AND(D170&gt;=2,K170&gt;=2,L170&gt;=75%),"YES","NO")</x:f>
        <x:v>NO</x:v>
      </x:c>
    </x:row>
    <x:row r="171">
      <x:c r="A171" t="str">
        <x:v>CFB</x:v>
      </x:c>
      <x:c r="B171" t="str">
        <x:v>San José State Spartans</x:v>
      </x:c>
      <x:c r="C171" t="str">
        <x:v>SJSU</x:v>
      </x:c>
      <x:c r="D171" t="n">
        <x:f>COUNTIFS(Games!$A$4:$A$1177,$A171,Games!$D$4:$D$1177,"post",Games!$G$4:$G$1177,$C171)+COUNTIFS(Games!$A$4:$A$1177,$A171,Games!$D$4:$D$1177,"post",Games!$L$4:$L$1177,$C171)</x:f>
        <x:v>4</x:v>
      </x:c>
      <x:c r="E171" t="n">
        <x:f>COUNTIFS(Games!$A$4:$A$1177,$A171,Games!$G$4:$G$1177,$C171,Games!$J$4:$J$1177,"W")+COUNTIFS(Games!$A$4:$A$1177,$A171,Games!$L$4:$L$1177,$C171,Games!$O$4:$O$1177,"W")</x:f>
        <x:v>2</x:v>
      </x:c>
      <x:c r="F171" t="n">
        <x:f>COUNTIFS(Games!$A$4:$A$1177,$A171,Games!$G$4:$G$1177,$C171,Games!$J$4:$J$1177,"L")+COUNTIFS(Games!$A$4:$A$1177,$A171,Games!$L$4:$L$1177,$C171,Games!$O$4:$O$1177,"L")</x:f>
        <x:v>2</x:v>
      </x:c>
      <x:c r="G171" t="n">
        <x:f>COUNTIFS(Games!$A$4:$A$1177,$A171,Games!$G$4:$G$1177,$C171,Games!$J$4:$J$1177,"T")+COUNTIFS(Games!$A$4:$A$1177,$A171,Games!$L$4:$L$1177,$C171,Games!$O$4:$O$1177,"T")</x:f>
        <x:v>0</x:v>
      </x:c>
      <x:c r="H171" t="n">
        <x:f>SUMIFS(Games!$H$4:$H$1177,Games!$A$4:$A$1177,$A171,Games!$D$4:$D$1177,"post",Games!$G$4:$G$1177,$C171)+SUMIFS(Games!$M$4:$M$1177,Games!$A$4:$A$1177,$A171,Games!$D$4:$D$1177,"post",Games!$L$4:$L$1177,$C171)</x:f>
        <x:v>93</x:v>
      </x:c>
      <x:c r="I171" t="n">
        <x:f>SUMIFS(Games!$M$4:$M$1177,Games!$A$4:$A$1177,$A171,Games!$D$4:$D$1177,"post",Games!$G$4:$G$1177,$C171)+SUMIFS(Games!$H$4:$H$1177,Games!$A$4:$A$1177,$A171,Games!$D$4:$D$1177,"post",Games!$L$4:$L$1177,$C171)</x:f>
        <x:v>109</x:v>
      </x:c>
      <x:c r="J171" t="str">
        <x:f>E171&amp;"-"&amp;F171&amp;IF(G171&gt;0,"-"&amp;G171,"")</x:f>
        <x:v>2-2</x:v>
      </x:c>
      <x:c r="K171" t="n">
        <x:f>COUNTIFS(Games!$A$4:$A$1177,$A171,Games!$D$4:$D$1177,"post",Games!$G$4:$G$1177,$C171,Games!$T$4:$T$1177,"&lt;&gt;")+COUNTIFS(Games!$A$4:$A$1177,$A171,Games!$D$4:$D$1177,"post",Games!$L$4:$L$1177,$C171,Games!$T$4:$T$1177,"&lt;&gt;")</x:f>
        <x:v>0</x:v>
      </x:c>
      <x:c r="L171" s="80" t="n">
        <x:f>IF(D171=0,0,K171/D171)</x:f>
        <x:v>0</x:v>
      </x:c>
      <x:c r="M171" t="str">
        <x:f>IF(AND(D171&gt;=2,K171&gt;=2,L171&gt;=75%),"YES","NO")</x:f>
        <x:v>NO</x:v>
      </x:c>
    </x:row>
    <x:row r="172">
      <x:c r="A172" t="str">
        <x:v>CFB</x:v>
      </x:c>
      <x:c r="B172" t="str">
        <x:v>SE Louisiana Lions</x:v>
      </x:c>
      <x:c r="C172" t="str">
        <x:v>SELA</x:v>
      </x:c>
      <x:c r="D172" t="n">
        <x:f>COUNTIFS(Games!$A$4:$A$1177,$A172,Games!$D$4:$D$1177,"post",Games!$G$4:$G$1177,$C172)+COUNTIFS(Games!$A$4:$A$1177,$A172,Games!$D$4:$D$1177,"post",Games!$L$4:$L$1177,$C172)</x:f>
        <x:v>2</x:v>
      </x:c>
      <x:c r="E172" t="n">
        <x:f>COUNTIFS(Games!$A$4:$A$1177,$A172,Games!$G$4:$G$1177,$C172,Games!$J$4:$J$1177,"W")+COUNTIFS(Games!$A$4:$A$1177,$A172,Games!$L$4:$L$1177,$C172,Games!$O$4:$O$1177,"W")</x:f>
        <x:v>1</x:v>
      </x:c>
      <x:c r="F172" t="n">
        <x:f>COUNTIFS(Games!$A$4:$A$1177,$A172,Games!$G$4:$G$1177,$C172,Games!$J$4:$J$1177,"L")+COUNTIFS(Games!$A$4:$A$1177,$A172,Games!$L$4:$L$1177,$C172,Games!$O$4:$O$1177,"L")</x:f>
        <x:v>1</x:v>
      </x:c>
      <x:c r="G172" t="n">
        <x:f>COUNTIFS(Games!$A$4:$A$1177,$A172,Games!$G$4:$G$1177,$C172,Games!$J$4:$J$1177,"T")+COUNTIFS(Games!$A$4:$A$1177,$A172,Games!$L$4:$L$1177,$C172,Games!$O$4:$O$1177,"T")</x:f>
        <x:v>0</x:v>
      </x:c>
      <x:c r="H172" t="n">
        <x:f>SUMIFS(Games!$H$4:$H$1177,Games!$A$4:$A$1177,$A172,Games!$D$4:$D$1177,"post",Games!$G$4:$G$1177,$C172)+SUMIFS(Games!$M$4:$M$1177,Games!$A$4:$A$1177,$A172,Games!$D$4:$D$1177,"post",Games!$L$4:$L$1177,$C172)</x:f>
        <x:v>52</x:v>
      </x:c>
      <x:c r="I172" t="n">
        <x:f>SUMIFS(Games!$M$4:$M$1177,Games!$A$4:$A$1177,$A172,Games!$D$4:$D$1177,"post",Games!$G$4:$G$1177,$C172)+SUMIFS(Games!$H$4:$H$1177,Games!$A$4:$A$1177,$A172,Games!$D$4:$D$1177,"post",Games!$L$4:$L$1177,$C172)</x:f>
        <x:v>74</x:v>
      </x:c>
      <x:c r="J172" t="str">
        <x:f>E172&amp;"-"&amp;F172&amp;IF(G172&gt;0,"-"&amp;G172,"")</x:f>
        <x:v>1-1</x:v>
      </x:c>
      <x:c r="K172" t="n">
        <x:f>COUNTIFS(Games!$A$4:$A$1177,$A172,Games!$D$4:$D$1177,"post",Games!$G$4:$G$1177,$C172,Games!$T$4:$T$1177,"&lt;&gt;")+COUNTIFS(Games!$A$4:$A$1177,$A172,Games!$D$4:$D$1177,"post",Games!$L$4:$L$1177,$C172,Games!$T$4:$T$1177,"&lt;&gt;")</x:f>
        <x:v>0</x:v>
      </x:c>
      <x:c r="L172" s="80" t="n">
        <x:f>IF(D172=0,0,K172/D172)</x:f>
        <x:v>0</x:v>
      </x:c>
      <x:c r="M172" t="str">
        <x:f>IF(AND(D172&gt;=2,K172&gt;=2,L172&gt;=75%),"YES","NO")</x:f>
        <x:v>NO</x:v>
      </x:c>
    </x:row>
    <x:row r="173">
      <x:c r="A173" t="str">
        <x:v>CFB</x:v>
      </x:c>
      <x:c r="B173" t="str">
        <x:v>SMU Mustangs</x:v>
      </x:c>
      <x:c r="C173" t="str">
        <x:v>SMU</x:v>
      </x:c>
      <x:c r="D173" t="n">
        <x:f>COUNTIFS(Games!$A$4:$A$1177,$A173,Games!$D$4:$D$1177,"post",Games!$G$4:$G$1177,$C173)+COUNTIFS(Games!$A$4:$A$1177,$A173,Games!$D$4:$D$1177,"post",Games!$L$4:$L$1177,$C173)</x:f>
        <x:v>3</x:v>
      </x:c>
      <x:c r="E173" t="n">
        <x:f>COUNTIFS(Games!$A$4:$A$1177,$A173,Games!$G$4:$G$1177,$C173,Games!$J$4:$J$1177,"W")+COUNTIFS(Games!$A$4:$A$1177,$A173,Games!$L$4:$L$1177,$C173,Games!$O$4:$O$1177,"W")</x:f>
        <x:v>2</x:v>
      </x:c>
      <x:c r="F173" t="n">
        <x:f>COUNTIFS(Games!$A$4:$A$1177,$A173,Games!$G$4:$G$1177,$C173,Games!$J$4:$J$1177,"L")+COUNTIFS(Games!$A$4:$A$1177,$A173,Games!$L$4:$L$1177,$C173,Games!$O$4:$O$1177,"L")</x:f>
        <x:v>1</x:v>
      </x:c>
      <x:c r="G173" t="n">
        <x:f>COUNTIFS(Games!$A$4:$A$1177,$A173,Games!$G$4:$G$1177,$C173,Games!$J$4:$J$1177,"T")+COUNTIFS(Games!$A$4:$A$1177,$A173,Games!$L$4:$L$1177,$C173,Games!$O$4:$O$1177,"T")</x:f>
        <x:v>0</x:v>
      </x:c>
      <x:c r="H173" t="n">
        <x:f>SUMIFS(Games!$H$4:$H$1177,Games!$A$4:$A$1177,$A173,Games!$D$4:$D$1177,"post",Games!$G$4:$G$1177,$C173)+SUMIFS(Games!$M$4:$M$1177,Games!$A$4:$A$1177,$A173,Games!$D$4:$D$1177,"post",Games!$L$4:$L$1177,$C173)</x:f>
        <x:v>114</x:v>
      </x:c>
      <x:c r="I173" t="n">
        <x:f>SUMIFS(Games!$M$4:$M$1177,Games!$A$4:$A$1177,$A173,Games!$D$4:$D$1177,"post",Games!$G$4:$G$1177,$C173)+SUMIFS(Games!$H$4:$H$1177,Games!$A$4:$A$1177,$A173,Games!$D$4:$D$1177,"post",Games!$L$4:$L$1177,$C173)</x:f>
        <x:v>75</x:v>
      </x:c>
      <x:c r="J173" t="str">
        <x:f>E173&amp;"-"&amp;F173&amp;IF(G173&gt;0,"-"&amp;G173,"")</x:f>
        <x:v>2-1</x:v>
      </x:c>
      <x:c r="K173" t="n">
        <x:f>COUNTIFS(Games!$A$4:$A$1177,$A173,Games!$D$4:$D$1177,"post",Games!$G$4:$G$1177,$C173,Games!$T$4:$T$1177,"&lt;&gt;")+COUNTIFS(Games!$A$4:$A$1177,$A173,Games!$D$4:$D$1177,"post",Games!$L$4:$L$1177,$C173,Games!$T$4:$T$1177,"&lt;&gt;")</x:f>
        <x:v>0</x:v>
      </x:c>
      <x:c r="L173" s="80" t="n">
        <x:f>IF(D173=0,0,K173/D173)</x:f>
        <x:v>0</x:v>
      </x:c>
      <x:c r="M173" t="str">
        <x:f>IF(AND(D173&gt;=2,K173&gt;=2,L173&gt;=75%),"YES","NO")</x:f>
        <x:v>NO</x:v>
      </x:c>
    </x:row>
    <x:row r="174">
      <x:c r="A174" t="str">
        <x:v>CFB</x:v>
      </x:c>
      <x:c r="B174" t="str">
        <x:v>South Alabama Jaguars</x:v>
      </x:c>
      <x:c r="C174" t="str">
        <x:v>USA</x:v>
      </x:c>
      <x:c r="D174" t="n">
        <x:f>COUNTIFS(Games!$A$4:$A$1177,$A174,Games!$D$4:$D$1177,"post",Games!$G$4:$G$1177,$C174)+COUNTIFS(Games!$A$4:$A$1177,$A174,Games!$D$4:$D$1177,"post",Games!$L$4:$L$1177,$C174)</x:f>
        <x:v>3</x:v>
      </x:c>
      <x:c r="E174" t="n">
        <x:f>COUNTIFS(Games!$A$4:$A$1177,$A174,Games!$G$4:$G$1177,$C174,Games!$J$4:$J$1177,"W")+COUNTIFS(Games!$A$4:$A$1177,$A174,Games!$L$4:$L$1177,$C174,Games!$O$4:$O$1177,"W")</x:f>
        <x:v>2</x:v>
      </x:c>
      <x:c r="F174" t="n">
        <x:f>COUNTIFS(Games!$A$4:$A$1177,$A174,Games!$G$4:$G$1177,$C174,Games!$J$4:$J$1177,"L")+COUNTIFS(Games!$A$4:$A$1177,$A174,Games!$L$4:$L$1177,$C174,Games!$O$4:$O$1177,"L")</x:f>
        <x:v>1</x:v>
      </x:c>
      <x:c r="G174" t="n">
        <x:f>COUNTIFS(Games!$A$4:$A$1177,$A174,Games!$G$4:$G$1177,$C174,Games!$J$4:$J$1177,"T")+COUNTIFS(Games!$A$4:$A$1177,$A174,Games!$L$4:$L$1177,$C174,Games!$O$4:$O$1177,"T")</x:f>
        <x:v>0</x:v>
      </x:c>
      <x:c r="H174" t="n">
        <x:f>SUMIFS(Games!$H$4:$H$1177,Games!$A$4:$A$1177,$A174,Games!$D$4:$D$1177,"post",Games!$G$4:$G$1177,$C174)+SUMIFS(Games!$M$4:$M$1177,Games!$A$4:$A$1177,$A174,Games!$D$4:$D$1177,"post",Games!$L$4:$L$1177,$C174)</x:f>
        <x:v>104</x:v>
      </x:c>
      <x:c r="I174" t="n">
        <x:f>SUMIFS(Games!$M$4:$M$1177,Games!$A$4:$A$1177,$A174,Games!$D$4:$D$1177,"post",Games!$G$4:$G$1177,$C174)+SUMIFS(Games!$H$4:$H$1177,Games!$A$4:$A$1177,$A174,Games!$D$4:$D$1177,"post",Games!$L$4:$L$1177,$C174)</x:f>
        <x:v>78</x:v>
      </x:c>
      <x:c r="J174" t="str">
        <x:f>E174&amp;"-"&amp;F174&amp;IF(G174&gt;0,"-"&amp;G174,"")</x:f>
        <x:v>2-1</x:v>
      </x:c>
      <x:c r="K174" t="n">
        <x:f>COUNTIFS(Games!$A$4:$A$1177,$A174,Games!$D$4:$D$1177,"post",Games!$G$4:$G$1177,$C174,Games!$T$4:$T$1177,"&lt;&gt;")+COUNTIFS(Games!$A$4:$A$1177,$A174,Games!$D$4:$D$1177,"post",Games!$L$4:$L$1177,$C174,Games!$T$4:$T$1177,"&lt;&gt;")</x:f>
        <x:v>0</x:v>
      </x:c>
      <x:c r="L174" s="80" t="n">
        <x:f>IF(D174=0,0,K174/D174)</x:f>
        <x:v>0</x:v>
      </x:c>
      <x:c r="M174" t="str">
        <x:f>IF(AND(D174&gt;=2,K174&gt;=2,L174&gt;=75%),"YES","NO")</x:f>
        <x:v>NO</x:v>
      </x:c>
    </x:row>
    <x:row r="175">
      <x:c r="A175" t="str">
        <x:v>CFB</x:v>
      </x:c>
      <x:c r="B175" t="str">
        <x:v>South Carolina Gamecocks</x:v>
      </x:c>
      <x:c r="C175" t="str">
        <x:v>SC</x:v>
      </x:c>
      <x:c r="D175" t="n">
        <x:f>COUNTIFS(Games!$A$4:$A$1177,$A175,Games!$D$4:$D$1177,"post",Games!$G$4:$G$1177,$C175)+COUNTIFS(Games!$A$4:$A$1177,$A175,Games!$D$4:$D$1177,"post",Games!$L$4:$L$1177,$C175)</x:f>
        <x:v>3</x:v>
      </x:c>
      <x:c r="E175" t="n">
        <x:f>COUNTIFS(Games!$A$4:$A$1177,$A175,Games!$G$4:$G$1177,$C175,Games!$J$4:$J$1177,"W")+COUNTIFS(Games!$A$4:$A$1177,$A175,Games!$L$4:$L$1177,$C175,Games!$O$4:$O$1177,"W")</x:f>
        <x:v>2</x:v>
      </x:c>
      <x:c r="F175" t="n">
        <x:f>COUNTIFS(Games!$A$4:$A$1177,$A175,Games!$G$4:$G$1177,$C175,Games!$J$4:$J$1177,"L")+COUNTIFS(Games!$A$4:$A$1177,$A175,Games!$L$4:$L$1177,$C175,Games!$O$4:$O$1177,"L")</x:f>
        <x:v>1</x:v>
      </x:c>
      <x:c r="G175" t="n">
        <x:f>COUNTIFS(Games!$A$4:$A$1177,$A175,Games!$G$4:$G$1177,$C175,Games!$J$4:$J$1177,"T")+COUNTIFS(Games!$A$4:$A$1177,$A175,Games!$L$4:$L$1177,$C175,Games!$O$4:$O$1177,"T")</x:f>
        <x:v>0</x:v>
      </x:c>
      <x:c r="H175" t="n">
        <x:f>SUMIFS(Games!$H$4:$H$1177,Games!$A$4:$A$1177,$A175,Games!$D$4:$D$1177,"post",Games!$G$4:$G$1177,$C175)+SUMIFS(Games!$M$4:$M$1177,Games!$A$4:$A$1177,$A175,Games!$D$4:$D$1177,"post",Games!$L$4:$L$1177,$C175)</x:f>
        <x:v>136</x:v>
      </x:c>
      <x:c r="I175" t="n">
        <x:f>SUMIFS(Games!$M$4:$M$1177,Games!$A$4:$A$1177,$A175,Games!$D$4:$D$1177,"post",Games!$G$4:$G$1177,$C175)+SUMIFS(Games!$H$4:$H$1177,Games!$A$4:$A$1177,$A175,Games!$D$4:$D$1177,"post",Games!$L$4:$L$1177,$C175)</x:f>
        <x:v>50</x:v>
      </x:c>
      <x:c r="J175" t="str">
        <x:f>E175&amp;"-"&amp;F175&amp;IF(G175&gt;0,"-"&amp;G175,"")</x:f>
        <x:v>2-1</x:v>
      </x:c>
      <x:c r="K175" t="n">
        <x:f>COUNTIFS(Games!$A$4:$A$1177,$A175,Games!$D$4:$D$1177,"post",Games!$G$4:$G$1177,$C175,Games!$T$4:$T$1177,"&lt;&gt;")+COUNTIFS(Games!$A$4:$A$1177,$A175,Games!$D$4:$D$1177,"post",Games!$L$4:$L$1177,$C175,Games!$T$4:$T$1177,"&lt;&gt;")</x:f>
        <x:v>0</x:v>
      </x:c>
      <x:c r="L175" s="80" t="n">
        <x:f>IF(D175=0,0,K175/D175)</x:f>
        <x:v>0</x:v>
      </x:c>
      <x:c r="M175" t="str">
        <x:f>IF(AND(D175&gt;=2,K175&gt;=2,L175&gt;=75%),"YES","NO")</x:f>
        <x:v>NO</x:v>
      </x:c>
    </x:row>
    <x:row r="176">
      <x:c r="A176" t="str">
        <x:v>CFB</x:v>
      </x:c>
      <x:c r="B176" t="str">
        <x:v>South Dakota Coyotes</x:v>
      </x:c>
      <x:c r="C176" t="str">
        <x:v>SDAK</x:v>
      </x:c>
      <x:c r="D176" t="n">
        <x:f>COUNTIFS(Games!$A$4:$A$1177,$A176,Games!$D$4:$D$1177,"post",Games!$G$4:$G$1177,$C176)+COUNTIFS(Games!$A$4:$A$1177,$A176,Games!$D$4:$D$1177,"post",Games!$L$4:$L$1177,$C176)</x:f>
        <x:v>1</x:v>
      </x:c>
      <x:c r="E176" t="n">
        <x:f>COUNTIFS(Games!$A$4:$A$1177,$A176,Games!$G$4:$G$1177,$C176,Games!$J$4:$J$1177,"W")+COUNTIFS(Games!$A$4:$A$1177,$A176,Games!$L$4:$L$1177,$C176,Games!$O$4:$O$1177,"W")</x:f>
        <x:v>0</x:v>
      </x:c>
      <x:c r="F176" t="n">
        <x:f>COUNTIFS(Games!$A$4:$A$1177,$A176,Games!$G$4:$G$1177,$C176,Games!$J$4:$J$1177,"L")+COUNTIFS(Games!$A$4:$A$1177,$A176,Games!$L$4:$L$1177,$C176,Games!$O$4:$O$1177,"L")</x:f>
        <x:v>1</x:v>
      </x:c>
      <x:c r="G176" t="n">
        <x:f>COUNTIFS(Games!$A$4:$A$1177,$A176,Games!$G$4:$G$1177,$C176,Games!$J$4:$J$1177,"T")+COUNTIFS(Games!$A$4:$A$1177,$A176,Games!$L$4:$L$1177,$C176,Games!$O$4:$O$1177,"T")</x:f>
        <x:v>0</x:v>
      </x:c>
      <x:c r="H176" t="n">
        <x:f>SUMIFS(Games!$H$4:$H$1177,Games!$A$4:$A$1177,$A176,Games!$D$4:$D$1177,"post",Games!$G$4:$G$1177,$C176)+SUMIFS(Games!$M$4:$M$1177,Games!$A$4:$A$1177,$A176,Games!$D$4:$D$1177,"post",Games!$L$4:$L$1177,$C176)</x:f>
        <x:v>24</x:v>
      </x:c>
      <x:c r="I176" t="n">
        <x:f>SUMIFS(Games!$M$4:$M$1177,Games!$A$4:$A$1177,$A176,Games!$D$4:$D$1177,"post",Games!$G$4:$G$1177,$C176)+SUMIFS(Games!$H$4:$H$1177,Games!$A$4:$A$1177,$A176,Games!$D$4:$D$1177,"post",Games!$L$4:$L$1177,$C176)</x:f>
        <x:v>38</x:v>
      </x:c>
      <x:c r="J176" t="str">
        <x:f>E176&amp;"-"&amp;F176&amp;IF(G176&gt;0,"-"&amp;G176,"")</x:f>
        <x:v>0-1</x:v>
      </x:c>
      <x:c r="K176" t="n">
        <x:f>COUNTIFS(Games!$A$4:$A$1177,$A176,Games!$D$4:$D$1177,"post",Games!$G$4:$G$1177,$C176,Games!$T$4:$T$1177,"&lt;&gt;")+COUNTIFS(Games!$A$4:$A$1177,$A176,Games!$D$4:$D$1177,"post",Games!$L$4:$L$1177,$C176,Games!$T$4:$T$1177,"&lt;&gt;")</x:f>
        <x:v>0</x:v>
      </x:c>
      <x:c r="L176" s="80" t="n">
        <x:f>IF(D176=0,0,K176/D176)</x:f>
        <x:v>0</x:v>
      </x:c>
      <x:c r="M176" t="str">
        <x:f>IF(AND(D176&gt;=2,K176&gt;=2,L176&gt;=75%),"YES","NO")</x:f>
        <x:v>NO</x:v>
      </x:c>
    </x:row>
    <x:row r="177">
      <x:c r="A177" t="str">
        <x:v>CFB</x:v>
      </x:c>
      <x:c r="B177" t="str">
        <x:v>South Dakota State Jackrabbits</x:v>
      </x:c>
      <x:c r="C177" t="str">
        <x:v>SDST</x:v>
      </x:c>
      <x:c r="D177" t="n">
        <x:f>COUNTIFS(Games!$A$4:$A$1177,$A177,Games!$D$4:$D$1177,"post",Games!$G$4:$G$1177,$C177)+COUNTIFS(Games!$A$4:$A$1177,$A177,Games!$D$4:$D$1177,"post",Games!$L$4:$L$1177,$C177)</x:f>
        <x:v>1</x:v>
      </x:c>
      <x:c r="E177" t="n">
        <x:f>COUNTIFS(Games!$A$4:$A$1177,$A177,Games!$G$4:$G$1177,$C177,Games!$J$4:$J$1177,"W")+COUNTIFS(Games!$A$4:$A$1177,$A177,Games!$L$4:$L$1177,$C177,Games!$O$4:$O$1177,"W")</x:f>
        <x:v>0</x:v>
      </x:c>
      <x:c r="F177" t="n">
        <x:f>COUNTIFS(Games!$A$4:$A$1177,$A177,Games!$G$4:$G$1177,$C177,Games!$J$4:$J$1177,"L")+COUNTIFS(Games!$A$4:$A$1177,$A177,Games!$L$4:$L$1177,$C177,Games!$O$4:$O$1177,"L")</x:f>
        <x:v>1</x:v>
      </x:c>
      <x:c r="G177" t="n">
        <x:f>COUNTIFS(Games!$A$4:$A$1177,$A177,Games!$G$4:$G$1177,$C177,Games!$J$4:$J$1177,"T")+COUNTIFS(Games!$A$4:$A$1177,$A177,Games!$L$4:$L$1177,$C177,Games!$O$4:$O$1177,"T")</x:f>
        <x:v>0</x:v>
      </x:c>
      <x:c r="H177" t="n">
        <x:f>SUMIFS(Games!$H$4:$H$1177,Games!$A$4:$A$1177,$A177,Games!$D$4:$D$1177,"post",Games!$G$4:$G$1177,$C177)+SUMIFS(Games!$M$4:$M$1177,Games!$A$4:$A$1177,$A177,Games!$D$4:$D$1177,"post",Games!$L$4:$L$1177,$C177)</x:f>
        <x:v>18</x:v>
      </x:c>
      <x:c r="I177" t="n">
        <x:f>SUMIFS(Games!$M$4:$M$1177,Games!$A$4:$A$1177,$A177,Games!$D$4:$D$1177,"post",Games!$G$4:$G$1177,$C177)+SUMIFS(Games!$H$4:$H$1177,Games!$A$4:$A$1177,$A177,Games!$D$4:$D$1177,"post",Games!$L$4:$L$1177,$C177)</x:f>
        <x:v>34</x:v>
      </x:c>
      <x:c r="J177" t="str">
        <x:f>E177&amp;"-"&amp;F177&amp;IF(G177&gt;0,"-"&amp;G177,"")</x:f>
        <x:v>0-1</x:v>
      </x:c>
      <x:c r="K177" t="n">
        <x:f>COUNTIFS(Games!$A$4:$A$1177,$A177,Games!$D$4:$D$1177,"post",Games!$G$4:$G$1177,$C177,Games!$T$4:$T$1177,"&lt;&gt;")+COUNTIFS(Games!$A$4:$A$1177,$A177,Games!$D$4:$D$1177,"post",Games!$L$4:$L$1177,$C177,Games!$T$4:$T$1177,"&lt;&gt;")</x:f>
        <x:v>0</x:v>
      </x:c>
      <x:c r="L177" s="80" t="n">
        <x:f>IF(D177=0,0,K177/D177)</x:f>
        <x:v>0</x:v>
      </x:c>
      <x:c r="M177" t="str">
        <x:f>IF(AND(D177&gt;=2,K177&gt;=2,L177&gt;=75%),"YES","NO")</x:f>
        <x:v>NO</x:v>
      </x:c>
    </x:row>
    <x:row r="178">
      <x:c r="A178" t="str">
        <x:v>CFB</x:v>
      </x:c>
      <x:c r="B178" t="str">
        <x:v>South Florida Bulls</x:v>
      </x:c>
      <x:c r="C178" t="str">
        <x:v>USF</x:v>
      </x:c>
      <x:c r="D178" t="n">
        <x:f>COUNTIFS(Games!$A$4:$A$1177,$A178,Games!$D$4:$D$1177,"post",Games!$G$4:$G$1177,$C178)+COUNTIFS(Games!$A$4:$A$1177,$A178,Games!$D$4:$D$1177,"post",Games!$L$4:$L$1177,$C178)</x:f>
        <x:v>3</x:v>
      </x:c>
      <x:c r="E178" t="n">
        <x:f>COUNTIFS(Games!$A$4:$A$1177,$A178,Games!$G$4:$G$1177,$C178,Games!$J$4:$J$1177,"W")+COUNTIFS(Games!$A$4:$A$1177,$A178,Games!$L$4:$L$1177,$C178,Games!$O$4:$O$1177,"W")</x:f>
        <x:v>3</x:v>
      </x:c>
      <x:c r="F178" t="n">
        <x:f>COUNTIFS(Games!$A$4:$A$1177,$A178,Games!$G$4:$G$1177,$C178,Games!$J$4:$J$1177,"L")+COUNTIFS(Games!$A$4:$A$1177,$A178,Games!$L$4:$L$1177,$C178,Games!$O$4:$O$1177,"L")</x:f>
        <x:v>0</x:v>
      </x:c>
      <x:c r="G178" t="n">
        <x:f>COUNTIFS(Games!$A$4:$A$1177,$A178,Games!$G$4:$G$1177,$C178,Games!$J$4:$J$1177,"T")+COUNTIFS(Games!$A$4:$A$1177,$A178,Games!$L$4:$L$1177,$C178,Games!$O$4:$O$1177,"T")</x:f>
        <x:v>0</x:v>
      </x:c>
      <x:c r="H178" t="n">
        <x:f>SUMIFS(Games!$H$4:$H$1177,Games!$A$4:$A$1177,$A178,Games!$D$4:$D$1177,"post",Games!$G$4:$G$1177,$C178)+SUMIFS(Games!$M$4:$M$1177,Games!$A$4:$A$1177,$A178,Games!$D$4:$D$1177,"post",Games!$L$4:$L$1177,$C178)</x:f>
        <x:v>106</x:v>
      </x:c>
      <x:c r="I178" t="n">
        <x:f>SUMIFS(Games!$M$4:$M$1177,Games!$A$4:$A$1177,$A178,Games!$D$4:$D$1177,"post",Games!$G$4:$G$1177,$C178)+SUMIFS(Games!$H$4:$H$1177,Games!$A$4:$A$1177,$A178,Games!$D$4:$D$1177,"post",Games!$L$4:$L$1177,$C178)</x:f>
        <x:v>50</x:v>
      </x:c>
      <x:c r="J178" t="str">
        <x:f>E178&amp;"-"&amp;F178&amp;IF(G178&gt;0,"-"&amp;G178,"")</x:f>
        <x:v>3-0</x:v>
      </x:c>
      <x:c r="K178" t="n">
        <x:f>COUNTIFS(Games!$A$4:$A$1177,$A178,Games!$D$4:$D$1177,"post",Games!$G$4:$G$1177,$C178,Games!$T$4:$T$1177,"&lt;&gt;")+COUNTIFS(Games!$A$4:$A$1177,$A178,Games!$D$4:$D$1177,"post",Games!$L$4:$L$1177,$C178,Games!$T$4:$T$1177,"&lt;&gt;")</x:f>
        <x:v>0</x:v>
      </x:c>
      <x:c r="L178" s="80" t="n">
        <x:f>IF(D178=0,0,K178/D178)</x:f>
        <x:v>0</x:v>
      </x:c>
      <x:c r="M178" t="str">
        <x:f>IF(AND(D178&gt;=2,K178&gt;=2,L178&gt;=75%),"YES","NO")</x:f>
        <x:v>NO</x:v>
      </x:c>
    </x:row>
    <x:row r="179">
      <x:c r="A179" t="str">
        <x:v>CFB</x:v>
      </x:c>
      <x:c r="B179" t="str">
        <x:v>Southeast Missouri State Redhawks</x:v>
      </x:c>
      <x:c r="C179" t="str">
        <x:v>SEMO</x:v>
      </x:c>
      <x:c r="D179" t="n">
        <x:f>COUNTIFS(Games!$A$4:$A$1177,$A179,Games!$D$4:$D$1177,"post",Games!$G$4:$G$1177,$C179)+COUNTIFS(Games!$A$4:$A$1177,$A179,Games!$D$4:$D$1177,"post",Games!$L$4:$L$1177,$C179)</x:f>
        <x:v>1</x:v>
      </x:c>
      <x:c r="E179" t="n">
        <x:f>COUNTIFS(Games!$A$4:$A$1177,$A179,Games!$G$4:$G$1177,$C179,Games!$J$4:$J$1177,"W")+COUNTIFS(Games!$A$4:$A$1177,$A179,Games!$L$4:$L$1177,$C179,Games!$O$4:$O$1177,"W")</x:f>
        <x:v>0</x:v>
      </x:c>
      <x:c r="F179" t="n">
        <x:f>COUNTIFS(Games!$A$4:$A$1177,$A179,Games!$G$4:$G$1177,$C179,Games!$J$4:$J$1177,"L")+COUNTIFS(Games!$A$4:$A$1177,$A179,Games!$L$4:$L$1177,$C179,Games!$O$4:$O$1177,"L")</x:f>
        <x:v>1</x:v>
      </x:c>
      <x:c r="G179" t="n">
        <x:f>COUNTIFS(Games!$A$4:$A$1177,$A179,Games!$G$4:$G$1177,$C179,Games!$J$4:$J$1177,"T")+COUNTIFS(Games!$A$4:$A$1177,$A179,Games!$L$4:$L$1177,$C179,Games!$O$4:$O$1177,"T")</x:f>
        <x:v>0</x:v>
      </x:c>
      <x:c r="H179" t="n">
        <x:f>SUMIFS(Games!$H$4:$H$1177,Games!$A$4:$A$1177,$A179,Games!$D$4:$D$1177,"post",Games!$G$4:$G$1177,$C179)+SUMIFS(Games!$M$4:$M$1177,Games!$A$4:$A$1177,$A179,Games!$D$4:$D$1177,"post",Games!$L$4:$L$1177,$C179)</x:f>
        <x:v>10</x:v>
      </x:c>
      <x:c r="I179" t="n">
        <x:f>SUMIFS(Games!$M$4:$M$1177,Games!$A$4:$A$1177,$A179,Games!$D$4:$D$1177,"post",Games!$G$4:$G$1177,$C179)+SUMIFS(Games!$H$4:$H$1177,Games!$A$4:$A$1177,$A179,Games!$D$4:$D$1177,"post",Games!$L$4:$L$1177,$C179)</x:f>
        <x:v>38</x:v>
      </x:c>
      <x:c r="J179" t="str">
        <x:f>E179&amp;"-"&amp;F179&amp;IF(G179&gt;0,"-"&amp;G179,"")</x:f>
        <x:v>0-1</x:v>
      </x:c>
      <x:c r="K179" t="n">
        <x:f>COUNTIFS(Games!$A$4:$A$1177,$A179,Games!$D$4:$D$1177,"post",Games!$G$4:$G$1177,$C179,Games!$T$4:$T$1177,"&lt;&gt;")+COUNTIFS(Games!$A$4:$A$1177,$A179,Games!$D$4:$D$1177,"post",Games!$L$4:$L$1177,$C179,Games!$T$4:$T$1177,"&lt;&gt;")</x:f>
        <x:v>0</x:v>
      </x:c>
      <x:c r="L179" s="80" t="n">
        <x:f>IF(D179=0,0,K179/D179)</x:f>
        <x:v>0</x:v>
      </x:c>
      <x:c r="M179" t="str">
        <x:f>IF(AND(D179&gt;=2,K179&gt;=2,L179&gt;=75%),"YES","NO")</x:f>
        <x:v>NO</x:v>
      </x:c>
    </x:row>
    <x:row r="180">
      <x:c r="A180" t="str">
        <x:v>CFB</x:v>
      </x:c>
      <x:c r="B180" t="str">
        <x:v>Southern Illinois Salukis</x:v>
      </x:c>
      <x:c r="C180" t="str">
        <x:v>SIU</x:v>
      </x:c>
      <x:c r="D180" t="n">
        <x:f>COUNTIFS(Games!$A$4:$A$1177,$A180,Games!$D$4:$D$1177,"post",Games!$G$4:$G$1177,$C180)+COUNTIFS(Games!$A$4:$A$1177,$A180,Games!$D$4:$D$1177,"post",Games!$L$4:$L$1177,$C180)</x:f>
        <x:v>1</x:v>
      </x:c>
      <x:c r="E180" t="n">
        <x:f>COUNTIFS(Games!$A$4:$A$1177,$A180,Games!$G$4:$G$1177,$C180,Games!$J$4:$J$1177,"W")+COUNTIFS(Games!$A$4:$A$1177,$A180,Games!$L$4:$L$1177,$C180,Games!$O$4:$O$1177,"W")</x:f>
        <x:v>0</x:v>
      </x:c>
      <x:c r="F180" t="n">
        <x:f>COUNTIFS(Games!$A$4:$A$1177,$A180,Games!$G$4:$G$1177,$C180,Games!$J$4:$J$1177,"L")+COUNTIFS(Games!$A$4:$A$1177,$A180,Games!$L$4:$L$1177,$C180,Games!$O$4:$O$1177,"L")</x:f>
        <x:v>1</x:v>
      </x:c>
      <x:c r="G180" t="n">
        <x:f>COUNTIFS(Games!$A$4:$A$1177,$A180,Games!$G$4:$G$1177,$C180,Games!$J$4:$J$1177,"T")+COUNTIFS(Games!$A$4:$A$1177,$A180,Games!$L$4:$L$1177,$C180,Games!$O$4:$O$1177,"T")</x:f>
        <x:v>0</x:v>
      </x:c>
      <x:c r="H180" t="n">
        <x:f>SUMIFS(Games!$H$4:$H$1177,Games!$A$4:$A$1177,$A180,Games!$D$4:$D$1177,"post",Games!$G$4:$G$1177,$C180)+SUMIFS(Games!$M$4:$M$1177,Games!$A$4:$A$1177,$A180,Games!$D$4:$D$1177,"post",Games!$L$4:$L$1177,$C180)</x:f>
        <x:v>10</x:v>
      </x:c>
      <x:c r="I180" t="n">
        <x:f>SUMIFS(Games!$M$4:$M$1177,Games!$A$4:$A$1177,$A180,Games!$D$4:$D$1177,"post",Games!$G$4:$G$1177,$C180)+SUMIFS(Games!$H$4:$H$1177,Games!$A$4:$A$1177,$A180,Games!$D$4:$D$1177,"post",Games!$L$4:$L$1177,$C180)</x:f>
        <x:v>48</x:v>
      </x:c>
      <x:c r="J180" t="str">
        <x:f>E180&amp;"-"&amp;F180&amp;IF(G180&gt;0,"-"&amp;G180,"")</x:f>
        <x:v>0-1</x:v>
      </x:c>
      <x:c r="K180" t="n">
        <x:f>COUNTIFS(Games!$A$4:$A$1177,$A180,Games!$D$4:$D$1177,"post",Games!$G$4:$G$1177,$C180,Games!$T$4:$T$1177,"&lt;&gt;")+COUNTIFS(Games!$A$4:$A$1177,$A180,Games!$D$4:$D$1177,"post",Games!$L$4:$L$1177,$C180,Games!$T$4:$T$1177,"&lt;&gt;")</x:f>
        <x:v>0</x:v>
      </x:c>
      <x:c r="L180" s="80" t="n">
        <x:f>IF(D180=0,0,K180/D180)</x:f>
        <x:v>0</x:v>
      </x:c>
      <x:c r="M180" t="str">
        <x:f>IF(AND(D180&gt;=2,K180&gt;=2,L180&gt;=75%),"YES","NO")</x:f>
        <x:v>NO</x:v>
      </x:c>
    </x:row>
    <x:row r="181">
      <x:c r="A181" t="str">
        <x:v>CFB</x:v>
      </x:c>
      <x:c r="B181" t="str">
        <x:v>Southern Jaguars</x:v>
      </x:c>
      <x:c r="C181" t="str">
        <x:v>SOU</x:v>
      </x:c>
      <x:c r="D181" t="n">
        <x:f>COUNTIFS(Games!$A$4:$A$1177,$A181,Games!$D$4:$D$1177,"post",Games!$G$4:$G$1177,$C181)+COUNTIFS(Games!$A$4:$A$1177,$A181,Games!$D$4:$D$1177,"post",Games!$L$4:$L$1177,$C181)</x:f>
        <x:v>1</x:v>
      </x:c>
      <x:c r="E181" t="n">
        <x:f>COUNTIFS(Games!$A$4:$A$1177,$A181,Games!$G$4:$G$1177,$C181,Games!$J$4:$J$1177,"W")+COUNTIFS(Games!$A$4:$A$1177,$A181,Games!$L$4:$L$1177,$C181,Games!$O$4:$O$1177,"W")</x:f>
        <x:v>0</x:v>
      </x:c>
      <x:c r="F181" t="n">
        <x:f>COUNTIFS(Games!$A$4:$A$1177,$A181,Games!$G$4:$G$1177,$C181,Games!$J$4:$J$1177,"L")+COUNTIFS(Games!$A$4:$A$1177,$A181,Games!$L$4:$L$1177,$C181,Games!$O$4:$O$1177,"L")</x:f>
        <x:v>1</x:v>
      </x:c>
      <x:c r="G181" t="n">
        <x:f>COUNTIFS(Games!$A$4:$A$1177,$A181,Games!$G$4:$G$1177,$C181,Games!$J$4:$J$1177,"T")+COUNTIFS(Games!$A$4:$A$1177,$A181,Games!$L$4:$L$1177,$C181,Games!$O$4:$O$1177,"T")</x:f>
        <x:v>0</x:v>
      </x:c>
      <x:c r="H181" t="n">
        <x:f>SUMIFS(Games!$H$4:$H$1177,Games!$A$4:$A$1177,$A181,Games!$D$4:$D$1177,"post",Games!$G$4:$G$1177,$C181)+SUMIFS(Games!$M$4:$M$1177,Games!$A$4:$A$1177,$A181,Games!$D$4:$D$1177,"post",Games!$L$4:$L$1177,$C181)</x:f>
        <x:v>6</x:v>
      </x:c>
      <x:c r="I181" t="n">
        <x:f>SUMIFS(Games!$M$4:$M$1177,Games!$A$4:$A$1177,$A181,Games!$D$4:$D$1177,"post",Games!$G$4:$G$1177,$C181)+SUMIFS(Games!$H$4:$H$1177,Games!$A$4:$A$1177,$A181,Games!$D$4:$D$1177,"post",Games!$L$4:$L$1177,$C181)</x:f>
        <x:v>77</x:v>
      </x:c>
      <x:c r="J181" t="str">
        <x:f>E181&amp;"-"&amp;F181&amp;IF(G181&gt;0,"-"&amp;G181,"")</x:f>
        <x:v>0-1</x:v>
      </x:c>
      <x:c r="K181" t="n">
        <x:f>COUNTIFS(Games!$A$4:$A$1177,$A181,Games!$D$4:$D$1177,"post",Games!$G$4:$G$1177,$C181,Games!$T$4:$T$1177,"&lt;&gt;")+COUNTIFS(Games!$A$4:$A$1177,$A181,Games!$D$4:$D$1177,"post",Games!$L$4:$L$1177,$C181,Games!$T$4:$T$1177,"&lt;&gt;")</x:f>
        <x:v>0</x:v>
      </x:c>
      <x:c r="L181" s="80" t="n">
        <x:f>IF(D181=0,0,K181/D181)</x:f>
        <x:v>0</x:v>
      </x:c>
      <x:c r="M181" t="str">
        <x:f>IF(AND(D181&gt;=2,K181&gt;=2,L181&gt;=75%),"YES","NO")</x:f>
        <x:v>NO</x:v>
      </x:c>
    </x:row>
    <x:row r="182">
      <x:c r="A182" t="str">
        <x:v>CFB</x:v>
      </x:c>
      <x:c r="B182" t="str">
        <x:v>Southern Miss Golden Eagles</x:v>
      </x:c>
      <x:c r="C182" t="str">
        <x:v>USM</x:v>
      </x:c>
      <x:c r="D182" t="n">
        <x:f>COUNTIFS(Games!$A$4:$A$1177,$A182,Games!$D$4:$D$1177,"post",Games!$G$4:$G$1177,$C182)+COUNTIFS(Games!$A$4:$A$1177,$A182,Games!$D$4:$D$1177,"post",Games!$L$4:$L$1177,$C182)</x:f>
        <x:v>3</x:v>
      </x:c>
      <x:c r="E182" t="n">
        <x:f>COUNTIFS(Games!$A$4:$A$1177,$A182,Games!$G$4:$G$1177,$C182,Games!$J$4:$J$1177,"W")+COUNTIFS(Games!$A$4:$A$1177,$A182,Games!$L$4:$L$1177,$C182,Games!$O$4:$O$1177,"W")</x:f>
        <x:v>1</x:v>
      </x:c>
      <x:c r="F182" t="n">
        <x:f>COUNTIFS(Games!$A$4:$A$1177,$A182,Games!$G$4:$G$1177,$C182,Games!$J$4:$J$1177,"L")+COUNTIFS(Games!$A$4:$A$1177,$A182,Games!$L$4:$L$1177,$C182,Games!$O$4:$O$1177,"L")</x:f>
        <x:v>2</x:v>
      </x:c>
      <x:c r="G182" t="n">
        <x:f>COUNTIFS(Games!$A$4:$A$1177,$A182,Games!$G$4:$G$1177,$C182,Games!$J$4:$J$1177,"T")+COUNTIFS(Games!$A$4:$A$1177,$A182,Games!$L$4:$L$1177,$C182,Games!$O$4:$O$1177,"T")</x:f>
        <x:v>0</x:v>
      </x:c>
      <x:c r="H182" t="n">
        <x:f>SUMIFS(Games!$H$4:$H$1177,Games!$A$4:$A$1177,$A182,Games!$D$4:$D$1177,"post",Games!$G$4:$G$1177,$C182)+SUMIFS(Games!$M$4:$M$1177,Games!$A$4:$A$1177,$A182,Games!$D$4:$D$1177,"post",Games!$L$4:$L$1177,$C182)</x:f>
        <x:v>77</x:v>
      </x:c>
      <x:c r="I182" t="n">
        <x:f>SUMIFS(Games!$M$4:$M$1177,Games!$A$4:$A$1177,$A182,Games!$D$4:$D$1177,"post",Games!$G$4:$G$1177,$C182)+SUMIFS(Games!$H$4:$H$1177,Games!$A$4:$A$1177,$A182,Games!$D$4:$D$1177,"post",Games!$L$4:$L$1177,$C182)</x:f>
        <x:v>94</x:v>
      </x:c>
      <x:c r="J182" t="str">
        <x:f>E182&amp;"-"&amp;F182&amp;IF(G182&gt;0,"-"&amp;G182,"")</x:f>
        <x:v>1-2</x:v>
      </x:c>
      <x:c r="K182" t="n">
        <x:f>COUNTIFS(Games!$A$4:$A$1177,$A182,Games!$D$4:$D$1177,"post",Games!$G$4:$G$1177,$C182,Games!$T$4:$T$1177,"&lt;&gt;")+COUNTIFS(Games!$A$4:$A$1177,$A182,Games!$D$4:$D$1177,"post",Games!$L$4:$L$1177,$C182,Games!$T$4:$T$1177,"&lt;&gt;")</x:f>
        <x:v>0</x:v>
      </x:c>
      <x:c r="L182" s="80" t="n">
        <x:f>IF(D182=0,0,K182/D182)</x:f>
        <x:v>0</x:v>
      </x:c>
      <x:c r="M182" t="str">
        <x:f>IF(AND(D182&gt;=2,K182&gt;=2,L182&gt;=75%),"YES","NO")</x:f>
        <x:v>NO</x:v>
      </x:c>
    </x:row>
    <x:row r="183">
      <x:c r="A183" t="str">
        <x:v>CFB</x:v>
      </x:c>
      <x:c r="B183" t="str">
        <x:v>Southern Utah Thunderbirds</x:v>
      </x:c>
      <x:c r="C183" t="str">
        <x:v>SUU</x:v>
      </x:c>
      <x:c r="D183" t="n">
        <x:f>COUNTIFS(Games!$A$4:$A$1177,$A183,Games!$D$4:$D$1177,"post",Games!$G$4:$G$1177,$C183)+COUNTIFS(Games!$A$4:$A$1177,$A183,Games!$D$4:$D$1177,"post",Games!$L$4:$L$1177,$C183)</x:f>
        <x:v>1</x:v>
      </x:c>
      <x:c r="E183" t="n">
        <x:f>COUNTIFS(Games!$A$4:$A$1177,$A183,Games!$G$4:$G$1177,$C183,Games!$J$4:$J$1177,"W")+COUNTIFS(Games!$A$4:$A$1177,$A183,Games!$L$4:$L$1177,$C183,Games!$O$4:$O$1177,"W")</x:f>
        <x:v>0</x:v>
      </x:c>
      <x:c r="F183" t="n">
        <x:f>COUNTIFS(Games!$A$4:$A$1177,$A183,Games!$G$4:$G$1177,$C183,Games!$J$4:$J$1177,"L")+COUNTIFS(Games!$A$4:$A$1177,$A183,Games!$L$4:$L$1177,$C183,Games!$O$4:$O$1177,"L")</x:f>
        <x:v>1</x:v>
      </x:c>
      <x:c r="G183" t="n">
        <x:f>COUNTIFS(Games!$A$4:$A$1177,$A183,Games!$G$4:$G$1177,$C183,Games!$J$4:$J$1177,"T")+COUNTIFS(Games!$A$4:$A$1177,$A183,Games!$L$4:$L$1177,$C183,Games!$O$4:$O$1177,"T")</x:f>
        <x:v>0</x:v>
      </x:c>
      <x:c r="H183" t="n">
        <x:f>SUMIFS(Games!$H$4:$H$1177,Games!$A$4:$A$1177,$A183,Games!$D$4:$D$1177,"post",Games!$G$4:$G$1177,$C183)+SUMIFS(Games!$M$4:$M$1177,Games!$A$4:$A$1177,$A183,Games!$D$4:$D$1177,"post",Games!$L$4:$L$1177,$C183)</x:f>
        <x:v>24</x:v>
      </x:c>
      <x:c r="I183" t="n">
        <x:f>SUMIFS(Games!$M$4:$M$1177,Games!$A$4:$A$1177,$A183,Games!$D$4:$D$1177,"post",Games!$G$4:$G$1177,$C183)+SUMIFS(Games!$H$4:$H$1177,Games!$A$4:$A$1177,$A183,Games!$D$4:$D$1177,"post",Games!$L$4:$L$1177,$C183)</x:f>
        <x:v>58</x:v>
      </x:c>
      <x:c r="J183" t="str">
        <x:f>E183&amp;"-"&amp;F183&amp;IF(G183&gt;0,"-"&amp;G183,"")</x:f>
        <x:v>0-1</x:v>
      </x:c>
      <x:c r="K183" t="n">
        <x:f>COUNTIFS(Games!$A$4:$A$1177,$A183,Games!$D$4:$D$1177,"post",Games!$G$4:$G$1177,$C183,Games!$T$4:$T$1177,"&lt;&gt;")+COUNTIFS(Games!$A$4:$A$1177,$A183,Games!$D$4:$D$1177,"post",Games!$L$4:$L$1177,$C183,Games!$T$4:$T$1177,"&lt;&gt;")</x:f>
        <x:v>0</x:v>
      </x:c>
      <x:c r="L183" s="80" t="n">
        <x:f>IF(D183=0,0,K183/D183)</x:f>
        <x:v>0</x:v>
      </x:c>
      <x:c r="M183" t="str">
        <x:f>IF(AND(D183&gt;=2,K183&gt;=2,L183&gt;=75%),"YES","NO")</x:f>
        <x:v>NO</x:v>
      </x:c>
    </x:row>
    <x:row r="184">
      <x:c r="A184" t="str">
        <x:v>CFB</x:v>
      </x:c>
      <x:c r="B184" t="str">
        <x:v>Stanford Cardinal</x:v>
      </x:c>
      <x:c r="C184" t="str">
        <x:v>STAN</x:v>
      </x:c>
      <x:c r="D184" t="n">
        <x:f>COUNTIFS(Games!$A$4:$A$1177,$A184,Games!$D$4:$D$1177,"post",Games!$G$4:$G$1177,$C184)+COUNTIFS(Games!$A$4:$A$1177,$A184,Games!$D$4:$D$1177,"post",Games!$L$4:$L$1177,$C184)</x:f>
        <x:v>3</x:v>
      </x:c>
      <x:c r="E184" t="n">
        <x:f>COUNTIFS(Games!$A$4:$A$1177,$A184,Games!$G$4:$G$1177,$C184,Games!$J$4:$J$1177,"W")+COUNTIFS(Games!$A$4:$A$1177,$A184,Games!$L$4:$L$1177,$C184,Games!$O$4:$O$1177,"W")</x:f>
        <x:v>1</x:v>
      </x:c>
      <x:c r="F184" t="n">
        <x:f>COUNTIFS(Games!$A$4:$A$1177,$A184,Games!$G$4:$G$1177,$C184,Games!$J$4:$J$1177,"L")+COUNTIFS(Games!$A$4:$A$1177,$A184,Games!$L$4:$L$1177,$C184,Games!$O$4:$O$1177,"L")</x:f>
        <x:v>2</x:v>
      </x:c>
      <x:c r="G184" t="n">
        <x:f>COUNTIFS(Games!$A$4:$A$1177,$A184,Games!$G$4:$G$1177,$C184,Games!$J$4:$J$1177,"T")+COUNTIFS(Games!$A$4:$A$1177,$A184,Games!$L$4:$L$1177,$C184,Games!$O$4:$O$1177,"T")</x:f>
        <x:v>0</x:v>
      </x:c>
      <x:c r="H184" t="n">
        <x:f>SUMIFS(Games!$H$4:$H$1177,Games!$A$4:$A$1177,$A184,Games!$D$4:$D$1177,"post",Games!$G$4:$G$1177,$C184)+SUMIFS(Games!$M$4:$M$1177,Games!$A$4:$A$1177,$A184,Games!$D$4:$D$1177,"post",Games!$L$4:$L$1177,$C184)</x:f>
        <x:v>50</x:v>
      </x:c>
      <x:c r="I184" t="n">
        <x:f>SUMIFS(Games!$M$4:$M$1177,Games!$A$4:$A$1177,$A184,Games!$D$4:$D$1177,"post",Games!$G$4:$G$1177,$C184)+SUMIFS(Games!$H$4:$H$1177,Games!$A$4:$A$1177,$A184,Games!$D$4:$D$1177,"post",Games!$L$4:$L$1177,$C184)</x:f>
        <x:v>107</x:v>
      </x:c>
      <x:c r="J184" t="str">
        <x:f>E184&amp;"-"&amp;F184&amp;IF(G184&gt;0,"-"&amp;G184,"")</x:f>
        <x:v>1-2</x:v>
      </x:c>
      <x:c r="K184" t="n">
        <x:f>COUNTIFS(Games!$A$4:$A$1177,$A184,Games!$D$4:$D$1177,"post",Games!$G$4:$G$1177,$C184,Games!$T$4:$T$1177,"&lt;&gt;")+COUNTIFS(Games!$A$4:$A$1177,$A184,Games!$D$4:$D$1177,"post",Games!$L$4:$L$1177,$C184,Games!$T$4:$T$1177,"&lt;&gt;")</x:f>
        <x:v>0</x:v>
      </x:c>
      <x:c r="L184" s="80" t="n">
        <x:f>IF(D184=0,0,K184/D184)</x:f>
        <x:v>0</x:v>
      </x:c>
      <x:c r="M184" t="str">
        <x:f>IF(AND(D184&gt;=2,K184&gt;=2,L184&gt;=75%),"YES","NO")</x:f>
        <x:v>NO</x:v>
      </x:c>
    </x:row>
    <x:row r="185">
      <x:c r="A185" t="str">
        <x:v>CFB</x:v>
      </x:c>
      <x:c r="B185" t="str">
        <x:v>Stonehill Skyhawks</x:v>
      </x:c>
      <x:c r="C185" t="str">
        <x:v>STO</x:v>
      </x:c>
      <x:c r="D185" t="n">
        <x:f>COUNTIFS(Games!$A$4:$A$1177,$A185,Games!$D$4:$D$1177,"post",Games!$G$4:$G$1177,$C185)+COUNTIFS(Games!$A$4:$A$1177,$A185,Games!$D$4:$D$1177,"post",Games!$L$4:$L$1177,$C185)</x:f>
        <x:v>1</x:v>
      </x:c>
      <x:c r="E185" t="n">
        <x:f>COUNTIFS(Games!$A$4:$A$1177,$A185,Games!$G$4:$G$1177,$C185,Games!$J$4:$J$1177,"W")+COUNTIFS(Games!$A$4:$A$1177,$A185,Games!$L$4:$L$1177,$C185,Games!$O$4:$O$1177,"W")</x:f>
        <x:v>0</x:v>
      </x:c>
      <x:c r="F185" t="n">
        <x:f>COUNTIFS(Games!$A$4:$A$1177,$A185,Games!$G$4:$G$1177,$C185,Games!$J$4:$J$1177,"L")+COUNTIFS(Games!$A$4:$A$1177,$A185,Games!$L$4:$L$1177,$C185,Games!$O$4:$O$1177,"L")</x:f>
        <x:v>1</x:v>
      </x:c>
      <x:c r="G185" t="n">
        <x:f>COUNTIFS(Games!$A$4:$A$1177,$A185,Games!$G$4:$G$1177,$C185,Games!$J$4:$J$1177,"T")+COUNTIFS(Games!$A$4:$A$1177,$A185,Games!$L$4:$L$1177,$C185,Games!$O$4:$O$1177,"T")</x:f>
        <x:v>0</x:v>
      </x:c>
      <x:c r="H185" t="n">
        <x:f>SUMIFS(Games!$H$4:$H$1177,Games!$A$4:$A$1177,$A185,Games!$D$4:$D$1177,"post",Games!$G$4:$G$1177,$C185)+SUMIFS(Games!$M$4:$M$1177,Games!$A$4:$A$1177,$A185,Games!$D$4:$D$1177,"post",Games!$L$4:$L$1177,$C185)</x:f>
        <x:v>14</x:v>
      </x:c>
      <x:c r="I185" t="n">
        <x:f>SUMIFS(Games!$M$4:$M$1177,Games!$A$4:$A$1177,$A185,Games!$D$4:$D$1177,"post",Games!$G$4:$G$1177,$C185)+SUMIFS(Games!$H$4:$H$1177,Games!$A$4:$A$1177,$A185,Games!$D$4:$D$1177,"post",Games!$L$4:$L$1177,$C185)</x:f>
        <x:v>36</x:v>
      </x:c>
      <x:c r="J185" t="str">
        <x:f>E185&amp;"-"&amp;F185&amp;IF(G185&gt;0,"-"&amp;G185,"")</x:f>
        <x:v>0-1</x:v>
      </x:c>
      <x:c r="K185" t="n">
        <x:f>COUNTIFS(Games!$A$4:$A$1177,$A185,Games!$D$4:$D$1177,"post",Games!$G$4:$G$1177,$C185,Games!$T$4:$T$1177,"&lt;&gt;")+COUNTIFS(Games!$A$4:$A$1177,$A185,Games!$D$4:$D$1177,"post",Games!$L$4:$L$1177,$C185,Games!$T$4:$T$1177,"&lt;&gt;")</x:f>
        <x:v>0</x:v>
      </x:c>
      <x:c r="L185" s="80" t="n">
        <x:f>IF(D185=0,0,K185/D185)</x:f>
        <x:v>0</x:v>
      </x:c>
      <x:c r="M185" t="str">
        <x:f>IF(AND(D185&gt;=2,K185&gt;=2,L185&gt;=75%),"YES","NO")</x:f>
        <x:v>NO</x:v>
      </x:c>
    </x:row>
    <x:row r="186">
      <x:c r="A186" t="str">
        <x:v>CFB</x:v>
      </x:c>
      <x:c r="B186" t="str">
        <x:v>Stony Brook Seawolves</x:v>
      </x:c>
      <x:c r="C186" t="str">
        <x:v>STBK</x:v>
      </x:c>
      <x:c r="D186" t="n">
        <x:f>COUNTIFS(Games!$A$4:$A$1177,$A186,Games!$D$4:$D$1177,"post",Games!$G$4:$G$1177,$C186)+COUNTIFS(Games!$A$4:$A$1177,$A186,Games!$D$4:$D$1177,"post",Games!$L$4:$L$1177,$C186)</x:f>
        <x:v>1</x:v>
      </x:c>
      <x:c r="E186" t="n">
        <x:f>COUNTIFS(Games!$A$4:$A$1177,$A186,Games!$G$4:$G$1177,$C186,Games!$J$4:$J$1177,"W")+COUNTIFS(Games!$A$4:$A$1177,$A186,Games!$L$4:$L$1177,$C186,Games!$O$4:$O$1177,"W")</x:f>
        <x:v>0</x:v>
      </x:c>
      <x:c r="F186" t="n">
        <x:f>COUNTIFS(Games!$A$4:$A$1177,$A186,Games!$G$4:$G$1177,$C186,Games!$J$4:$J$1177,"L")+COUNTIFS(Games!$A$4:$A$1177,$A186,Games!$L$4:$L$1177,$C186,Games!$O$4:$O$1177,"L")</x:f>
        <x:v>1</x:v>
      </x:c>
      <x:c r="G186" t="n">
        <x:f>COUNTIFS(Games!$A$4:$A$1177,$A186,Games!$G$4:$G$1177,$C186,Games!$J$4:$J$1177,"T")+COUNTIFS(Games!$A$4:$A$1177,$A186,Games!$L$4:$L$1177,$C186,Games!$O$4:$O$1177,"T")</x:f>
        <x:v>0</x:v>
      </x:c>
      <x:c r="H186" t="n">
        <x:f>SUMIFS(Games!$H$4:$H$1177,Games!$A$4:$A$1177,$A186,Games!$D$4:$D$1177,"post",Games!$G$4:$G$1177,$C186)+SUMIFS(Games!$M$4:$M$1177,Games!$A$4:$A$1177,$A186,Games!$D$4:$D$1177,"post",Games!$L$4:$L$1177,$C186)</x:f>
        <x:v>17</x:v>
      </x:c>
      <x:c r="I186" t="n">
        <x:f>SUMIFS(Games!$M$4:$M$1177,Games!$A$4:$A$1177,$A186,Games!$D$4:$D$1177,"post",Games!$G$4:$G$1177,$C186)+SUMIFS(Games!$H$4:$H$1177,Games!$A$4:$A$1177,$A186,Games!$D$4:$D$1177,"post",Games!$L$4:$L$1177,$C186)</x:f>
        <x:v>41</x:v>
      </x:c>
      <x:c r="J186" t="str">
        <x:f>E186&amp;"-"&amp;F186&amp;IF(G186&gt;0,"-"&amp;G186,"")</x:f>
        <x:v>0-1</x:v>
      </x:c>
      <x:c r="K186" t="n">
        <x:f>COUNTIFS(Games!$A$4:$A$1177,$A186,Games!$D$4:$D$1177,"post",Games!$G$4:$G$1177,$C186,Games!$T$4:$T$1177,"&lt;&gt;")+COUNTIFS(Games!$A$4:$A$1177,$A186,Games!$D$4:$D$1177,"post",Games!$L$4:$L$1177,$C186,Games!$T$4:$T$1177,"&lt;&gt;")</x:f>
        <x:v>0</x:v>
      </x:c>
      <x:c r="L186" s="80" t="n">
        <x:f>IF(D186=0,0,K186/D186)</x:f>
        <x:v>0</x:v>
      </x:c>
      <x:c r="M186" t="str">
        <x:f>IF(AND(D186&gt;=2,K186&gt;=2,L186&gt;=75%),"YES","NO")</x:f>
        <x:v>NO</x:v>
      </x:c>
    </x:row>
    <x:row r="187">
      <x:c r="A187" t="str">
        <x:v>CFB</x:v>
      </x:c>
      <x:c r="B187" t="str">
        <x:v>Syracuse Orange</x:v>
      </x:c>
      <x:c r="C187" t="str">
        <x:v>SYR</x:v>
      </x:c>
      <x:c r="D187" t="n">
        <x:f>COUNTIFS(Games!$A$4:$A$1177,$A187,Games!$D$4:$D$1177,"post",Games!$G$4:$G$1177,$C187)+COUNTIFS(Games!$A$4:$A$1177,$A187,Games!$D$4:$D$1177,"post",Games!$L$4:$L$1177,$C187)</x:f>
        <x:v>3</x:v>
      </x:c>
      <x:c r="E187" t="n">
        <x:f>COUNTIFS(Games!$A$4:$A$1177,$A187,Games!$G$4:$G$1177,$C187,Games!$J$4:$J$1177,"W")+COUNTIFS(Games!$A$4:$A$1177,$A187,Games!$L$4:$L$1177,$C187,Games!$O$4:$O$1177,"W")</x:f>
        <x:v>1</x:v>
      </x:c>
      <x:c r="F187" t="n">
        <x:f>COUNTIFS(Games!$A$4:$A$1177,$A187,Games!$G$4:$G$1177,$C187,Games!$J$4:$J$1177,"L")+COUNTIFS(Games!$A$4:$A$1177,$A187,Games!$L$4:$L$1177,$C187,Games!$O$4:$O$1177,"L")</x:f>
        <x:v>2</x:v>
      </x:c>
      <x:c r="G187" t="n">
        <x:f>COUNTIFS(Games!$A$4:$A$1177,$A187,Games!$G$4:$G$1177,$C187,Games!$J$4:$J$1177,"T")+COUNTIFS(Games!$A$4:$A$1177,$A187,Games!$L$4:$L$1177,$C187,Games!$O$4:$O$1177,"T")</x:f>
        <x:v>0</x:v>
      </x:c>
      <x:c r="H187" t="n">
        <x:f>SUMIFS(Games!$H$4:$H$1177,Games!$A$4:$A$1177,$A187,Games!$D$4:$D$1177,"post",Games!$G$4:$G$1177,$C187)+SUMIFS(Games!$M$4:$M$1177,Games!$A$4:$A$1177,$A187,Games!$D$4:$D$1177,"post",Games!$L$4:$L$1177,$C187)</x:f>
        <x:v>97</x:v>
      </x:c>
      <x:c r="I187" t="n">
        <x:f>SUMIFS(Games!$M$4:$M$1177,Games!$A$4:$A$1177,$A187,Games!$D$4:$D$1177,"post",Games!$G$4:$G$1177,$C187)+SUMIFS(Games!$H$4:$H$1177,Games!$A$4:$A$1177,$A187,Games!$D$4:$D$1177,"post",Games!$L$4:$L$1177,$C187)</x:f>
        <x:v>51</x:v>
      </x:c>
      <x:c r="J187" t="str">
        <x:f>E187&amp;"-"&amp;F187&amp;IF(G187&gt;0,"-"&amp;G187,"")</x:f>
        <x:v>1-2</x:v>
      </x:c>
      <x:c r="K187" t="n">
        <x:f>COUNTIFS(Games!$A$4:$A$1177,$A187,Games!$D$4:$D$1177,"post",Games!$G$4:$G$1177,$C187,Games!$T$4:$T$1177,"&lt;&gt;")+COUNTIFS(Games!$A$4:$A$1177,$A187,Games!$D$4:$D$1177,"post",Games!$L$4:$L$1177,$C187,Games!$T$4:$T$1177,"&lt;&gt;")</x:f>
        <x:v>0</x:v>
      </x:c>
      <x:c r="L187" s="80" t="n">
        <x:f>IF(D187=0,0,K187/D187)</x:f>
        <x:v>0</x:v>
      </x:c>
      <x:c r="M187" t="str">
        <x:f>IF(AND(D187&gt;=2,K187&gt;=2,L187&gt;=75%),"YES","NO")</x:f>
        <x:v>NO</x:v>
      </x:c>
    </x:row>
    <x:row r="188">
      <x:c r="A188" t="str">
        <x:v>CFB</x:v>
      </x:c>
      <x:c r="B188" t="str">
        <x:v>Tarleton State Texans</x:v>
      </x:c>
      <x:c r="C188" t="str">
        <x:v>TAR</x:v>
      </x:c>
      <x:c r="D188" t="n">
        <x:f>COUNTIFS(Games!$A$4:$A$1177,$A188,Games!$D$4:$D$1177,"post",Games!$G$4:$G$1177,$C188)+COUNTIFS(Games!$A$4:$A$1177,$A188,Games!$D$4:$D$1177,"post",Games!$L$4:$L$1177,$C188)</x:f>
        <x:v>1</x:v>
      </x:c>
      <x:c r="E188" t="n">
        <x:f>COUNTIFS(Games!$A$4:$A$1177,$A188,Games!$G$4:$G$1177,$C188,Games!$J$4:$J$1177,"W")+COUNTIFS(Games!$A$4:$A$1177,$A188,Games!$L$4:$L$1177,$C188,Games!$O$4:$O$1177,"W")</x:f>
        <x:v>1</x:v>
      </x:c>
      <x:c r="F188" t="n">
        <x:f>COUNTIFS(Games!$A$4:$A$1177,$A188,Games!$G$4:$G$1177,$C188,Games!$J$4:$J$1177,"L")+COUNTIFS(Games!$A$4:$A$1177,$A188,Games!$L$4:$L$1177,$C188,Games!$O$4:$O$1177,"L")</x:f>
        <x:v>0</x:v>
      </x:c>
      <x:c r="G188" t="n">
        <x:f>COUNTIFS(Games!$A$4:$A$1177,$A188,Games!$G$4:$G$1177,$C188,Games!$J$4:$J$1177,"T")+COUNTIFS(Games!$A$4:$A$1177,$A188,Games!$L$4:$L$1177,$C188,Games!$O$4:$O$1177,"T")</x:f>
        <x:v>0</x:v>
      </x:c>
      <x:c r="H188" t="n">
        <x:f>SUMIFS(Games!$H$4:$H$1177,Games!$A$4:$A$1177,$A188,Games!$D$4:$D$1177,"post",Games!$G$4:$G$1177,$C188)+SUMIFS(Games!$M$4:$M$1177,Games!$A$4:$A$1177,$A188,Games!$D$4:$D$1177,"post",Games!$L$4:$L$1177,$C188)</x:f>
        <x:v>20</x:v>
      </x:c>
      <x:c r="I188" t="n">
        <x:f>SUMIFS(Games!$M$4:$M$1177,Games!$A$4:$A$1177,$A188,Games!$D$4:$D$1177,"post",Games!$G$4:$G$1177,$C188)+SUMIFS(Games!$H$4:$H$1177,Games!$A$4:$A$1177,$A188,Games!$D$4:$D$1177,"post",Games!$L$4:$L$1177,$C188)</x:f>
        <x:v>13</x:v>
      </x:c>
      <x:c r="J188" t="str">
        <x:f>E188&amp;"-"&amp;F188&amp;IF(G188&gt;0,"-"&amp;G188,"")</x:f>
        <x:v>1-0</x:v>
      </x:c>
      <x:c r="K188" t="n">
        <x:f>COUNTIFS(Games!$A$4:$A$1177,$A188,Games!$D$4:$D$1177,"post",Games!$G$4:$G$1177,$C188,Games!$T$4:$T$1177,"&lt;&gt;")+COUNTIFS(Games!$A$4:$A$1177,$A188,Games!$D$4:$D$1177,"post",Games!$L$4:$L$1177,$C188,Games!$T$4:$T$1177,"&lt;&gt;")</x:f>
        <x:v>0</x:v>
      </x:c>
      <x:c r="L188" s="80" t="n">
        <x:f>IF(D188=0,0,K188/D188)</x:f>
        <x:v>0</x:v>
      </x:c>
      <x:c r="M188" t="str">
        <x:f>IF(AND(D188&gt;=2,K188&gt;=2,L188&gt;=75%),"YES","NO")</x:f>
        <x:v>NO</x:v>
      </x:c>
    </x:row>
    <x:row r="189">
      <x:c r="A189" t="str">
        <x:v>CFB</x:v>
      </x:c>
      <x:c r="B189" t="str">
        <x:v>TBD</x:v>
      </x:c>
      <x:c r="C189" t="str">
        <x:v>TBD</x:v>
      </x:c>
      <x:c r="D189" t="n">
        <x:f>COUNTIFS(Games!$A$4:$A$1177,$A189,Games!$D$4:$D$1177,"post",Games!$G$4:$G$1177,$C189)+COUNTIFS(Games!$A$4:$A$1177,$A189,Games!$D$4:$D$1177,"post",Games!$L$4:$L$1177,$C189)</x:f>
        <x:v>0</x:v>
      </x:c>
      <x:c r="E189" t="n">
        <x:f>COUNTIFS(Games!$A$4:$A$1177,$A189,Games!$G$4:$G$1177,$C189,Games!$J$4:$J$1177,"W")+COUNTIFS(Games!$A$4:$A$1177,$A189,Games!$L$4:$L$1177,$C189,Games!$O$4:$O$1177,"W")</x:f>
        <x:v>0</x:v>
      </x:c>
      <x:c r="F189" t="n">
        <x:f>COUNTIFS(Games!$A$4:$A$1177,$A189,Games!$G$4:$G$1177,$C189,Games!$J$4:$J$1177,"L")+COUNTIFS(Games!$A$4:$A$1177,$A189,Games!$L$4:$L$1177,$C189,Games!$O$4:$O$1177,"L")</x:f>
        <x:v>0</x:v>
      </x:c>
      <x:c r="G189" t="n">
        <x:f>COUNTIFS(Games!$A$4:$A$1177,$A189,Games!$G$4:$G$1177,$C189,Games!$J$4:$J$1177,"T")+COUNTIFS(Games!$A$4:$A$1177,$A189,Games!$L$4:$L$1177,$C189,Games!$O$4:$O$1177,"T")</x:f>
        <x:v>0</x:v>
      </x:c>
      <x:c r="H189" t="n">
        <x:f>SUMIFS(Games!$H$4:$H$1177,Games!$A$4:$A$1177,$A189,Games!$D$4:$D$1177,"post",Games!$G$4:$G$1177,$C189)+SUMIFS(Games!$M$4:$M$1177,Games!$A$4:$A$1177,$A189,Games!$D$4:$D$1177,"post",Games!$L$4:$L$1177,$C189)</x:f>
        <x:v>0</x:v>
      </x:c>
      <x:c r="I189" t="n">
        <x:f>SUMIFS(Games!$M$4:$M$1177,Games!$A$4:$A$1177,$A189,Games!$D$4:$D$1177,"post",Games!$G$4:$G$1177,$C189)+SUMIFS(Games!$H$4:$H$1177,Games!$A$4:$A$1177,$A189,Games!$D$4:$D$1177,"post",Games!$L$4:$L$1177,$C189)</x:f>
        <x:v>0</x:v>
      </x:c>
      <x:c r="J189" t="str">
        <x:f>E189&amp;"-"&amp;F189&amp;IF(G189&gt;0,"-"&amp;G189,"")</x:f>
        <x:v>0-0</x:v>
      </x:c>
      <x:c r="K189" t="n">
        <x:f>COUNTIFS(Games!$A$4:$A$1177,$A189,Games!$D$4:$D$1177,"post",Games!$G$4:$G$1177,$C189,Games!$T$4:$T$1177,"&lt;&gt;")+COUNTIFS(Games!$A$4:$A$1177,$A189,Games!$D$4:$D$1177,"post",Games!$L$4:$L$1177,$C189,Games!$T$4:$T$1177,"&lt;&gt;")</x:f>
        <x:v>0</x:v>
      </x:c>
      <x:c r="L189" s="80" t="n">
        <x:f>IF(D189=0,0,K189/D189)</x:f>
        <x:v>0</x:v>
      </x:c>
      <x:c r="M189" t="str">
        <x:f>IF(AND(D189&gt;=2,K189&gt;=2,L189&gt;=75%),"YES","NO")</x:f>
        <x:v>NO</x:v>
      </x:c>
    </x:row>
    <x:row r="190">
      <x:c r="A190" t="str">
        <x:v>CFB</x:v>
      </x:c>
      <x:c r="B190" t="str">
        <x:v>TBD</x:v>
      </x:c>
      <x:c r="C190" t="str">
        <x:v>TBD</x:v>
      </x:c>
      <x:c r="D190" t="n">
        <x:f>COUNTIFS(Games!$A$4:$A$1177,$A190,Games!$D$4:$D$1177,"post",Games!$G$4:$G$1177,$C190)+COUNTIFS(Games!$A$4:$A$1177,$A190,Games!$D$4:$D$1177,"post",Games!$L$4:$L$1177,$C190)</x:f>
        <x:v>0</x:v>
      </x:c>
      <x:c r="E190" t="n">
        <x:f>COUNTIFS(Games!$A$4:$A$1177,$A190,Games!$G$4:$G$1177,$C190,Games!$J$4:$J$1177,"W")+COUNTIFS(Games!$A$4:$A$1177,$A190,Games!$L$4:$L$1177,$C190,Games!$O$4:$O$1177,"W")</x:f>
        <x:v>0</x:v>
      </x:c>
      <x:c r="F190" t="n">
        <x:f>COUNTIFS(Games!$A$4:$A$1177,$A190,Games!$G$4:$G$1177,$C190,Games!$J$4:$J$1177,"L")+COUNTIFS(Games!$A$4:$A$1177,$A190,Games!$L$4:$L$1177,$C190,Games!$O$4:$O$1177,"L")</x:f>
        <x:v>0</x:v>
      </x:c>
      <x:c r="G190" t="n">
        <x:f>COUNTIFS(Games!$A$4:$A$1177,$A190,Games!$G$4:$G$1177,$C190,Games!$J$4:$J$1177,"T")+COUNTIFS(Games!$A$4:$A$1177,$A190,Games!$L$4:$L$1177,$C190,Games!$O$4:$O$1177,"T")</x:f>
        <x:v>0</x:v>
      </x:c>
      <x:c r="H190" t="n">
        <x:f>SUMIFS(Games!$H$4:$H$1177,Games!$A$4:$A$1177,$A190,Games!$D$4:$D$1177,"post",Games!$G$4:$G$1177,$C190)+SUMIFS(Games!$M$4:$M$1177,Games!$A$4:$A$1177,$A190,Games!$D$4:$D$1177,"post",Games!$L$4:$L$1177,$C190)</x:f>
        <x:v>0</x:v>
      </x:c>
      <x:c r="I190" t="n">
        <x:f>SUMIFS(Games!$M$4:$M$1177,Games!$A$4:$A$1177,$A190,Games!$D$4:$D$1177,"post",Games!$G$4:$G$1177,$C190)+SUMIFS(Games!$H$4:$H$1177,Games!$A$4:$A$1177,$A190,Games!$D$4:$D$1177,"post",Games!$L$4:$L$1177,$C190)</x:f>
        <x:v>0</x:v>
      </x:c>
      <x:c r="J190" t="str">
        <x:f>E190&amp;"-"&amp;F190&amp;IF(G190&gt;0,"-"&amp;G190,"")</x:f>
        <x:v>0-0</x:v>
      </x:c>
      <x:c r="K190" t="n">
        <x:f>COUNTIFS(Games!$A$4:$A$1177,$A190,Games!$D$4:$D$1177,"post",Games!$G$4:$G$1177,$C190,Games!$T$4:$T$1177,"&lt;&gt;")+COUNTIFS(Games!$A$4:$A$1177,$A190,Games!$D$4:$D$1177,"post",Games!$L$4:$L$1177,$C190,Games!$T$4:$T$1177,"&lt;&gt;")</x:f>
        <x:v>0</x:v>
      </x:c>
      <x:c r="L190" s="80" t="n">
        <x:f>IF(D190=0,0,K190/D190)</x:f>
        <x:v>0</x:v>
      </x:c>
      <x:c r="M190" t="str">
        <x:f>IF(AND(D190&gt;=2,K190&gt;=2,L190&gt;=75%),"YES","NO")</x:f>
        <x:v>NO</x:v>
      </x:c>
    </x:row>
    <x:row r="191">
      <x:c r="A191" t="str">
        <x:v>CFB</x:v>
      </x:c>
      <x:c r="B191" t="str">
        <x:v>TCU Horned Frogs</x:v>
      </x:c>
      <x:c r="C191" t="str">
        <x:v>TCU</x:v>
      </x:c>
      <x:c r="D191" t="n">
        <x:f>COUNTIFS(Games!$A$4:$A$1177,$A191,Games!$D$4:$D$1177,"post",Games!$G$4:$G$1177,$C191)+COUNTIFS(Games!$A$4:$A$1177,$A191,Games!$D$4:$D$1177,"post",Games!$L$4:$L$1177,$C191)</x:f>
        <x:v>3</x:v>
      </x:c>
      <x:c r="E191" t="n">
        <x:f>COUNTIFS(Games!$A$4:$A$1177,$A191,Games!$G$4:$G$1177,$C191,Games!$J$4:$J$1177,"W")+COUNTIFS(Games!$A$4:$A$1177,$A191,Games!$L$4:$L$1177,$C191,Games!$O$4:$O$1177,"W")</x:f>
        <x:v>2</x:v>
      </x:c>
      <x:c r="F191" t="n">
        <x:f>COUNTIFS(Games!$A$4:$A$1177,$A191,Games!$G$4:$G$1177,$C191,Games!$J$4:$J$1177,"L")+COUNTIFS(Games!$A$4:$A$1177,$A191,Games!$L$4:$L$1177,$C191,Games!$O$4:$O$1177,"L")</x:f>
        <x:v>1</x:v>
      </x:c>
      <x:c r="G191" t="n">
        <x:f>COUNTIFS(Games!$A$4:$A$1177,$A191,Games!$G$4:$G$1177,$C191,Games!$J$4:$J$1177,"T")+COUNTIFS(Games!$A$4:$A$1177,$A191,Games!$L$4:$L$1177,$C191,Games!$O$4:$O$1177,"T")</x:f>
        <x:v>0</x:v>
      </x:c>
      <x:c r="H191" t="n">
        <x:f>SUMIFS(Games!$H$4:$H$1177,Games!$A$4:$A$1177,$A191,Games!$D$4:$D$1177,"post",Games!$G$4:$G$1177,$C191)+SUMIFS(Games!$M$4:$M$1177,Games!$A$4:$A$1177,$A191,Games!$D$4:$D$1177,"post",Games!$L$4:$L$1177,$C191)</x:f>
        <x:v>104</x:v>
      </x:c>
      <x:c r="I191" t="n">
        <x:f>SUMIFS(Games!$M$4:$M$1177,Games!$A$4:$A$1177,$A191,Games!$D$4:$D$1177,"post",Games!$G$4:$G$1177,$C191)+SUMIFS(Games!$H$4:$H$1177,Games!$A$4:$A$1177,$A191,Games!$D$4:$D$1177,"post",Games!$L$4:$L$1177,$C191)</x:f>
        <x:v>29</x:v>
      </x:c>
      <x:c r="J191" t="str">
        <x:f>E191&amp;"-"&amp;F191&amp;IF(G191&gt;0,"-"&amp;G191,"")</x:f>
        <x:v>2-1</x:v>
      </x:c>
      <x:c r="K191" t="n">
        <x:f>COUNTIFS(Games!$A$4:$A$1177,$A191,Games!$D$4:$D$1177,"post",Games!$G$4:$G$1177,$C191,Games!$T$4:$T$1177,"&lt;&gt;")+COUNTIFS(Games!$A$4:$A$1177,$A191,Games!$D$4:$D$1177,"post",Games!$L$4:$L$1177,$C191,Games!$T$4:$T$1177,"&lt;&gt;")</x:f>
        <x:v>0</x:v>
      </x:c>
      <x:c r="L191" s="80" t="n">
        <x:f>IF(D191=0,0,K191/D191)</x:f>
        <x:v>0</x:v>
      </x:c>
      <x:c r="M191" t="str">
        <x:f>IF(AND(D191&gt;=2,K191&gt;=2,L191&gt;=75%),"YES","NO")</x:f>
        <x:v>NO</x:v>
      </x:c>
    </x:row>
    <x:row r="192">
      <x:c r="A192" t="str">
        <x:v>CFB</x:v>
      </x:c>
      <x:c r="B192" t="str">
        <x:v>Temple Owls</x:v>
      </x:c>
      <x:c r="C192" t="str">
        <x:v>TEM</x:v>
      </x:c>
      <x:c r="D192" t="n">
        <x:f>COUNTIFS(Games!$A$4:$A$1177,$A192,Games!$D$4:$D$1177,"post",Games!$G$4:$G$1177,$C192)+COUNTIFS(Games!$A$4:$A$1177,$A192,Games!$D$4:$D$1177,"post",Games!$L$4:$L$1177,$C192)</x:f>
        <x:v>3</x:v>
      </x:c>
      <x:c r="E192" t="n">
        <x:f>COUNTIFS(Games!$A$4:$A$1177,$A192,Games!$G$4:$G$1177,$C192,Games!$J$4:$J$1177,"W")+COUNTIFS(Games!$A$4:$A$1177,$A192,Games!$L$4:$L$1177,$C192,Games!$O$4:$O$1177,"W")</x:f>
        <x:v>1</x:v>
      </x:c>
      <x:c r="F192" t="n">
        <x:f>COUNTIFS(Games!$A$4:$A$1177,$A192,Games!$G$4:$G$1177,$C192,Games!$J$4:$J$1177,"L")+COUNTIFS(Games!$A$4:$A$1177,$A192,Games!$L$4:$L$1177,$C192,Games!$O$4:$O$1177,"L")</x:f>
        <x:v>2</x:v>
      </x:c>
      <x:c r="G192" t="n">
        <x:f>COUNTIFS(Games!$A$4:$A$1177,$A192,Games!$G$4:$G$1177,$C192,Games!$J$4:$J$1177,"T")+COUNTIFS(Games!$A$4:$A$1177,$A192,Games!$L$4:$L$1177,$C192,Games!$O$4:$O$1177,"T")</x:f>
        <x:v>0</x:v>
      </x:c>
      <x:c r="H192" t="n">
        <x:f>SUMIFS(Games!$H$4:$H$1177,Games!$A$4:$A$1177,$A192,Games!$D$4:$D$1177,"post",Games!$G$4:$G$1177,$C192)+SUMIFS(Games!$M$4:$M$1177,Games!$A$4:$A$1177,$A192,Games!$D$4:$D$1177,"post",Games!$L$4:$L$1177,$C192)</x:f>
        <x:v>95</x:v>
      </x:c>
      <x:c r="I192" t="n">
        <x:f>SUMIFS(Games!$M$4:$M$1177,Games!$A$4:$A$1177,$A192,Games!$D$4:$D$1177,"post",Games!$G$4:$G$1177,$C192)+SUMIFS(Games!$H$4:$H$1177,Games!$A$4:$A$1177,$A192,Games!$D$4:$D$1177,"post",Games!$L$4:$L$1177,$C192)</x:f>
        <x:v>90</x:v>
      </x:c>
      <x:c r="J192" t="str">
        <x:f>E192&amp;"-"&amp;F192&amp;IF(G192&gt;0,"-"&amp;G192,"")</x:f>
        <x:v>1-2</x:v>
      </x:c>
      <x:c r="K192" t="n">
        <x:f>COUNTIFS(Games!$A$4:$A$1177,$A192,Games!$D$4:$D$1177,"post",Games!$G$4:$G$1177,$C192,Games!$T$4:$T$1177,"&lt;&gt;")+COUNTIFS(Games!$A$4:$A$1177,$A192,Games!$D$4:$D$1177,"post",Games!$L$4:$L$1177,$C192,Games!$T$4:$T$1177,"&lt;&gt;")</x:f>
        <x:v>0</x:v>
      </x:c>
      <x:c r="L192" s="80" t="n">
        <x:f>IF(D192=0,0,K192/D192)</x:f>
        <x:v>0</x:v>
      </x:c>
      <x:c r="M192" t="str">
        <x:f>IF(AND(D192&gt;=2,K192&gt;=2,L192&gt;=75%),"YES","NO")</x:f>
        <x:v>NO</x:v>
      </x:c>
    </x:row>
    <x:row r="193">
      <x:c r="A193" t="str">
        <x:v>CFB</x:v>
      </x:c>
      <x:c r="B193" t="str">
        <x:v>Tennessee State Tigers</x:v>
      </x:c>
      <x:c r="C193" t="str">
        <x:v>TNST</x:v>
      </x:c>
      <x:c r="D193" t="n">
        <x:f>COUNTIFS(Games!$A$4:$A$1177,$A193,Games!$D$4:$D$1177,"post",Games!$G$4:$G$1177,$C193)+COUNTIFS(Games!$A$4:$A$1177,$A193,Games!$D$4:$D$1177,"post",Games!$L$4:$L$1177,$C193)</x:f>
        <x:v>1</x:v>
      </x:c>
      <x:c r="E193" t="n">
        <x:f>COUNTIFS(Games!$A$4:$A$1177,$A193,Games!$G$4:$G$1177,$C193,Games!$J$4:$J$1177,"W")+COUNTIFS(Games!$A$4:$A$1177,$A193,Games!$L$4:$L$1177,$C193,Games!$O$4:$O$1177,"W")</x:f>
        <x:v>0</x:v>
      </x:c>
      <x:c r="F193" t="n">
        <x:f>COUNTIFS(Games!$A$4:$A$1177,$A193,Games!$G$4:$G$1177,$C193,Games!$J$4:$J$1177,"L")+COUNTIFS(Games!$A$4:$A$1177,$A193,Games!$L$4:$L$1177,$C193,Games!$O$4:$O$1177,"L")</x:f>
        <x:v>1</x:v>
      </x:c>
      <x:c r="G193" t="n">
        <x:f>COUNTIFS(Games!$A$4:$A$1177,$A193,Games!$G$4:$G$1177,$C193,Games!$J$4:$J$1177,"T")+COUNTIFS(Games!$A$4:$A$1177,$A193,Games!$L$4:$L$1177,$C193,Games!$O$4:$O$1177,"T")</x:f>
        <x:v>0</x:v>
      </x:c>
      <x:c r="H193" t="n">
        <x:f>SUMIFS(Games!$H$4:$H$1177,Games!$A$4:$A$1177,$A193,Games!$D$4:$D$1177,"post",Games!$G$4:$G$1177,$C193)+SUMIFS(Games!$M$4:$M$1177,Games!$A$4:$A$1177,$A193,Games!$D$4:$D$1177,"post",Games!$L$4:$L$1177,$C193)</x:f>
        <x:v>3</x:v>
      </x:c>
      <x:c r="I193" t="n">
        <x:f>SUMIFS(Games!$M$4:$M$1177,Games!$A$4:$A$1177,$A193,Games!$D$4:$D$1177,"post",Games!$G$4:$G$1177,$C193)+SUMIFS(Games!$H$4:$H$1177,Games!$A$4:$A$1177,$A193,Games!$D$4:$D$1177,"post",Games!$L$4:$L$1177,$C193)</x:f>
        <x:v>63</x:v>
      </x:c>
      <x:c r="J193" t="str">
        <x:f>E193&amp;"-"&amp;F193&amp;IF(G193&gt;0,"-"&amp;G193,"")</x:f>
        <x:v>0-1</x:v>
      </x:c>
      <x:c r="K193" t="n">
        <x:f>COUNTIFS(Games!$A$4:$A$1177,$A193,Games!$D$4:$D$1177,"post",Games!$G$4:$G$1177,$C193,Games!$T$4:$T$1177,"&lt;&gt;")+COUNTIFS(Games!$A$4:$A$1177,$A193,Games!$D$4:$D$1177,"post",Games!$L$4:$L$1177,$C193,Games!$T$4:$T$1177,"&lt;&gt;")</x:f>
        <x:v>0</x:v>
      </x:c>
      <x:c r="L193" s="80" t="n">
        <x:f>IF(D193=0,0,K193/D193)</x:f>
        <x:v>0</x:v>
      </x:c>
      <x:c r="M193" t="str">
        <x:f>IF(AND(D193&gt;=2,K193&gt;=2,L193&gt;=75%),"YES","NO")</x:f>
        <x:v>NO</x:v>
      </x:c>
    </x:row>
    <x:row r="194">
      <x:c r="A194" t="str">
        <x:v>CFB</x:v>
      </x:c>
      <x:c r="B194" t="str">
        <x:v>Tennessee Tech Golden Eagles</x:v>
      </x:c>
      <x:c r="C194" t="str">
        <x:v>TNTC</x:v>
      </x:c>
      <x:c r="D194" t="n">
        <x:f>COUNTIFS(Games!$A$4:$A$1177,$A194,Games!$D$4:$D$1177,"post",Games!$G$4:$G$1177,$C194)+COUNTIFS(Games!$A$4:$A$1177,$A194,Games!$D$4:$D$1177,"post",Games!$L$4:$L$1177,$C194)</x:f>
        <x:v>0</x:v>
      </x:c>
      <x:c r="E194" t="n">
        <x:f>COUNTIFS(Games!$A$4:$A$1177,$A194,Games!$G$4:$G$1177,$C194,Games!$J$4:$J$1177,"W")+COUNTIFS(Games!$A$4:$A$1177,$A194,Games!$L$4:$L$1177,$C194,Games!$O$4:$O$1177,"W")</x:f>
        <x:v>0</x:v>
      </x:c>
      <x:c r="F194" t="n">
        <x:f>COUNTIFS(Games!$A$4:$A$1177,$A194,Games!$G$4:$G$1177,$C194,Games!$J$4:$J$1177,"L")+COUNTIFS(Games!$A$4:$A$1177,$A194,Games!$L$4:$L$1177,$C194,Games!$O$4:$O$1177,"L")</x:f>
        <x:v>0</x:v>
      </x:c>
      <x:c r="G194" t="n">
        <x:f>COUNTIFS(Games!$A$4:$A$1177,$A194,Games!$G$4:$G$1177,$C194,Games!$J$4:$J$1177,"T")+COUNTIFS(Games!$A$4:$A$1177,$A194,Games!$L$4:$L$1177,$C194,Games!$O$4:$O$1177,"T")</x:f>
        <x:v>0</x:v>
      </x:c>
      <x:c r="H194" t="n">
        <x:f>SUMIFS(Games!$H$4:$H$1177,Games!$A$4:$A$1177,$A194,Games!$D$4:$D$1177,"post",Games!$G$4:$G$1177,$C194)+SUMIFS(Games!$M$4:$M$1177,Games!$A$4:$A$1177,$A194,Games!$D$4:$D$1177,"post",Games!$L$4:$L$1177,$C194)</x:f>
        <x:v>0</x:v>
      </x:c>
      <x:c r="I194" t="n">
        <x:f>SUMIFS(Games!$M$4:$M$1177,Games!$A$4:$A$1177,$A194,Games!$D$4:$D$1177,"post",Games!$G$4:$G$1177,$C194)+SUMIFS(Games!$H$4:$H$1177,Games!$A$4:$A$1177,$A194,Games!$D$4:$D$1177,"post",Games!$L$4:$L$1177,$C194)</x:f>
        <x:v>0</x:v>
      </x:c>
      <x:c r="J194" t="str">
        <x:f>E194&amp;"-"&amp;F194&amp;IF(G194&gt;0,"-"&amp;G194,"")</x:f>
        <x:v>0-0</x:v>
      </x:c>
      <x:c r="K194" t="n">
        <x:f>COUNTIFS(Games!$A$4:$A$1177,$A194,Games!$D$4:$D$1177,"post",Games!$G$4:$G$1177,$C194,Games!$T$4:$T$1177,"&lt;&gt;")+COUNTIFS(Games!$A$4:$A$1177,$A194,Games!$D$4:$D$1177,"post",Games!$L$4:$L$1177,$C194,Games!$T$4:$T$1177,"&lt;&gt;")</x:f>
        <x:v>0</x:v>
      </x:c>
      <x:c r="L194" s="80" t="n">
        <x:f>IF(D194=0,0,K194/D194)</x:f>
        <x:v>0</x:v>
      </x:c>
      <x:c r="M194" t="str">
        <x:f>IF(AND(D194&gt;=2,K194&gt;=2,L194&gt;=75%),"YES","NO")</x:f>
        <x:v>NO</x:v>
      </x:c>
    </x:row>
    <x:row r="195">
      <x:c r="A195" t="str">
        <x:v>CFB</x:v>
      </x:c>
      <x:c r="B195" t="str">
        <x:v>Tennessee Volunteers</x:v>
      </x:c>
      <x:c r="C195" t="str">
        <x:v>TENN</x:v>
      </x:c>
      <x:c r="D195" t="n">
        <x:f>COUNTIFS(Games!$A$4:$A$1177,$A195,Games!$D$4:$D$1177,"post",Games!$G$4:$G$1177,$C195)+COUNTIFS(Games!$A$4:$A$1177,$A195,Games!$D$4:$D$1177,"post",Games!$L$4:$L$1177,$C195)</x:f>
        <x:v>3</x:v>
      </x:c>
      <x:c r="E195" t="n">
        <x:f>COUNTIFS(Games!$A$4:$A$1177,$A195,Games!$G$4:$G$1177,$C195,Games!$J$4:$J$1177,"W")+COUNTIFS(Games!$A$4:$A$1177,$A195,Games!$L$4:$L$1177,$C195,Games!$O$4:$O$1177,"W")</x:f>
        <x:v>3</x:v>
      </x:c>
      <x:c r="F195" t="n">
        <x:f>COUNTIFS(Games!$A$4:$A$1177,$A195,Games!$G$4:$G$1177,$C195,Games!$J$4:$J$1177,"L")+COUNTIFS(Games!$A$4:$A$1177,$A195,Games!$L$4:$L$1177,$C195,Games!$O$4:$O$1177,"L")</x:f>
        <x:v>0</x:v>
      </x:c>
      <x:c r="G195" t="n">
        <x:f>COUNTIFS(Games!$A$4:$A$1177,$A195,Games!$G$4:$G$1177,$C195,Games!$J$4:$J$1177,"T")+COUNTIFS(Games!$A$4:$A$1177,$A195,Games!$L$4:$L$1177,$C195,Games!$O$4:$O$1177,"T")</x:f>
        <x:v>0</x:v>
      </x:c>
      <x:c r="H195" t="n">
        <x:f>SUMIFS(Games!$H$4:$H$1177,Games!$A$4:$A$1177,$A195,Games!$D$4:$D$1177,"post",Games!$G$4:$G$1177,$C195)+SUMIFS(Games!$M$4:$M$1177,Games!$A$4:$A$1177,$A195,Games!$D$4:$D$1177,"post",Games!$L$4:$L$1177,$C195)</x:f>
        <x:v>143</x:v>
      </x:c>
      <x:c r="I195" t="n">
        <x:f>SUMIFS(Games!$M$4:$M$1177,Games!$A$4:$A$1177,$A195,Games!$D$4:$D$1177,"post",Games!$G$4:$G$1177,$C195)+SUMIFS(Games!$H$4:$H$1177,Games!$A$4:$A$1177,$A195,Games!$D$4:$D$1177,"post",Games!$L$4:$L$1177,$C195)</x:f>
        <x:v>42</x:v>
      </x:c>
      <x:c r="J195" t="str">
        <x:f>E195&amp;"-"&amp;F195&amp;IF(G195&gt;0,"-"&amp;G195,"")</x:f>
        <x:v>3-0</x:v>
      </x:c>
      <x:c r="K195" t="n">
        <x:f>COUNTIFS(Games!$A$4:$A$1177,$A195,Games!$D$4:$D$1177,"post",Games!$G$4:$G$1177,$C195,Games!$T$4:$T$1177,"&lt;&gt;")+COUNTIFS(Games!$A$4:$A$1177,$A195,Games!$D$4:$D$1177,"post",Games!$L$4:$L$1177,$C195,Games!$T$4:$T$1177,"&lt;&gt;")</x:f>
        <x:v>0</x:v>
      </x:c>
      <x:c r="L195" s="80" t="n">
        <x:f>IF(D195=0,0,K195/D195)</x:f>
        <x:v>0</x:v>
      </x:c>
      <x:c r="M195" t="str">
        <x:f>IF(AND(D195&gt;=2,K195&gt;=2,L195&gt;=75%),"YES","NO")</x:f>
        <x:v>NO</x:v>
      </x:c>
    </x:row>
    <x:row r="196">
      <x:c r="A196" t="str">
        <x:v>CFB</x:v>
      </x:c>
      <x:c r="B196" t="str">
        <x:v>Texas A&amp;M Aggies</x:v>
      </x:c>
      <x:c r="C196" t="str">
        <x:v>TA&amp;M</x:v>
      </x:c>
      <x:c r="D196" t="n">
        <x:f>COUNTIFS(Games!$A$4:$A$1177,$A196,Games!$D$4:$D$1177,"post",Games!$G$4:$G$1177,$C196)+COUNTIFS(Games!$A$4:$A$1177,$A196,Games!$D$4:$D$1177,"post",Games!$L$4:$L$1177,$C196)</x:f>
        <x:v>3</x:v>
      </x:c>
      <x:c r="E196" t="n">
        <x:f>COUNTIFS(Games!$A$4:$A$1177,$A196,Games!$G$4:$G$1177,$C196,Games!$J$4:$J$1177,"W")+COUNTIFS(Games!$A$4:$A$1177,$A196,Games!$L$4:$L$1177,$C196,Games!$O$4:$O$1177,"W")</x:f>
        <x:v>2</x:v>
      </x:c>
      <x:c r="F196" t="n">
        <x:f>COUNTIFS(Games!$A$4:$A$1177,$A196,Games!$G$4:$G$1177,$C196,Games!$J$4:$J$1177,"L")+COUNTIFS(Games!$A$4:$A$1177,$A196,Games!$L$4:$L$1177,$C196,Games!$O$4:$O$1177,"L")</x:f>
        <x:v>1</x:v>
      </x:c>
      <x:c r="G196" t="n">
        <x:f>COUNTIFS(Games!$A$4:$A$1177,$A196,Games!$G$4:$G$1177,$C196,Games!$J$4:$J$1177,"T")+COUNTIFS(Games!$A$4:$A$1177,$A196,Games!$L$4:$L$1177,$C196,Games!$O$4:$O$1177,"T")</x:f>
        <x:v>0</x:v>
      </x:c>
      <x:c r="H196" t="n">
        <x:f>SUMIFS(Games!$H$4:$H$1177,Games!$A$4:$A$1177,$A196,Games!$D$4:$D$1177,"post",Games!$G$4:$G$1177,$C196)+SUMIFS(Games!$M$4:$M$1177,Games!$A$4:$A$1177,$A196,Games!$D$4:$D$1177,"post",Games!$L$4:$L$1177,$C196)</x:f>
        <x:v>119</x:v>
      </x:c>
      <x:c r="I196" t="n">
        <x:f>SUMIFS(Games!$M$4:$M$1177,Games!$A$4:$A$1177,$A196,Games!$D$4:$D$1177,"post",Games!$G$4:$G$1177,$C196)+SUMIFS(Games!$H$4:$H$1177,Games!$A$4:$A$1177,$A196,Games!$D$4:$D$1177,"post",Games!$L$4:$L$1177,$C196)</x:f>
        <x:v>51</x:v>
      </x:c>
      <x:c r="J196" t="str">
        <x:f>E196&amp;"-"&amp;F196&amp;IF(G196&gt;0,"-"&amp;G196,"")</x:f>
        <x:v>2-1</x:v>
      </x:c>
      <x:c r="K196" t="n">
        <x:f>COUNTIFS(Games!$A$4:$A$1177,$A196,Games!$D$4:$D$1177,"post",Games!$G$4:$G$1177,$C196,Games!$T$4:$T$1177,"&lt;&gt;")+COUNTIFS(Games!$A$4:$A$1177,$A196,Games!$D$4:$D$1177,"post",Games!$L$4:$L$1177,$C196,Games!$T$4:$T$1177,"&lt;&gt;")</x:f>
        <x:v>0</x:v>
      </x:c>
      <x:c r="L196" s="80" t="n">
        <x:f>IF(D196=0,0,K196/D196)</x:f>
        <x:v>0</x:v>
      </x:c>
      <x:c r="M196" t="str">
        <x:f>IF(AND(D196&gt;=2,K196&gt;=2,L196&gt;=75%),"YES","NO")</x:f>
        <x:v>NO</x:v>
      </x:c>
    </x:row>
    <x:row r="197">
      <x:c r="A197" t="str">
        <x:v>CFB</x:v>
      </x:c>
      <x:c r="B197" t="str">
        <x:v>Texas Longhorns</x:v>
      </x:c>
      <x:c r="C197" t="str">
        <x:v>TEX</x:v>
      </x:c>
      <x:c r="D197" t="n">
        <x:f>COUNTIFS(Games!$A$4:$A$1177,$A197,Games!$D$4:$D$1177,"post",Games!$G$4:$G$1177,$C197)+COUNTIFS(Games!$A$4:$A$1177,$A197,Games!$D$4:$D$1177,"post",Games!$L$4:$L$1177,$C197)</x:f>
        <x:v>3</x:v>
      </x:c>
      <x:c r="E197" t="n">
        <x:f>COUNTIFS(Games!$A$4:$A$1177,$A197,Games!$G$4:$G$1177,$C197,Games!$J$4:$J$1177,"W")+COUNTIFS(Games!$A$4:$A$1177,$A197,Games!$L$4:$L$1177,$C197,Games!$O$4:$O$1177,"W")</x:f>
        <x:v>3</x:v>
      </x:c>
      <x:c r="F197" t="n">
        <x:f>COUNTIFS(Games!$A$4:$A$1177,$A197,Games!$G$4:$G$1177,$C197,Games!$J$4:$J$1177,"L")+COUNTIFS(Games!$A$4:$A$1177,$A197,Games!$L$4:$L$1177,$C197,Games!$O$4:$O$1177,"L")</x:f>
        <x:v>0</x:v>
      </x:c>
      <x:c r="G197" t="n">
        <x:f>COUNTIFS(Games!$A$4:$A$1177,$A197,Games!$G$4:$G$1177,$C197,Games!$J$4:$J$1177,"T")+COUNTIFS(Games!$A$4:$A$1177,$A197,Games!$L$4:$L$1177,$C197,Games!$O$4:$O$1177,"T")</x:f>
        <x:v>0</x:v>
      </x:c>
      <x:c r="H197" t="n">
        <x:f>SUMIFS(Games!$H$4:$H$1177,Games!$A$4:$A$1177,$A197,Games!$D$4:$D$1177,"post",Games!$G$4:$G$1177,$C197)+SUMIFS(Games!$M$4:$M$1177,Games!$A$4:$A$1177,$A197,Games!$D$4:$D$1177,"post",Games!$L$4:$L$1177,$C197)</x:f>
        <x:v>113</x:v>
      </x:c>
      <x:c r="I197" t="n">
        <x:f>SUMIFS(Games!$M$4:$M$1177,Games!$A$4:$A$1177,$A197,Games!$D$4:$D$1177,"post",Games!$G$4:$G$1177,$C197)+SUMIFS(Games!$H$4:$H$1177,Games!$A$4:$A$1177,$A197,Games!$D$4:$D$1177,"post",Games!$L$4:$L$1177,$C197)</x:f>
        <x:v>36</x:v>
      </x:c>
      <x:c r="J197" t="str">
        <x:f>E197&amp;"-"&amp;F197&amp;IF(G197&gt;0,"-"&amp;G197,"")</x:f>
        <x:v>3-0</x:v>
      </x:c>
      <x:c r="K197" t="n">
        <x:f>COUNTIFS(Games!$A$4:$A$1177,$A197,Games!$D$4:$D$1177,"post",Games!$G$4:$G$1177,$C197,Games!$T$4:$T$1177,"&lt;&gt;")+COUNTIFS(Games!$A$4:$A$1177,$A197,Games!$D$4:$D$1177,"post",Games!$L$4:$L$1177,$C197,Games!$T$4:$T$1177,"&lt;&gt;")</x:f>
        <x:v>0</x:v>
      </x:c>
      <x:c r="L197" s="80" t="n">
        <x:f>IF(D197=0,0,K197/D197)</x:f>
        <x:v>0</x:v>
      </x:c>
      <x:c r="M197" t="str">
        <x:f>IF(AND(D197&gt;=2,K197&gt;=2,L197&gt;=75%),"YES","NO")</x:f>
        <x:v>NO</x:v>
      </x:c>
    </x:row>
    <x:row r="198">
      <x:c r="A198" t="str">
        <x:v>CFB</x:v>
      </x:c>
      <x:c r="B198" t="str">
        <x:v>Texas Southern Tigers</x:v>
      </x:c>
      <x:c r="C198" t="str">
        <x:v>TXSO</x:v>
      </x:c>
      <x:c r="D198" t="n">
        <x:f>COUNTIFS(Games!$A$4:$A$1177,$A198,Games!$D$4:$D$1177,"post",Games!$G$4:$G$1177,$C198)+COUNTIFS(Games!$A$4:$A$1177,$A198,Games!$D$4:$D$1177,"post",Games!$L$4:$L$1177,$C198)</x:f>
        <x:v>1</x:v>
      </x:c>
      <x:c r="E198" t="n">
        <x:f>COUNTIFS(Games!$A$4:$A$1177,$A198,Games!$G$4:$G$1177,$C198,Games!$J$4:$J$1177,"W")+COUNTIFS(Games!$A$4:$A$1177,$A198,Games!$L$4:$L$1177,$C198,Games!$O$4:$O$1177,"W")</x:f>
        <x:v>0</x:v>
      </x:c>
      <x:c r="F198" t="n">
        <x:f>COUNTIFS(Games!$A$4:$A$1177,$A198,Games!$G$4:$G$1177,$C198,Games!$J$4:$J$1177,"L")+COUNTIFS(Games!$A$4:$A$1177,$A198,Games!$L$4:$L$1177,$C198,Games!$O$4:$O$1177,"L")</x:f>
        <x:v>1</x:v>
      </x:c>
      <x:c r="G198" t="n">
        <x:f>COUNTIFS(Games!$A$4:$A$1177,$A198,Games!$G$4:$G$1177,$C198,Games!$J$4:$J$1177,"T")+COUNTIFS(Games!$A$4:$A$1177,$A198,Games!$L$4:$L$1177,$C198,Games!$O$4:$O$1177,"T")</x:f>
        <x:v>0</x:v>
      </x:c>
      <x:c r="H198" t="n">
        <x:f>SUMIFS(Games!$H$4:$H$1177,Games!$A$4:$A$1177,$A198,Games!$D$4:$D$1177,"post",Games!$G$4:$G$1177,$C198)+SUMIFS(Games!$M$4:$M$1177,Games!$A$4:$A$1177,$A198,Games!$D$4:$D$1177,"post",Games!$L$4:$L$1177,$C198)</x:f>
        <x:v>10</x:v>
      </x:c>
      <x:c r="I198" t="n">
        <x:f>SUMIFS(Games!$M$4:$M$1177,Games!$A$4:$A$1177,$A198,Games!$D$4:$D$1177,"post",Games!$G$4:$G$1177,$C198)+SUMIFS(Games!$H$4:$H$1177,Games!$A$4:$A$1177,$A198,Games!$D$4:$D$1177,"post",Games!$L$4:$L$1177,$C198)</x:f>
        <x:v>51</x:v>
      </x:c>
      <x:c r="J198" t="str">
        <x:f>E198&amp;"-"&amp;F198&amp;IF(G198&gt;0,"-"&amp;G198,"")</x:f>
        <x:v>0-1</x:v>
      </x:c>
      <x:c r="K198" t="n">
        <x:f>COUNTIFS(Games!$A$4:$A$1177,$A198,Games!$D$4:$D$1177,"post",Games!$G$4:$G$1177,$C198,Games!$T$4:$T$1177,"&lt;&gt;")+COUNTIFS(Games!$A$4:$A$1177,$A198,Games!$D$4:$D$1177,"post",Games!$L$4:$L$1177,$C198,Games!$T$4:$T$1177,"&lt;&gt;")</x:f>
        <x:v>0</x:v>
      </x:c>
      <x:c r="L198" s="80" t="n">
        <x:f>IF(D198=0,0,K198/D198)</x:f>
        <x:v>0</x:v>
      </x:c>
      <x:c r="M198" t="str">
        <x:f>IF(AND(D198&gt;=2,K198&gt;=2,L198&gt;=75%),"YES","NO")</x:f>
        <x:v>NO</x:v>
      </x:c>
    </x:row>
    <x:row r="199">
      <x:c r="A199" t="str">
        <x:v>CFB</x:v>
      </x:c>
      <x:c r="B199" t="str">
        <x:v>Texas State Bobcats</x:v>
      </x:c>
      <x:c r="C199" t="str">
        <x:v>TXST</x:v>
      </x:c>
      <x:c r="D199" t="n">
        <x:f>COUNTIFS(Games!$A$4:$A$1177,$A199,Games!$D$4:$D$1177,"post",Games!$G$4:$G$1177,$C199)+COUNTIFS(Games!$A$4:$A$1177,$A199,Games!$D$4:$D$1177,"post",Games!$L$4:$L$1177,$C199)</x:f>
        <x:v>3</x:v>
      </x:c>
      <x:c r="E199" t="n">
        <x:f>COUNTIFS(Games!$A$4:$A$1177,$A199,Games!$G$4:$G$1177,$C199,Games!$J$4:$J$1177,"W")+COUNTIFS(Games!$A$4:$A$1177,$A199,Games!$L$4:$L$1177,$C199,Games!$O$4:$O$1177,"W")</x:f>
        <x:v>1</x:v>
      </x:c>
      <x:c r="F199" t="n">
        <x:f>COUNTIFS(Games!$A$4:$A$1177,$A199,Games!$G$4:$G$1177,$C199,Games!$J$4:$J$1177,"L")+COUNTIFS(Games!$A$4:$A$1177,$A199,Games!$L$4:$L$1177,$C199,Games!$O$4:$O$1177,"L")</x:f>
        <x:v>2</x:v>
      </x:c>
      <x:c r="G199" t="n">
        <x:f>COUNTIFS(Games!$A$4:$A$1177,$A199,Games!$G$4:$G$1177,$C199,Games!$J$4:$J$1177,"T")+COUNTIFS(Games!$A$4:$A$1177,$A199,Games!$L$4:$L$1177,$C199,Games!$O$4:$O$1177,"T")</x:f>
        <x:v>0</x:v>
      </x:c>
      <x:c r="H199" t="n">
        <x:f>SUMIFS(Games!$H$4:$H$1177,Games!$A$4:$A$1177,$A199,Games!$D$4:$D$1177,"post",Games!$G$4:$G$1177,$C199)+SUMIFS(Games!$M$4:$M$1177,Games!$A$4:$A$1177,$A199,Games!$D$4:$D$1177,"post",Games!$L$4:$L$1177,$C199)</x:f>
        <x:v>82</x:v>
      </x:c>
      <x:c r="I199" t="n">
        <x:f>SUMIFS(Games!$M$4:$M$1177,Games!$A$4:$A$1177,$A199,Games!$D$4:$D$1177,"post",Games!$G$4:$G$1177,$C199)+SUMIFS(Games!$H$4:$H$1177,Games!$A$4:$A$1177,$A199,Games!$D$4:$D$1177,"post",Games!$L$4:$L$1177,$C199)</x:f>
        <x:v>125</x:v>
      </x:c>
      <x:c r="J199" t="str">
        <x:f>E199&amp;"-"&amp;F199&amp;IF(G199&gt;0,"-"&amp;G199,"")</x:f>
        <x:v>1-2</x:v>
      </x:c>
      <x:c r="K199" t="n">
        <x:f>COUNTIFS(Games!$A$4:$A$1177,$A199,Games!$D$4:$D$1177,"post",Games!$G$4:$G$1177,$C199,Games!$T$4:$T$1177,"&lt;&gt;")+COUNTIFS(Games!$A$4:$A$1177,$A199,Games!$D$4:$D$1177,"post",Games!$L$4:$L$1177,$C199,Games!$T$4:$T$1177,"&lt;&gt;")</x:f>
        <x:v>0</x:v>
      </x:c>
      <x:c r="L199" s="80" t="n">
        <x:f>IF(D199=0,0,K199/D199)</x:f>
        <x:v>0</x:v>
      </x:c>
      <x:c r="M199" t="str">
        <x:f>IF(AND(D199&gt;=2,K199&gt;=2,L199&gt;=75%),"YES","NO")</x:f>
        <x:v>NO</x:v>
      </x:c>
    </x:row>
    <x:row r="200">
      <x:c r="A200" t="str">
        <x:v>CFB</x:v>
      </x:c>
      <x:c r="B200" t="str">
        <x:v>Texas Tech Red Raiders</x:v>
      </x:c>
      <x:c r="C200" t="str">
        <x:v>TTU</x:v>
      </x:c>
      <x:c r="D200" t="n">
        <x:f>COUNTIFS(Games!$A$4:$A$1177,$A200,Games!$D$4:$D$1177,"post",Games!$G$4:$G$1177,$C200)+COUNTIFS(Games!$A$4:$A$1177,$A200,Games!$D$4:$D$1177,"post",Games!$L$4:$L$1177,$C200)</x:f>
        <x:v>3</x:v>
      </x:c>
      <x:c r="E200" t="n">
        <x:f>COUNTIFS(Games!$A$4:$A$1177,$A200,Games!$G$4:$G$1177,$C200,Games!$J$4:$J$1177,"W")+COUNTIFS(Games!$A$4:$A$1177,$A200,Games!$L$4:$L$1177,$C200,Games!$O$4:$O$1177,"W")</x:f>
        <x:v>3</x:v>
      </x:c>
      <x:c r="F200" t="n">
        <x:f>COUNTIFS(Games!$A$4:$A$1177,$A200,Games!$G$4:$G$1177,$C200,Games!$J$4:$J$1177,"L")+COUNTIFS(Games!$A$4:$A$1177,$A200,Games!$L$4:$L$1177,$C200,Games!$O$4:$O$1177,"L")</x:f>
        <x:v>0</x:v>
      </x:c>
      <x:c r="G200" t="n">
        <x:f>COUNTIFS(Games!$A$4:$A$1177,$A200,Games!$G$4:$G$1177,$C200,Games!$J$4:$J$1177,"T")+COUNTIFS(Games!$A$4:$A$1177,$A200,Games!$L$4:$L$1177,$C200,Games!$O$4:$O$1177,"T")</x:f>
        <x:v>0</x:v>
      </x:c>
      <x:c r="H200" t="n">
        <x:f>SUMIFS(Games!$H$4:$H$1177,Games!$A$4:$A$1177,$A200,Games!$D$4:$D$1177,"post",Games!$G$4:$G$1177,$C200)+SUMIFS(Games!$M$4:$M$1177,Games!$A$4:$A$1177,$A200,Games!$D$4:$D$1177,"post",Games!$L$4:$L$1177,$C200)</x:f>
        <x:v>96</x:v>
      </x:c>
      <x:c r="I200" t="n">
        <x:f>SUMIFS(Games!$M$4:$M$1177,Games!$A$4:$A$1177,$A200,Games!$D$4:$D$1177,"post",Games!$G$4:$G$1177,$C200)+SUMIFS(Games!$H$4:$H$1177,Games!$A$4:$A$1177,$A200,Games!$D$4:$D$1177,"post",Games!$L$4:$L$1177,$C200)</x:f>
        <x:v>60</x:v>
      </x:c>
      <x:c r="J200" t="str">
        <x:f>E200&amp;"-"&amp;F200&amp;IF(G200&gt;0,"-"&amp;G200,"")</x:f>
        <x:v>3-0</x:v>
      </x:c>
      <x:c r="K200" t="n">
        <x:f>COUNTIFS(Games!$A$4:$A$1177,$A200,Games!$D$4:$D$1177,"post",Games!$G$4:$G$1177,$C200,Games!$T$4:$T$1177,"&lt;&gt;")+COUNTIFS(Games!$A$4:$A$1177,$A200,Games!$D$4:$D$1177,"post",Games!$L$4:$L$1177,$C200,Games!$T$4:$T$1177,"&lt;&gt;")</x:f>
        <x:v>0</x:v>
      </x:c>
      <x:c r="L200" s="80" t="n">
        <x:f>IF(D200=0,0,K200/D200)</x:f>
        <x:v>0</x:v>
      </x:c>
      <x:c r="M200" t="str">
        <x:f>IF(AND(D200&gt;=2,K200&gt;=2,L200&gt;=75%),"YES","NO")</x:f>
        <x:v>NO</x:v>
      </x:c>
    </x:row>
    <x:row r="201">
      <x:c r="A201" t="str">
        <x:v>CFB</x:v>
      </x:c>
      <x:c r="B201" t="str">
        <x:v>The Citadel Bulldogs</x:v>
      </x:c>
      <x:c r="C201" t="str">
        <x:v>CIT</x:v>
      </x:c>
      <x:c r="D201" t="n">
        <x:f>COUNTIFS(Games!$A$4:$A$1177,$A201,Games!$D$4:$D$1177,"post",Games!$G$4:$G$1177,$C201)+COUNTIFS(Games!$A$4:$A$1177,$A201,Games!$D$4:$D$1177,"post",Games!$L$4:$L$1177,$C201)</x:f>
        <x:v>1</x:v>
      </x:c>
      <x:c r="E201" t="n">
        <x:f>COUNTIFS(Games!$A$4:$A$1177,$A201,Games!$G$4:$G$1177,$C201,Games!$J$4:$J$1177,"W")+COUNTIFS(Games!$A$4:$A$1177,$A201,Games!$L$4:$L$1177,$C201,Games!$O$4:$O$1177,"W")</x:f>
        <x:v>1</x:v>
      </x:c>
      <x:c r="F201" t="n">
        <x:f>COUNTIFS(Games!$A$4:$A$1177,$A201,Games!$G$4:$G$1177,$C201,Games!$J$4:$J$1177,"L")+COUNTIFS(Games!$A$4:$A$1177,$A201,Games!$L$4:$L$1177,$C201,Games!$O$4:$O$1177,"L")</x:f>
        <x:v>0</x:v>
      </x:c>
      <x:c r="G201" t="n">
        <x:f>COUNTIFS(Games!$A$4:$A$1177,$A201,Games!$G$4:$G$1177,$C201,Games!$J$4:$J$1177,"T")+COUNTIFS(Games!$A$4:$A$1177,$A201,Games!$L$4:$L$1177,$C201,Games!$O$4:$O$1177,"T")</x:f>
        <x:v>0</x:v>
      </x:c>
      <x:c r="H201" t="n">
        <x:f>SUMIFS(Games!$H$4:$H$1177,Games!$A$4:$A$1177,$A201,Games!$D$4:$D$1177,"post",Games!$G$4:$G$1177,$C201)+SUMIFS(Games!$M$4:$M$1177,Games!$A$4:$A$1177,$A201,Games!$D$4:$D$1177,"post",Games!$L$4:$L$1177,$C201)</x:f>
        <x:v>43</x:v>
      </x:c>
      <x:c r="I201" t="n">
        <x:f>SUMIFS(Games!$M$4:$M$1177,Games!$A$4:$A$1177,$A201,Games!$D$4:$D$1177,"post",Games!$G$4:$G$1177,$C201)+SUMIFS(Games!$H$4:$H$1177,Games!$A$4:$A$1177,$A201,Games!$D$4:$D$1177,"post",Games!$L$4:$L$1177,$C201)</x:f>
        <x:v>41</x:v>
      </x:c>
      <x:c r="J201" t="str">
        <x:f>E201&amp;"-"&amp;F201&amp;IF(G201&gt;0,"-"&amp;G201,"")</x:f>
        <x:v>1-0</x:v>
      </x:c>
      <x:c r="K201" t="n">
        <x:f>COUNTIFS(Games!$A$4:$A$1177,$A201,Games!$D$4:$D$1177,"post",Games!$G$4:$G$1177,$C201,Games!$T$4:$T$1177,"&lt;&gt;")+COUNTIFS(Games!$A$4:$A$1177,$A201,Games!$D$4:$D$1177,"post",Games!$L$4:$L$1177,$C201,Games!$T$4:$T$1177,"&lt;&gt;")</x:f>
        <x:v>0</x:v>
      </x:c>
      <x:c r="L201" s="80" t="n">
        <x:f>IF(D201=0,0,K201/D201)</x:f>
        <x:v>0</x:v>
      </x:c>
      <x:c r="M201" t="str">
        <x:f>IF(AND(D201&gt;=2,K201&gt;=2,L201&gt;=75%),"YES","NO")</x:f>
        <x:v>NO</x:v>
      </x:c>
    </x:row>
    <x:row r="202">
      <x:c r="A202" t="str">
        <x:v>CFB</x:v>
      </x:c>
      <x:c r="B202" t="str">
        <x:v>Toledo Rockets</x:v>
      </x:c>
      <x:c r="C202" t="str">
        <x:v>TOL</x:v>
      </x:c>
      <x:c r="D202" t="n">
        <x:f>COUNTIFS(Games!$A$4:$A$1177,$A202,Games!$D$4:$D$1177,"post",Games!$G$4:$G$1177,$C202)+COUNTIFS(Games!$A$4:$A$1177,$A202,Games!$D$4:$D$1177,"post",Games!$L$4:$L$1177,$C202)</x:f>
        <x:v>3</x:v>
      </x:c>
      <x:c r="E202" t="n">
        <x:f>COUNTIFS(Games!$A$4:$A$1177,$A202,Games!$G$4:$G$1177,$C202,Games!$J$4:$J$1177,"W")+COUNTIFS(Games!$A$4:$A$1177,$A202,Games!$L$4:$L$1177,$C202,Games!$O$4:$O$1177,"W")</x:f>
        <x:v>2</x:v>
      </x:c>
      <x:c r="F202" t="n">
        <x:f>COUNTIFS(Games!$A$4:$A$1177,$A202,Games!$G$4:$G$1177,$C202,Games!$J$4:$J$1177,"L")+COUNTIFS(Games!$A$4:$A$1177,$A202,Games!$L$4:$L$1177,$C202,Games!$O$4:$O$1177,"L")</x:f>
        <x:v>1</x:v>
      </x:c>
      <x:c r="G202" t="n">
        <x:f>COUNTIFS(Games!$A$4:$A$1177,$A202,Games!$G$4:$G$1177,$C202,Games!$J$4:$J$1177,"T")+COUNTIFS(Games!$A$4:$A$1177,$A202,Games!$L$4:$L$1177,$C202,Games!$O$4:$O$1177,"T")</x:f>
        <x:v>0</x:v>
      </x:c>
      <x:c r="H202" t="n">
        <x:f>SUMIFS(Games!$H$4:$H$1177,Games!$A$4:$A$1177,$A202,Games!$D$4:$D$1177,"post",Games!$G$4:$G$1177,$C202)+SUMIFS(Games!$M$4:$M$1177,Games!$A$4:$A$1177,$A202,Games!$D$4:$D$1177,"post",Games!$L$4:$L$1177,$C202)</x:f>
        <x:v>132</x:v>
      </x:c>
      <x:c r="I202" t="n">
        <x:f>SUMIFS(Games!$M$4:$M$1177,Games!$A$4:$A$1177,$A202,Games!$D$4:$D$1177,"post",Games!$G$4:$G$1177,$C202)+SUMIFS(Games!$H$4:$H$1177,Games!$A$4:$A$1177,$A202,Games!$D$4:$D$1177,"post",Games!$L$4:$L$1177,$C202)</x:f>
        <x:v>88</x:v>
      </x:c>
      <x:c r="J202" t="str">
        <x:f>E202&amp;"-"&amp;F202&amp;IF(G202&gt;0,"-"&amp;G202,"")</x:f>
        <x:v>2-1</x:v>
      </x:c>
      <x:c r="K202" t="n">
        <x:f>COUNTIFS(Games!$A$4:$A$1177,$A202,Games!$D$4:$D$1177,"post",Games!$G$4:$G$1177,$C202,Games!$T$4:$T$1177,"&lt;&gt;")+COUNTIFS(Games!$A$4:$A$1177,$A202,Games!$D$4:$D$1177,"post",Games!$L$4:$L$1177,$C202,Games!$T$4:$T$1177,"&lt;&gt;")</x:f>
        <x:v>0</x:v>
      </x:c>
      <x:c r="L202" s="80" t="n">
        <x:f>IF(D202=0,0,K202/D202)</x:f>
        <x:v>0</x:v>
      </x:c>
      <x:c r="M202" t="str">
        <x:f>IF(AND(D202&gt;=2,K202&gt;=2,L202&gt;=75%),"YES","NO")</x:f>
        <x:v>NO</x:v>
      </x:c>
    </x:row>
    <x:row r="203">
      <x:c r="A203" t="str">
        <x:v>CFB</x:v>
      </x:c>
      <x:c r="B203" t="str">
        <x:v>Towson Tigers</x:v>
      </x:c>
      <x:c r="C203" t="str">
        <x:v>TOW</x:v>
      </x:c>
      <x:c r="D203" t="n">
        <x:f>COUNTIFS(Games!$A$4:$A$1177,$A203,Games!$D$4:$D$1177,"post",Games!$G$4:$G$1177,$C203)+COUNTIFS(Games!$A$4:$A$1177,$A203,Games!$D$4:$D$1177,"post",Games!$L$4:$L$1177,$C203)</x:f>
        <x:v>2</x:v>
      </x:c>
      <x:c r="E203" t="n">
        <x:f>COUNTIFS(Games!$A$4:$A$1177,$A203,Games!$G$4:$G$1177,$C203,Games!$J$4:$J$1177,"W")+COUNTIFS(Games!$A$4:$A$1177,$A203,Games!$L$4:$L$1177,$C203,Games!$O$4:$O$1177,"W")</x:f>
        <x:v>0</x:v>
      </x:c>
      <x:c r="F203" t="n">
        <x:f>COUNTIFS(Games!$A$4:$A$1177,$A203,Games!$G$4:$G$1177,$C203,Games!$J$4:$J$1177,"L")+COUNTIFS(Games!$A$4:$A$1177,$A203,Games!$L$4:$L$1177,$C203,Games!$O$4:$O$1177,"L")</x:f>
        <x:v>2</x:v>
      </x:c>
      <x:c r="G203" t="n">
        <x:f>COUNTIFS(Games!$A$4:$A$1177,$A203,Games!$G$4:$G$1177,$C203,Games!$J$4:$J$1177,"T")+COUNTIFS(Games!$A$4:$A$1177,$A203,Games!$L$4:$L$1177,$C203,Games!$O$4:$O$1177,"T")</x:f>
        <x:v>0</x:v>
      </x:c>
      <x:c r="H203" t="n">
        <x:f>SUMIFS(Games!$H$4:$H$1177,Games!$A$4:$A$1177,$A203,Games!$D$4:$D$1177,"post",Games!$G$4:$G$1177,$C203)+SUMIFS(Games!$M$4:$M$1177,Games!$A$4:$A$1177,$A203,Games!$D$4:$D$1177,"post",Games!$L$4:$L$1177,$C203)</x:f>
        <x:v>24</x:v>
      </x:c>
      <x:c r="I203" t="n">
        <x:f>SUMIFS(Games!$M$4:$M$1177,Games!$A$4:$A$1177,$A203,Games!$D$4:$D$1177,"post",Games!$G$4:$G$1177,$C203)+SUMIFS(Games!$H$4:$H$1177,Games!$A$4:$A$1177,$A203,Games!$D$4:$D$1177,"post",Games!$L$4:$L$1177,$C203)</x:f>
        <x:v>87</x:v>
      </x:c>
      <x:c r="J203" t="str">
        <x:f>E203&amp;"-"&amp;F203&amp;IF(G203&gt;0,"-"&amp;G203,"")</x:f>
        <x:v>0-2</x:v>
      </x:c>
      <x:c r="K203" t="n">
        <x:f>COUNTIFS(Games!$A$4:$A$1177,$A203,Games!$D$4:$D$1177,"post",Games!$G$4:$G$1177,$C203,Games!$T$4:$T$1177,"&lt;&gt;")+COUNTIFS(Games!$A$4:$A$1177,$A203,Games!$D$4:$D$1177,"post",Games!$L$4:$L$1177,$C203,Games!$T$4:$T$1177,"&lt;&gt;")</x:f>
        <x:v>0</x:v>
      </x:c>
      <x:c r="L203" s="80" t="n">
        <x:f>IF(D203=0,0,K203/D203)</x:f>
        <x:v>0</x:v>
      </x:c>
      <x:c r="M203" t="str">
        <x:f>IF(AND(D203&gt;=2,K203&gt;=2,L203&gt;=75%),"YES","NO")</x:f>
        <x:v>NO</x:v>
      </x:c>
    </x:row>
    <x:row r="204">
      <x:c r="A204" t="str">
        <x:v>CFB</x:v>
      </x:c>
      <x:c r="B204" t="str">
        <x:v>Troy Trojans</x:v>
      </x:c>
      <x:c r="C204" t="str">
        <x:v>TROY</x:v>
      </x:c>
      <x:c r="D204" t="n">
        <x:f>COUNTIFS(Games!$A$4:$A$1177,$A204,Games!$D$4:$D$1177,"post",Games!$G$4:$G$1177,$C204)+COUNTIFS(Games!$A$4:$A$1177,$A204,Games!$D$4:$D$1177,"post",Games!$L$4:$L$1177,$C204)</x:f>
        <x:v>3</x:v>
      </x:c>
      <x:c r="E204" t="n">
        <x:f>COUNTIFS(Games!$A$4:$A$1177,$A204,Games!$G$4:$G$1177,$C204,Games!$J$4:$J$1177,"W")+COUNTIFS(Games!$A$4:$A$1177,$A204,Games!$L$4:$L$1177,$C204,Games!$O$4:$O$1177,"W")</x:f>
        <x:v>2</x:v>
      </x:c>
      <x:c r="F204" t="n">
        <x:f>COUNTIFS(Games!$A$4:$A$1177,$A204,Games!$G$4:$G$1177,$C204,Games!$J$4:$J$1177,"L")+COUNTIFS(Games!$A$4:$A$1177,$A204,Games!$L$4:$L$1177,$C204,Games!$O$4:$O$1177,"L")</x:f>
        <x:v>1</x:v>
      </x:c>
      <x:c r="G204" t="n">
        <x:f>COUNTIFS(Games!$A$4:$A$1177,$A204,Games!$G$4:$G$1177,$C204,Games!$J$4:$J$1177,"T")+COUNTIFS(Games!$A$4:$A$1177,$A204,Games!$L$4:$L$1177,$C204,Games!$O$4:$O$1177,"T")</x:f>
        <x:v>0</x:v>
      </x:c>
      <x:c r="H204" t="n">
        <x:f>SUMIFS(Games!$H$4:$H$1177,Games!$A$4:$A$1177,$A204,Games!$D$4:$D$1177,"post",Games!$G$4:$G$1177,$C204)+SUMIFS(Games!$M$4:$M$1177,Games!$A$4:$A$1177,$A204,Games!$D$4:$D$1177,"post",Games!$L$4:$L$1177,$C204)</x:f>
        <x:v>75</x:v>
      </x:c>
      <x:c r="I204" t="n">
        <x:f>SUMIFS(Games!$M$4:$M$1177,Games!$A$4:$A$1177,$A204,Games!$D$4:$D$1177,"post",Games!$G$4:$G$1177,$C204)+SUMIFS(Games!$H$4:$H$1177,Games!$A$4:$A$1177,$A204,Games!$D$4:$D$1177,"post",Games!$L$4:$L$1177,$C204)</x:f>
        <x:v>65</x:v>
      </x:c>
      <x:c r="J204" t="str">
        <x:f>E204&amp;"-"&amp;F204&amp;IF(G204&gt;0,"-"&amp;G204,"")</x:f>
        <x:v>2-1</x:v>
      </x:c>
      <x:c r="K204" t="n">
        <x:f>COUNTIFS(Games!$A$4:$A$1177,$A204,Games!$D$4:$D$1177,"post",Games!$G$4:$G$1177,$C204,Games!$T$4:$T$1177,"&lt;&gt;")+COUNTIFS(Games!$A$4:$A$1177,$A204,Games!$D$4:$D$1177,"post",Games!$L$4:$L$1177,$C204,Games!$T$4:$T$1177,"&lt;&gt;")</x:f>
        <x:v>0</x:v>
      </x:c>
      <x:c r="L204" s="80" t="n">
        <x:f>IF(D204=0,0,K204/D204)</x:f>
        <x:v>0</x:v>
      </x:c>
      <x:c r="M204" t="str">
        <x:f>IF(AND(D204&gt;=2,K204&gt;=2,L204&gt;=75%),"YES","NO")</x:f>
        <x:v>NO</x:v>
      </x:c>
    </x:row>
    <x:row r="205">
      <x:c r="A205" t="str">
        <x:v>CFB</x:v>
      </x:c>
      <x:c r="B205" t="str">
        <x:v>Tulane Green Wave</x:v>
      </x:c>
      <x:c r="C205" t="str">
        <x:v>TULN</x:v>
      </x:c>
      <x:c r="D205" t="n">
        <x:f>COUNTIFS(Games!$A$4:$A$1177,$A205,Games!$D$4:$D$1177,"post",Games!$G$4:$G$1177,$C205)+COUNTIFS(Games!$A$4:$A$1177,$A205,Games!$D$4:$D$1177,"post",Games!$L$4:$L$1177,$C205)</x:f>
        <x:v>3</x:v>
      </x:c>
      <x:c r="E205" t="n">
        <x:f>COUNTIFS(Games!$A$4:$A$1177,$A205,Games!$G$4:$G$1177,$C205,Games!$J$4:$J$1177,"W")+COUNTIFS(Games!$A$4:$A$1177,$A205,Games!$L$4:$L$1177,$C205,Games!$O$4:$O$1177,"W")</x:f>
        <x:v>1</x:v>
      </x:c>
      <x:c r="F205" t="n">
        <x:f>COUNTIFS(Games!$A$4:$A$1177,$A205,Games!$G$4:$G$1177,$C205,Games!$J$4:$J$1177,"L")+COUNTIFS(Games!$A$4:$A$1177,$A205,Games!$L$4:$L$1177,$C205,Games!$O$4:$O$1177,"L")</x:f>
        <x:v>2</x:v>
      </x:c>
      <x:c r="G205" t="n">
        <x:f>COUNTIFS(Games!$A$4:$A$1177,$A205,Games!$G$4:$G$1177,$C205,Games!$J$4:$J$1177,"T")+COUNTIFS(Games!$A$4:$A$1177,$A205,Games!$L$4:$L$1177,$C205,Games!$O$4:$O$1177,"T")</x:f>
        <x:v>0</x:v>
      </x:c>
      <x:c r="H205" t="n">
        <x:f>SUMIFS(Games!$H$4:$H$1177,Games!$A$4:$A$1177,$A205,Games!$D$4:$D$1177,"post",Games!$G$4:$G$1177,$C205)+SUMIFS(Games!$M$4:$M$1177,Games!$A$4:$A$1177,$A205,Games!$D$4:$D$1177,"post",Games!$L$4:$L$1177,$C205)</x:f>
        <x:v>51</x:v>
      </x:c>
      <x:c r="I205" t="n">
        <x:f>SUMIFS(Games!$M$4:$M$1177,Games!$A$4:$A$1177,$A205,Games!$D$4:$D$1177,"post",Games!$G$4:$G$1177,$C205)+SUMIFS(Games!$H$4:$H$1177,Games!$A$4:$A$1177,$A205,Games!$D$4:$D$1177,"post",Games!$L$4:$L$1177,$C205)</x:f>
        <x:v>72</x:v>
      </x:c>
      <x:c r="J205" t="str">
        <x:f>E205&amp;"-"&amp;F205&amp;IF(G205&gt;0,"-"&amp;G205,"")</x:f>
        <x:v>1-2</x:v>
      </x:c>
      <x:c r="K205" t="n">
        <x:f>COUNTIFS(Games!$A$4:$A$1177,$A205,Games!$D$4:$D$1177,"post",Games!$G$4:$G$1177,$C205,Games!$T$4:$T$1177,"&lt;&gt;")+COUNTIFS(Games!$A$4:$A$1177,$A205,Games!$D$4:$D$1177,"post",Games!$L$4:$L$1177,$C205,Games!$T$4:$T$1177,"&lt;&gt;")</x:f>
        <x:v>0</x:v>
      </x:c>
      <x:c r="L205" s="80" t="n">
        <x:f>IF(D205=0,0,K205/D205)</x:f>
        <x:v>0</x:v>
      </x:c>
      <x:c r="M205" t="str">
        <x:f>IF(AND(D205&gt;=2,K205&gt;=2,L205&gt;=75%),"YES","NO")</x:f>
        <x:v>NO</x:v>
      </x:c>
    </x:row>
    <x:row r="206">
      <x:c r="A206" t="str">
        <x:v>CFB</x:v>
      </x:c>
      <x:c r="B206" t="str">
        <x:v>Tulsa Golden Hurricane</x:v>
      </x:c>
      <x:c r="C206" t="str">
        <x:v>TLSA</x:v>
      </x:c>
      <x:c r="D206" t="n">
        <x:f>COUNTIFS(Games!$A$4:$A$1177,$A206,Games!$D$4:$D$1177,"post",Games!$G$4:$G$1177,$C206)+COUNTIFS(Games!$A$4:$A$1177,$A206,Games!$D$4:$D$1177,"post",Games!$L$4:$L$1177,$C206)</x:f>
        <x:v>3</x:v>
      </x:c>
      <x:c r="E206" t="n">
        <x:f>COUNTIFS(Games!$A$4:$A$1177,$A206,Games!$G$4:$G$1177,$C206,Games!$J$4:$J$1177,"W")+COUNTIFS(Games!$A$4:$A$1177,$A206,Games!$L$4:$L$1177,$C206,Games!$O$4:$O$1177,"W")</x:f>
        <x:v>3</x:v>
      </x:c>
      <x:c r="F206" t="n">
        <x:f>COUNTIFS(Games!$A$4:$A$1177,$A206,Games!$G$4:$G$1177,$C206,Games!$J$4:$J$1177,"L")+COUNTIFS(Games!$A$4:$A$1177,$A206,Games!$L$4:$L$1177,$C206,Games!$O$4:$O$1177,"L")</x:f>
        <x:v>0</x:v>
      </x:c>
      <x:c r="G206" t="n">
        <x:f>COUNTIFS(Games!$A$4:$A$1177,$A206,Games!$G$4:$G$1177,$C206,Games!$J$4:$J$1177,"T")+COUNTIFS(Games!$A$4:$A$1177,$A206,Games!$L$4:$L$1177,$C206,Games!$O$4:$O$1177,"T")</x:f>
        <x:v>0</x:v>
      </x:c>
      <x:c r="H206" t="n">
        <x:f>SUMIFS(Games!$H$4:$H$1177,Games!$A$4:$A$1177,$A206,Games!$D$4:$D$1177,"post",Games!$G$4:$G$1177,$C206)+SUMIFS(Games!$M$4:$M$1177,Games!$A$4:$A$1177,$A206,Games!$D$4:$D$1177,"post",Games!$L$4:$L$1177,$C206)</x:f>
        <x:v>89</x:v>
      </x:c>
      <x:c r="I206" t="n">
        <x:f>SUMIFS(Games!$M$4:$M$1177,Games!$A$4:$A$1177,$A206,Games!$D$4:$D$1177,"post",Games!$G$4:$G$1177,$C206)+SUMIFS(Games!$H$4:$H$1177,Games!$A$4:$A$1177,$A206,Games!$D$4:$D$1177,"post",Games!$L$4:$L$1177,$C206)</x:f>
        <x:v>27</x:v>
      </x:c>
      <x:c r="J206" t="str">
        <x:f>E206&amp;"-"&amp;F206&amp;IF(G206&gt;0,"-"&amp;G206,"")</x:f>
        <x:v>3-0</x:v>
      </x:c>
      <x:c r="K206" t="n">
        <x:f>COUNTIFS(Games!$A$4:$A$1177,$A206,Games!$D$4:$D$1177,"post",Games!$G$4:$G$1177,$C206,Games!$T$4:$T$1177,"&lt;&gt;")+COUNTIFS(Games!$A$4:$A$1177,$A206,Games!$D$4:$D$1177,"post",Games!$L$4:$L$1177,$C206,Games!$T$4:$T$1177,"&lt;&gt;")</x:f>
        <x:v>0</x:v>
      </x:c>
      <x:c r="L206" s="80" t="n">
        <x:f>IF(D206=0,0,K206/D206)</x:f>
        <x:v>0</x:v>
      </x:c>
      <x:c r="M206" t="str">
        <x:f>IF(AND(D206&gt;=2,K206&gt;=2,L206&gt;=75%),"YES","NO")</x:f>
        <x:v>NO</x:v>
      </x:c>
    </x:row>
    <x:row r="207">
      <x:c r="A207" t="str">
        <x:v>CFB</x:v>
      </x:c>
      <x:c r="B207" t="str">
        <x:v>UAB Blazers</x:v>
      </x:c>
      <x:c r="C207" t="str">
        <x:v>UAB</x:v>
      </x:c>
      <x:c r="D207" t="n">
        <x:f>COUNTIFS(Games!$A$4:$A$1177,$A207,Games!$D$4:$D$1177,"post",Games!$G$4:$G$1177,$C207)+COUNTIFS(Games!$A$4:$A$1177,$A207,Games!$D$4:$D$1177,"post",Games!$L$4:$L$1177,$C207)</x:f>
        <x:v>3</x:v>
      </x:c>
      <x:c r="E207" t="n">
        <x:f>COUNTIFS(Games!$A$4:$A$1177,$A207,Games!$G$4:$G$1177,$C207,Games!$J$4:$J$1177,"W")+COUNTIFS(Games!$A$4:$A$1177,$A207,Games!$L$4:$L$1177,$C207,Games!$O$4:$O$1177,"W")</x:f>
        <x:v>1</x:v>
      </x:c>
      <x:c r="F207" t="n">
        <x:f>COUNTIFS(Games!$A$4:$A$1177,$A207,Games!$G$4:$G$1177,$C207,Games!$J$4:$J$1177,"L")+COUNTIFS(Games!$A$4:$A$1177,$A207,Games!$L$4:$L$1177,$C207,Games!$O$4:$O$1177,"L")</x:f>
        <x:v>2</x:v>
      </x:c>
      <x:c r="G207" t="n">
        <x:f>COUNTIFS(Games!$A$4:$A$1177,$A207,Games!$G$4:$G$1177,$C207,Games!$J$4:$J$1177,"T")+COUNTIFS(Games!$A$4:$A$1177,$A207,Games!$L$4:$L$1177,$C207,Games!$O$4:$O$1177,"T")</x:f>
        <x:v>0</x:v>
      </x:c>
      <x:c r="H207" t="n">
        <x:f>SUMIFS(Games!$H$4:$H$1177,Games!$A$4:$A$1177,$A207,Games!$D$4:$D$1177,"post",Games!$G$4:$G$1177,$C207)+SUMIFS(Games!$M$4:$M$1177,Games!$A$4:$A$1177,$A207,Games!$D$4:$D$1177,"post",Games!$L$4:$L$1177,$C207)</x:f>
        <x:v>63</x:v>
      </x:c>
      <x:c r="I207" t="n">
        <x:f>SUMIFS(Games!$M$4:$M$1177,Games!$A$4:$A$1177,$A207,Games!$D$4:$D$1177,"post",Games!$G$4:$G$1177,$C207)+SUMIFS(Games!$H$4:$H$1177,Games!$A$4:$A$1177,$A207,Games!$D$4:$D$1177,"post",Games!$L$4:$L$1177,$C207)</x:f>
        <x:v>83</x:v>
      </x:c>
      <x:c r="J207" t="str">
        <x:f>E207&amp;"-"&amp;F207&amp;IF(G207&gt;0,"-"&amp;G207,"")</x:f>
        <x:v>1-2</x:v>
      </x:c>
      <x:c r="K207" t="n">
        <x:f>COUNTIFS(Games!$A$4:$A$1177,$A207,Games!$D$4:$D$1177,"post",Games!$G$4:$G$1177,$C207,Games!$T$4:$T$1177,"&lt;&gt;")+COUNTIFS(Games!$A$4:$A$1177,$A207,Games!$D$4:$D$1177,"post",Games!$L$4:$L$1177,$C207,Games!$T$4:$T$1177,"&lt;&gt;")</x:f>
        <x:v>0</x:v>
      </x:c>
      <x:c r="L207" s="80" t="n">
        <x:f>IF(D207=0,0,K207/D207)</x:f>
        <x:v>0</x:v>
      </x:c>
      <x:c r="M207" t="str">
        <x:f>IF(AND(D207&gt;=2,K207&gt;=2,L207&gt;=75%),"YES","NO")</x:f>
        <x:v>NO</x:v>
      </x:c>
    </x:row>
    <x:row r="208">
      <x:c r="A208" t="str">
        <x:v>CFB</x:v>
      </x:c>
      <x:c r="B208" t="str">
        <x:v>UAlbany Great Danes</x:v>
      </x:c>
      <x:c r="C208" t="str">
        <x:v>ALB</x:v>
      </x:c>
      <x:c r="D208" t="n">
        <x:f>COUNTIFS(Games!$A$4:$A$1177,$A208,Games!$D$4:$D$1177,"post",Games!$G$4:$G$1177,$C208)+COUNTIFS(Games!$A$4:$A$1177,$A208,Games!$D$4:$D$1177,"post",Games!$L$4:$L$1177,$C208)</x:f>
        <x:v>1</x:v>
      </x:c>
      <x:c r="E208" t="n">
        <x:f>COUNTIFS(Games!$A$4:$A$1177,$A208,Games!$G$4:$G$1177,$C208,Games!$J$4:$J$1177,"W")+COUNTIFS(Games!$A$4:$A$1177,$A208,Games!$L$4:$L$1177,$C208,Games!$O$4:$O$1177,"W")</x:f>
        <x:v>0</x:v>
      </x:c>
      <x:c r="F208" t="n">
        <x:f>COUNTIFS(Games!$A$4:$A$1177,$A208,Games!$G$4:$G$1177,$C208,Games!$J$4:$J$1177,"L")+COUNTIFS(Games!$A$4:$A$1177,$A208,Games!$L$4:$L$1177,$C208,Games!$O$4:$O$1177,"L")</x:f>
        <x:v>1</x:v>
      </x:c>
      <x:c r="G208" t="n">
        <x:f>COUNTIFS(Games!$A$4:$A$1177,$A208,Games!$G$4:$G$1177,$C208,Games!$J$4:$J$1177,"T")+COUNTIFS(Games!$A$4:$A$1177,$A208,Games!$L$4:$L$1177,$C208,Games!$O$4:$O$1177,"T")</x:f>
        <x:v>0</x:v>
      </x:c>
      <x:c r="H208" t="n">
        <x:f>SUMIFS(Games!$H$4:$H$1177,Games!$A$4:$A$1177,$A208,Games!$D$4:$D$1177,"post",Games!$G$4:$G$1177,$C208)+SUMIFS(Games!$M$4:$M$1177,Games!$A$4:$A$1177,$A208,Games!$D$4:$D$1177,"post",Games!$L$4:$L$1177,$C208)</x:f>
        <x:v>17</x:v>
      </x:c>
      <x:c r="I208" t="n">
        <x:f>SUMIFS(Games!$M$4:$M$1177,Games!$A$4:$A$1177,$A208,Games!$D$4:$D$1177,"post",Games!$G$4:$G$1177,$C208)+SUMIFS(Games!$H$4:$H$1177,Games!$A$4:$A$1177,$A208,Games!$D$4:$D$1177,"post",Games!$L$4:$L$1177,$C208)</x:f>
        <x:v>21</x:v>
      </x:c>
      <x:c r="J208" t="str">
        <x:f>E208&amp;"-"&amp;F208&amp;IF(G208&gt;0,"-"&amp;G208,"")</x:f>
        <x:v>0-1</x:v>
      </x:c>
      <x:c r="K208" t="n">
        <x:f>COUNTIFS(Games!$A$4:$A$1177,$A208,Games!$D$4:$D$1177,"post",Games!$G$4:$G$1177,$C208,Games!$T$4:$T$1177,"&lt;&gt;")+COUNTIFS(Games!$A$4:$A$1177,$A208,Games!$D$4:$D$1177,"post",Games!$L$4:$L$1177,$C208,Games!$T$4:$T$1177,"&lt;&gt;")</x:f>
        <x:v>0</x:v>
      </x:c>
      <x:c r="L208" s="80" t="n">
        <x:f>IF(D208=0,0,K208/D208)</x:f>
        <x:v>0</x:v>
      </x:c>
      <x:c r="M208" t="str">
        <x:f>IF(AND(D208&gt;=2,K208&gt;=2,L208&gt;=75%),"YES","NO")</x:f>
        <x:v>NO</x:v>
      </x:c>
    </x:row>
    <x:row r="209">
      <x:c r="A209" t="str">
        <x:v>CFB</x:v>
      </x:c>
      <x:c r="B209" t="str">
        <x:v>UC Davis Aggies</x:v>
      </x:c>
      <x:c r="C209" t="str">
        <x:v>UCD</x:v>
      </x:c>
      <x:c r="D209" t="n">
        <x:f>COUNTIFS(Games!$A$4:$A$1177,$A209,Games!$D$4:$D$1177,"post",Games!$G$4:$G$1177,$C209)+COUNTIFS(Games!$A$4:$A$1177,$A209,Games!$D$4:$D$1177,"post",Games!$L$4:$L$1177,$C209)</x:f>
        <x:v>1</x:v>
      </x:c>
      <x:c r="E209" t="n">
        <x:f>COUNTIFS(Games!$A$4:$A$1177,$A209,Games!$G$4:$G$1177,$C209,Games!$J$4:$J$1177,"W")+COUNTIFS(Games!$A$4:$A$1177,$A209,Games!$L$4:$L$1177,$C209,Games!$O$4:$O$1177,"W")</x:f>
        <x:v>0</x:v>
      </x:c>
      <x:c r="F209" t="n">
        <x:f>COUNTIFS(Games!$A$4:$A$1177,$A209,Games!$G$4:$G$1177,$C209,Games!$J$4:$J$1177,"L")+COUNTIFS(Games!$A$4:$A$1177,$A209,Games!$L$4:$L$1177,$C209,Games!$O$4:$O$1177,"L")</x:f>
        <x:v>1</x:v>
      </x:c>
      <x:c r="G209" t="n">
        <x:f>COUNTIFS(Games!$A$4:$A$1177,$A209,Games!$G$4:$G$1177,$C209,Games!$J$4:$J$1177,"T")+COUNTIFS(Games!$A$4:$A$1177,$A209,Games!$L$4:$L$1177,$C209,Games!$O$4:$O$1177,"T")</x:f>
        <x:v>0</x:v>
      </x:c>
      <x:c r="H209" t="n">
        <x:f>SUMIFS(Games!$H$4:$H$1177,Games!$A$4:$A$1177,$A209,Games!$D$4:$D$1177,"post",Games!$G$4:$G$1177,$C209)+SUMIFS(Games!$M$4:$M$1177,Games!$A$4:$A$1177,$A209,Games!$D$4:$D$1177,"post",Games!$L$4:$L$1177,$C209)</x:f>
        <x:v>10</x:v>
      </x:c>
      <x:c r="I209" t="n">
        <x:f>SUMIFS(Games!$M$4:$M$1177,Games!$A$4:$A$1177,$A209,Games!$D$4:$D$1177,"post",Games!$G$4:$G$1177,$C209)+SUMIFS(Games!$H$4:$H$1177,Games!$A$4:$A$1177,$A209,Games!$D$4:$D$1177,"post",Games!$L$4:$L$1177,$C209)</x:f>
        <x:v>56</x:v>
      </x:c>
      <x:c r="J209" t="str">
        <x:f>E209&amp;"-"&amp;F209&amp;IF(G209&gt;0,"-"&amp;G209,"")</x:f>
        <x:v>0-1</x:v>
      </x:c>
      <x:c r="K209" t="n">
        <x:f>COUNTIFS(Games!$A$4:$A$1177,$A209,Games!$D$4:$D$1177,"post",Games!$G$4:$G$1177,$C209,Games!$T$4:$T$1177,"&lt;&gt;")+COUNTIFS(Games!$A$4:$A$1177,$A209,Games!$D$4:$D$1177,"post",Games!$L$4:$L$1177,$C209,Games!$T$4:$T$1177,"&lt;&gt;")</x:f>
        <x:v>0</x:v>
      </x:c>
      <x:c r="L209" s="80" t="n">
        <x:f>IF(D209=0,0,K209/D209)</x:f>
        <x:v>0</x:v>
      </x:c>
      <x:c r="M209" t="str">
        <x:f>IF(AND(D209&gt;=2,K209&gt;=2,L209&gt;=75%),"YES","NO")</x:f>
        <x:v>NO</x:v>
      </x:c>
    </x:row>
    <x:row r="210">
      <x:c r="A210" t="str">
        <x:v>CFB</x:v>
      </x:c>
      <x:c r="B210" t="str">
        <x:v>UCF Knights</x:v>
      </x:c>
      <x:c r="C210" t="str">
        <x:v>UCF</x:v>
      </x:c>
      <x:c r="D210" t="n">
        <x:f>COUNTIFS(Games!$A$4:$A$1177,$A210,Games!$D$4:$D$1177,"post",Games!$G$4:$G$1177,$C210)+COUNTIFS(Games!$A$4:$A$1177,$A210,Games!$D$4:$D$1177,"post",Games!$L$4:$L$1177,$C210)</x:f>
        <x:v>3</x:v>
      </x:c>
      <x:c r="E210" t="n">
        <x:f>COUNTIFS(Games!$A$4:$A$1177,$A210,Games!$G$4:$G$1177,$C210,Games!$J$4:$J$1177,"W")+COUNTIFS(Games!$A$4:$A$1177,$A210,Games!$L$4:$L$1177,$C210,Games!$O$4:$O$1177,"W")</x:f>
        <x:v>2</x:v>
      </x:c>
      <x:c r="F210" t="n">
        <x:f>COUNTIFS(Games!$A$4:$A$1177,$A210,Games!$G$4:$G$1177,$C210,Games!$J$4:$J$1177,"L")+COUNTIFS(Games!$A$4:$A$1177,$A210,Games!$L$4:$L$1177,$C210,Games!$O$4:$O$1177,"L")</x:f>
        <x:v>1</x:v>
      </x:c>
      <x:c r="G210" t="n">
        <x:f>COUNTIFS(Games!$A$4:$A$1177,$A210,Games!$G$4:$G$1177,$C210,Games!$J$4:$J$1177,"T")+COUNTIFS(Games!$A$4:$A$1177,$A210,Games!$L$4:$L$1177,$C210,Games!$O$4:$O$1177,"T")</x:f>
        <x:v>0</x:v>
      </x:c>
      <x:c r="H210" t="n">
        <x:f>SUMIFS(Games!$H$4:$H$1177,Games!$A$4:$A$1177,$A210,Games!$D$4:$D$1177,"post",Games!$G$4:$G$1177,$C210)+SUMIFS(Games!$M$4:$M$1177,Games!$A$4:$A$1177,$A210,Games!$D$4:$D$1177,"post",Games!$L$4:$L$1177,$C210)</x:f>
        <x:v>124</x:v>
      </x:c>
      <x:c r="I210" t="n">
        <x:f>SUMIFS(Games!$M$4:$M$1177,Games!$A$4:$A$1177,$A210,Games!$D$4:$D$1177,"post",Games!$G$4:$G$1177,$C210)+SUMIFS(Games!$H$4:$H$1177,Games!$A$4:$A$1177,$A210,Games!$D$4:$D$1177,"post",Games!$L$4:$L$1177,$C210)</x:f>
        <x:v>48</x:v>
      </x:c>
      <x:c r="J210" t="str">
        <x:f>E210&amp;"-"&amp;F210&amp;IF(G210&gt;0,"-"&amp;G210,"")</x:f>
        <x:v>2-1</x:v>
      </x:c>
      <x:c r="K210" t="n">
        <x:f>COUNTIFS(Games!$A$4:$A$1177,$A210,Games!$D$4:$D$1177,"post",Games!$G$4:$G$1177,$C210,Games!$T$4:$T$1177,"&lt;&gt;")+COUNTIFS(Games!$A$4:$A$1177,$A210,Games!$D$4:$D$1177,"post",Games!$L$4:$L$1177,$C210,Games!$T$4:$T$1177,"&lt;&gt;")</x:f>
        <x:v>0</x:v>
      </x:c>
      <x:c r="L210" s="80" t="n">
        <x:f>IF(D210=0,0,K210/D210)</x:f>
        <x:v>0</x:v>
      </x:c>
      <x:c r="M210" t="str">
        <x:f>IF(AND(D210&gt;=2,K210&gt;=2,L210&gt;=75%),"YES","NO")</x:f>
        <x:v>NO</x:v>
      </x:c>
    </x:row>
    <x:row r="211">
      <x:c r="A211" t="str">
        <x:v>CFB</x:v>
      </x:c>
      <x:c r="B211" t="str">
        <x:v>UCLA Bruins</x:v>
      </x:c>
      <x:c r="C211" t="str">
        <x:v>UCLA</x:v>
      </x:c>
      <x:c r="D211" t="n">
        <x:f>COUNTIFS(Games!$A$4:$A$1177,$A211,Games!$D$4:$D$1177,"post",Games!$G$4:$G$1177,$C211)+COUNTIFS(Games!$A$4:$A$1177,$A211,Games!$D$4:$D$1177,"post",Games!$L$4:$L$1177,$C211)</x:f>
        <x:v>3</x:v>
      </x:c>
      <x:c r="E211" t="n">
        <x:f>COUNTIFS(Games!$A$4:$A$1177,$A211,Games!$G$4:$G$1177,$C211,Games!$J$4:$J$1177,"W")+COUNTIFS(Games!$A$4:$A$1177,$A211,Games!$L$4:$L$1177,$C211,Games!$O$4:$O$1177,"W")</x:f>
        <x:v>3</x:v>
      </x:c>
      <x:c r="F211" t="n">
        <x:f>COUNTIFS(Games!$A$4:$A$1177,$A211,Games!$G$4:$G$1177,$C211,Games!$J$4:$J$1177,"L")+COUNTIFS(Games!$A$4:$A$1177,$A211,Games!$L$4:$L$1177,$C211,Games!$O$4:$O$1177,"L")</x:f>
        <x:v>0</x:v>
      </x:c>
      <x:c r="G211" t="n">
        <x:f>COUNTIFS(Games!$A$4:$A$1177,$A211,Games!$G$4:$G$1177,$C211,Games!$J$4:$J$1177,"T")+COUNTIFS(Games!$A$4:$A$1177,$A211,Games!$L$4:$L$1177,$C211,Games!$O$4:$O$1177,"T")</x:f>
        <x:v>0</x:v>
      </x:c>
      <x:c r="H211" t="n">
        <x:f>SUMIFS(Games!$H$4:$H$1177,Games!$A$4:$A$1177,$A211,Games!$D$4:$D$1177,"post",Games!$G$4:$G$1177,$C211)+SUMIFS(Games!$M$4:$M$1177,Games!$A$4:$A$1177,$A211,Games!$D$4:$D$1177,"post",Games!$L$4:$L$1177,$C211)</x:f>
        <x:v>125</x:v>
      </x:c>
      <x:c r="I211" t="n">
        <x:f>SUMIFS(Games!$M$4:$M$1177,Games!$A$4:$A$1177,$A211,Games!$D$4:$D$1177,"post",Games!$G$4:$G$1177,$C211)+SUMIFS(Games!$H$4:$H$1177,Games!$A$4:$A$1177,$A211,Games!$D$4:$D$1177,"post",Games!$L$4:$L$1177,$C211)</x:f>
        <x:v>72</x:v>
      </x:c>
      <x:c r="J211" t="str">
        <x:f>E211&amp;"-"&amp;F211&amp;IF(G211&gt;0,"-"&amp;G211,"")</x:f>
        <x:v>3-0</x:v>
      </x:c>
      <x:c r="K211" t="n">
        <x:f>COUNTIFS(Games!$A$4:$A$1177,$A211,Games!$D$4:$D$1177,"post",Games!$G$4:$G$1177,$C211,Games!$T$4:$T$1177,"&lt;&gt;")+COUNTIFS(Games!$A$4:$A$1177,$A211,Games!$D$4:$D$1177,"post",Games!$L$4:$L$1177,$C211,Games!$T$4:$T$1177,"&lt;&gt;")</x:f>
        <x:v>0</x:v>
      </x:c>
      <x:c r="L211" s="80" t="n">
        <x:f>IF(D211=0,0,K211/D211)</x:f>
        <x:v>0</x:v>
      </x:c>
      <x:c r="M211" t="str">
        <x:f>IF(AND(D211&gt;=2,K211&gt;=2,L211&gt;=75%),"YES","NO")</x:f>
        <x:v>NO</x:v>
      </x:c>
    </x:row>
    <x:row r="212">
      <x:c r="A212" t="str">
        <x:v>CFB</x:v>
      </x:c>
      <x:c r="B212" t="str">
        <x:v>UConn Huskies</x:v>
      </x:c>
      <x:c r="C212" t="str">
        <x:v>CONN</x:v>
      </x:c>
      <x:c r="D212" t="n">
        <x:f>COUNTIFS(Games!$A$4:$A$1177,$A212,Games!$D$4:$D$1177,"post",Games!$G$4:$G$1177,$C212)+COUNTIFS(Games!$A$4:$A$1177,$A212,Games!$D$4:$D$1177,"post",Games!$L$4:$L$1177,$C212)</x:f>
        <x:v>3</x:v>
      </x:c>
      <x:c r="E212" t="n">
        <x:f>COUNTIFS(Games!$A$4:$A$1177,$A212,Games!$G$4:$G$1177,$C212,Games!$J$4:$J$1177,"W")+COUNTIFS(Games!$A$4:$A$1177,$A212,Games!$L$4:$L$1177,$C212,Games!$O$4:$O$1177,"W")</x:f>
        <x:v>2</x:v>
      </x:c>
      <x:c r="F212" t="n">
        <x:f>COUNTIFS(Games!$A$4:$A$1177,$A212,Games!$G$4:$G$1177,$C212,Games!$J$4:$J$1177,"L")+COUNTIFS(Games!$A$4:$A$1177,$A212,Games!$L$4:$L$1177,$C212,Games!$O$4:$O$1177,"L")</x:f>
        <x:v>1</x:v>
      </x:c>
      <x:c r="G212" t="n">
        <x:f>COUNTIFS(Games!$A$4:$A$1177,$A212,Games!$G$4:$G$1177,$C212,Games!$J$4:$J$1177,"T")+COUNTIFS(Games!$A$4:$A$1177,$A212,Games!$L$4:$L$1177,$C212,Games!$O$4:$O$1177,"T")</x:f>
        <x:v>0</x:v>
      </x:c>
      <x:c r="H212" t="n">
        <x:f>SUMIFS(Games!$H$4:$H$1177,Games!$A$4:$A$1177,$A212,Games!$D$4:$D$1177,"post",Games!$G$4:$G$1177,$C212)+SUMIFS(Games!$M$4:$M$1177,Games!$A$4:$A$1177,$A212,Games!$D$4:$D$1177,"post",Games!$L$4:$L$1177,$C212)</x:f>
        <x:v>118</x:v>
      </x:c>
      <x:c r="I212" t="n">
        <x:f>SUMIFS(Games!$M$4:$M$1177,Games!$A$4:$A$1177,$A212,Games!$D$4:$D$1177,"post",Games!$G$4:$G$1177,$C212)+SUMIFS(Games!$H$4:$H$1177,Games!$A$4:$A$1177,$A212,Games!$D$4:$D$1177,"post",Games!$L$4:$L$1177,$C212)</x:f>
        <x:v>65</x:v>
      </x:c>
      <x:c r="J212" t="str">
        <x:f>E212&amp;"-"&amp;F212&amp;IF(G212&gt;0,"-"&amp;G212,"")</x:f>
        <x:v>2-1</x:v>
      </x:c>
      <x:c r="K212" t="n">
        <x:f>COUNTIFS(Games!$A$4:$A$1177,$A212,Games!$D$4:$D$1177,"post",Games!$G$4:$G$1177,$C212,Games!$T$4:$T$1177,"&lt;&gt;")+COUNTIFS(Games!$A$4:$A$1177,$A212,Games!$D$4:$D$1177,"post",Games!$L$4:$L$1177,$C212,Games!$T$4:$T$1177,"&lt;&gt;")</x:f>
        <x:v>0</x:v>
      </x:c>
      <x:c r="L212" s="80" t="n">
        <x:f>IF(D212=0,0,K212/D212)</x:f>
        <x:v>0</x:v>
      </x:c>
      <x:c r="M212" t="str">
        <x:f>IF(AND(D212&gt;=2,K212&gt;=2,L212&gt;=75%),"YES","NO")</x:f>
        <x:v>NO</x:v>
      </x:c>
    </x:row>
    <x:row r="213">
      <x:c r="A213" t="str">
        <x:v>CFB</x:v>
      </x:c>
      <x:c r="B213" t="str">
        <x:v>UL Monroe Warhawks</x:v>
      </x:c>
      <x:c r="C213" t="str">
        <x:v>ULM</x:v>
      </x:c>
      <x:c r="D213" t="n">
        <x:f>COUNTIFS(Games!$A$4:$A$1177,$A213,Games!$D$4:$D$1177,"post",Games!$G$4:$G$1177,$C213)+COUNTIFS(Games!$A$4:$A$1177,$A213,Games!$D$4:$D$1177,"post",Games!$L$4:$L$1177,$C213)</x:f>
        <x:v>3</x:v>
      </x:c>
      <x:c r="E213" t="n">
        <x:f>COUNTIFS(Games!$A$4:$A$1177,$A213,Games!$G$4:$G$1177,$C213,Games!$J$4:$J$1177,"W")+COUNTIFS(Games!$A$4:$A$1177,$A213,Games!$L$4:$L$1177,$C213,Games!$O$4:$O$1177,"W")</x:f>
        <x:v>0</x:v>
      </x:c>
      <x:c r="F213" t="n">
        <x:f>COUNTIFS(Games!$A$4:$A$1177,$A213,Games!$G$4:$G$1177,$C213,Games!$J$4:$J$1177,"L")+COUNTIFS(Games!$A$4:$A$1177,$A213,Games!$L$4:$L$1177,$C213,Games!$O$4:$O$1177,"L")</x:f>
        <x:v>3</x:v>
      </x:c>
      <x:c r="G213" t="n">
        <x:f>COUNTIFS(Games!$A$4:$A$1177,$A213,Games!$G$4:$G$1177,$C213,Games!$J$4:$J$1177,"T")+COUNTIFS(Games!$A$4:$A$1177,$A213,Games!$L$4:$L$1177,$C213,Games!$O$4:$O$1177,"T")</x:f>
        <x:v>0</x:v>
      </x:c>
      <x:c r="H213" t="n">
        <x:f>SUMIFS(Games!$H$4:$H$1177,Games!$A$4:$A$1177,$A213,Games!$D$4:$D$1177,"post",Games!$G$4:$G$1177,$C213)+SUMIFS(Games!$M$4:$M$1177,Games!$A$4:$A$1177,$A213,Games!$D$4:$D$1177,"post",Games!$L$4:$L$1177,$C213)</x:f>
        <x:v>68</x:v>
      </x:c>
      <x:c r="I213" t="n">
        <x:f>SUMIFS(Games!$M$4:$M$1177,Games!$A$4:$A$1177,$A213,Games!$D$4:$D$1177,"post",Games!$G$4:$G$1177,$C213)+SUMIFS(Games!$H$4:$H$1177,Games!$A$4:$A$1177,$A213,Games!$D$4:$D$1177,"post",Games!$L$4:$L$1177,$C213)</x:f>
        <x:v>126</x:v>
      </x:c>
      <x:c r="J213" t="str">
        <x:f>E213&amp;"-"&amp;F213&amp;IF(G213&gt;0,"-"&amp;G213,"")</x:f>
        <x:v>0-3</x:v>
      </x:c>
      <x:c r="K213" t="n">
        <x:f>COUNTIFS(Games!$A$4:$A$1177,$A213,Games!$D$4:$D$1177,"post",Games!$G$4:$G$1177,$C213,Games!$T$4:$T$1177,"&lt;&gt;")+COUNTIFS(Games!$A$4:$A$1177,$A213,Games!$D$4:$D$1177,"post",Games!$L$4:$L$1177,$C213,Games!$T$4:$T$1177,"&lt;&gt;")</x:f>
        <x:v>0</x:v>
      </x:c>
      <x:c r="L213" s="80" t="n">
        <x:f>IF(D213=0,0,K213/D213)</x:f>
        <x:v>0</x:v>
      </x:c>
      <x:c r="M213" t="str">
        <x:f>IF(AND(D213&gt;=2,K213&gt;=2,L213&gt;=75%),"YES","NO")</x:f>
        <x:v>NO</x:v>
      </x:c>
    </x:row>
    <x:row r="214">
      <x:c r="A214" t="str">
        <x:v>CFB</x:v>
      </x:c>
      <x:c r="B214" t="str">
        <x:v>UNLV Rebels</x:v>
      </x:c>
      <x:c r="C214" t="str">
        <x:v>UNLV</x:v>
      </x:c>
      <x:c r="D214" t="n">
        <x:f>COUNTIFS(Games!$A$4:$A$1177,$A214,Games!$D$4:$D$1177,"post",Games!$G$4:$G$1177,$C214)+COUNTIFS(Games!$A$4:$A$1177,$A214,Games!$D$4:$D$1177,"post",Games!$L$4:$L$1177,$C214)</x:f>
        <x:v>3</x:v>
      </x:c>
      <x:c r="E214" t="n">
        <x:f>COUNTIFS(Games!$A$4:$A$1177,$A214,Games!$G$4:$G$1177,$C214,Games!$J$4:$J$1177,"W")+COUNTIFS(Games!$A$4:$A$1177,$A214,Games!$L$4:$L$1177,$C214,Games!$O$4:$O$1177,"W")</x:f>
        <x:v>1</x:v>
      </x:c>
      <x:c r="F214" t="n">
        <x:f>COUNTIFS(Games!$A$4:$A$1177,$A214,Games!$G$4:$G$1177,$C214,Games!$J$4:$J$1177,"L")+COUNTIFS(Games!$A$4:$A$1177,$A214,Games!$L$4:$L$1177,$C214,Games!$O$4:$O$1177,"L")</x:f>
        <x:v>2</x:v>
      </x:c>
      <x:c r="G214" t="n">
        <x:f>COUNTIFS(Games!$A$4:$A$1177,$A214,Games!$G$4:$G$1177,$C214,Games!$J$4:$J$1177,"T")+COUNTIFS(Games!$A$4:$A$1177,$A214,Games!$L$4:$L$1177,$C214,Games!$O$4:$O$1177,"T")</x:f>
        <x:v>0</x:v>
      </x:c>
      <x:c r="H214" t="n">
        <x:f>SUMIFS(Games!$H$4:$H$1177,Games!$A$4:$A$1177,$A214,Games!$D$4:$D$1177,"post",Games!$G$4:$G$1177,$C214)+SUMIFS(Games!$M$4:$M$1177,Games!$A$4:$A$1177,$A214,Games!$D$4:$D$1177,"post",Games!$L$4:$L$1177,$C214)</x:f>
        <x:v>48</x:v>
      </x:c>
      <x:c r="I214" t="n">
        <x:f>SUMIFS(Games!$M$4:$M$1177,Games!$A$4:$A$1177,$A214,Games!$D$4:$D$1177,"post",Games!$G$4:$G$1177,$C214)+SUMIFS(Games!$H$4:$H$1177,Games!$A$4:$A$1177,$A214,Games!$D$4:$D$1177,"post",Games!$L$4:$L$1177,$C214)</x:f>
        <x:v>77</x:v>
      </x:c>
      <x:c r="J214" t="str">
        <x:f>E214&amp;"-"&amp;F214&amp;IF(G214&gt;0,"-"&amp;G214,"")</x:f>
        <x:v>1-2</x:v>
      </x:c>
      <x:c r="K214" t="n">
        <x:f>COUNTIFS(Games!$A$4:$A$1177,$A214,Games!$D$4:$D$1177,"post",Games!$G$4:$G$1177,$C214,Games!$T$4:$T$1177,"&lt;&gt;")+COUNTIFS(Games!$A$4:$A$1177,$A214,Games!$D$4:$D$1177,"post",Games!$L$4:$L$1177,$C214,Games!$T$4:$T$1177,"&lt;&gt;")</x:f>
        <x:v>0</x:v>
      </x:c>
      <x:c r="L214" s="80" t="n">
        <x:f>IF(D214=0,0,K214/D214)</x:f>
        <x:v>0</x:v>
      </x:c>
      <x:c r="M214" t="str">
        <x:f>IF(AND(D214&gt;=2,K214&gt;=2,L214&gt;=75%),"YES","NO")</x:f>
        <x:v>NO</x:v>
      </x:c>
    </x:row>
    <x:row r="215">
      <x:c r="A215" t="str">
        <x:v>CFB</x:v>
      </x:c>
      <x:c r="B215" t="str">
        <x:v>USC Trojans</x:v>
      </x:c>
      <x:c r="C215" t="str">
        <x:v>USC</x:v>
      </x:c>
      <x:c r="D215" t="n">
        <x:f>COUNTIFS(Games!$A$4:$A$1177,$A215,Games!$D$4:$D$1177,"post",Games!$G$4:$G$1177,$C215)+COUNTIFS(Games!$A$4:$A$1177,$A215,Games!$D$4:$D$1177,"post",Games!$L$4:$L$1177,$C215)</x:f>
        <x:v>4</x:v>
      </x:c>
      <x:c r="E215" t="n">
        <x:f>COUNTIFS(Games!$A$4:$A$1177,$A215,Games!$G$4:$G$1177,$C215,Games!$J$4:$J$1177,"W")+COUNTIFS(Games!$A$4:$A$1177,$A215,Games!$L$4:$L$1177,$C215,Games!$O$4:$O$1177,"W")</x:f>
        <x:v>4</x:v>
      </x:c>
      <x:c r="F215" t="n">
        <x:f>COUNTIFS(Games!$A$4:$A$1177,$A215,Games!$G$4:$G$1177,$C215,Games!$J$4:$J$1177,"L")+COUNTIFS(Games!$A$4:$A$1177,$A215,Games!$L$4:$L$1177,$C215,Games!$O$4:$O$1177,"L")</x:f>
        <x:v>0</x:v>
      </x:c>
      <x:c r="G215" t="n">
        <x:f>COUNTIFS(Games!$A$4:$A$1177,$A215,Games!$G$4:$G$1177,$C215,Games!$J$4:$J$1177,"T")+COUNTIFS(Games!$A$4:$A$1177,$A215,Games!$L$4:$L$1177,$C215,Games!$O$4:$O$1177,"T")</x:f>
        <x:v>0</x:v>
      </x:c>
      <x:c r="H215" t="n">
        <x:f>SUMIFS(Games!$H$4:$H$1177,Games!$A$4:$A$1177,$A215,Games!$D$4:$D$1177,"post",Games!$G$4:$G$1177,$C215)+SUMIFS(Games!$M$4:$M$1177,Games!$A$4:$A$1177,$A215,Games!$D$4:$D$1177,"post",Games!$L$4:$L$1177,$C215)</x:f>
        <x:v>172</x:v>
      </x:c>
      <x:c r="I215" t="n">
        <x:f>SUMIFS(Games!$M$4:$M$1177,Games!$A$4:$A$1177,$A215,Games!$D$4:$D$1177,"post",Games!$G$4:$G$1177,$C215)+SUMIFS(Games!$H$4:$H$1177,Games!$A$4:$A$1177,$A215,Games!$D$4:$D$1177,"post",Games!$L$4:$L$1177,$C215)</x:f>
        <x:v>91</x:v>
      </x:c>
      <x:c r="J215" t="str">
        <x:f>E215&amp;"-"&amp;F215&amp;IF(G215&gt;0,"-"&amp;G215,"")</x:f>
        <x:v>4-0</x:v>
      </x:c>
      <x:c r="K215" t="n">
        <x:f>COUNTIFS(Games!$A$4:$A$1177,$A215,Games!$D$4:$D$1177,"post",Games!$G$4:$G$1177,$C215,Games!$T$4:$T$1177,"&lt;&gt;")+COUNTIFS(Games!$A$4:$A$1177,$A215,Games!$D$4:$D$1177,"post",Games!$L$4:$L$1177,$C215,Games!$T$4:$T$1177,"&lt;&gt;")</x:f>
        <x:v>0</x:v>
      </x:c>
      <x:c r="L215" s="80" t="n">
        <x:f>IF(D215=0,0,K215/D215)</x:f>
        <x:v>0</x:v>
      </x:c>
      <x:c r="M215" t="str">
        <x:f>IF(AND(D215&gt;=2,K215&gt;=2,L215&gt;=75%),"YES","NO")</x:f>
        <x:v>NO</x:v>
      </x:c>
    </x:row>
    <x:row r="216">
      <x:c r="A216" t="str">
        <x:v>CFB</x:v>
      </x:c>
      <x:c r="B216" t="str">
        <x:v>UT Martin Skyhawks</x:v>
      </x:c>
      <x:c r="C216" t="str">
        <x:v>UTM</x:v>
      </x:c>
      <x:c r="D216" t="n">
        <x:f>COUNTIFS(Games!$A$4:$A$1177,$A216,Games!$D$4:$D$1177,"post",Games!$G$4:$G$1177,$C216)+COUNTIFS(Games!$A$4:$A$1177,$A216,Games!$D$4:$D$1177,"post",Games!$L$4:$L$1177,$C216)</x:f>
        <x:v>2</x:v>
      </x:c>
      <x:c r="E216" t="n">
        <x:f>COUNTIFS(Games!$A$4:$A$1177,$A216,Games!$G$4:$G$1177,$C216,Games!$J$4:$J$1177,"W")+COUNTIFS(Games!$A$4:$A$1177,$A216,Games!$L$4:$L$1177,$C216,Games!$O$4:$O$1177,"W")</x:f>
        <x:v>0</x:v>
      </x:c>
      <x:c r="F216" t="n">
        <x:f>COUNTIFS(Games!$A$4:$A$1177,$A216,Games!$G$4:$G$1177,$C216,Games!$J$4:$J$1177,"L")+COUNTIFS(Games!$A$4:$A$1177,$A216,Games!$L$4:$L$1177,$C216,Games!$O$4:$O$1177,"L")</x:f>
        <x:v>2</x:v>
      </x:c>
      <x:c r="G216" t="n">
        <x:f>COUNTIFS(Games!$A$4:$A$1177,$A216,Games!$G$4:$G$1177,$C216,Games!$J$4:$J$1177,"T")+COUNTIFS(Games!$A$4:$A$1177,$A216,Games!$L$4:$L$1177,$C216,Games!$O$4:$O$1177,"T")</x:f>
        <x:v>0</x:v>
      </x:c>
      <x:c r="H216" t="n">
        <x:f>SUMIFS(Games!$H$4:$H$1177,Games!$A$4:$A$1177,$A216,Games!$D$4:$D$1177,"post",Games!$G$4:$G$1177,$C216)+SUMIFS(Games!$M$4:$M$1177,Games!$A$4:$A$1177,$A216,Games!$D$4:$D$1177,"post",Games!$L$4:$L$1177,$C216)</x:f>
        <x:v>28</x:v>
      </x:c>
      <x:c r="I216" t="n">
        <x:f>SUMIFS(Games!$M$4:$M$1177,Games!$A$4:$A$1177,$A216,Games!$D$4:$D$1177,"post",Games!$G$4:$G$1177,$C216)+SUMIFS(Games!$H$4:$H$1177,Games!$A$4:$A$1177,$A216,Games!$D$4:$D$1177,"post",Games!$L$4:$L$1177,$C216)</x:f>
        <x:v>97</x:v>
      </x:c>
      <x:c r="J216" t="str">
        <x:f>E216&amp;"-"&amp;F216&amp;IF(G216&gt;0,"-"&amp;G216,"")</x:f>
        <x:v>0-2</x:v>
      </x:c>
      <x:c r="K216" t="n">
        <x:f>COUNTIFS(Games!$A$4:$A$1177,$A216,Games!$D$4:$D$1177,"post",Games!$G$4:$G$1177,$C216,Games!$T$4:$T$1177,"&lt;&gt;")+COUNTIFS(Games!$A$4:$A$1177,$A216,Games!$D$4:$D$1177,"post",Games!$L$4:$L$1177,$C216,Games!$T$4:$T$1177,"&lt;&gt;")</x:f>
        <x:v>0</x:v>
      </x:c>
      <x:c r="L216" s="80" t="n">
        <x:f>IF(D216=0,0,K216/D216)</x:f>
        <x:v>0</x:v>
      </x:c>
      <x:c r="M216" t="str">
        <x:f>IF(AND(D216&gt;=2,K216&gt;=2,L216&gt;=75%),"YES","NO")</x:f>
        <x:v>NO</x:v>
      </x:c>
    </x:row>
    <x:row r="217">
      <x:c r="A217" t="str">
        <x:v>CFB</x:v>
      </x:c>
      <x:c r="B217" t="str">
        <x:v>UT Rio Grande Valley Vaqueros</x:v>
      </x:c>
      <x:c r="C217" t="str">
        <x:v>RGV</x:v>
      </x:c>
      <x:c r="D217" t="n">
        <x:f>COUNTIFS(Games!$A$4:$A$1177,$A217,Games!$D$4:$D$1177,"post",Games!$G$4:$G$1177,$C217)+COUNTIFS(Games!$A$4:$A$1177,$A217,Games!$D$4:$D$1177,"post",Games!$L$4:$L$1177,$C217)</x:f>
        <x:v>1</x:v>
      </x:c>
      <x:c r="E217" t="n">
        <x:f>COUNTIFS(Games!$A$4:$A$1177,$A217,Games!$G$4:$G$1177,$C217,Games!$J$4:$J$1177,"W")+COUNTIFS(Games!$A$4:$A$1177,$A217,Games!$L$4:$L$1177,$C217,Games!$O$4:$O$1177,"W")</x:f>
        <x:v>0</x:v>
      </x:c>
      <x:c r="F217" t="n">
        <x:f>COUNTIFS(Games!$A$4:$A$1177,$A217,Games!$G$4:$G$1177,$C217,Games!$J$4:$J$1177,"L")+COUNTIFS(Games!$A$4:$A$1177,$A217,Games!$L$4:$L$1177,$C217,Games!$O$4:$O$1177,"L")</x:f>
        <x:v>1</x:v>
      </x:c>
      <x:c r="G217" t="n">
        <x:f>COUNTIFS(Games!$A$4:$A$1177,$A217,Games!$G$4:$G$1177,$C217,Games!$J$4:$J$1177,"T")+COUNTIFS(Games!$A$4:$A$1177,$A217,Games!$L$4:$L$1177,$C217,Games!$O$4:$O$1177,"T")</x:f>
        <x:v>0</x:v>
      </x:c>
      <x:c r="H217" t="n">
        <x:f>SUMIFS(Games!$H$4:$H$1177,Games!$A$4:$A$1177,$A217,Games!$D$4:$D$1177,"post",Games!$G$4:$G$1177,$C217)+SUMIFS(Games!$M$4:$M$1177,Games!$A$4:$A$1177,$A217,Games!$D$4:$D$1177,"post",Games!$L$4:$L$1177,$C217)</x:f>
        <x:v>16</x:v>
      </x:c>
      <x:c r="I217" t="n">
        <x:f>SUMIFS(Games!$M$4:$M$1177,Games!$A$4:$A$1177,$A217,Games!$D$4:$D$1177,"post",Games!$G$4:$G$1177,$C217)+SUMIFS(Games!$H$4:$H$1177,Games!$A$4:$A$1177,$A217,Games!$D$4:$D$1177,"post",Games!$L$4:$L$1177,$C217)</x:f>
        <x:v>45</x:v>
      </x:c>
      <x:c r="J217" t="str">
        <x:f>E217&amp;"-"&amp;F217&amp;IF(G217&gt;0,"-"&amp;G217,"")</x:f>
        <x:v>0-1</x:v>
      </x:c>
      <x:c r="K217" t="n">
        <x:f>COUNTIFS(Games!$A$4:$A$1177,$A217,Games!$D$4:$D$1177,"post",Games!$G$4:$G$1177,$C217,Games!$T$4:$T$1177,"&lt;&gt;")+COUNTIFS(Games!$A$4:$A$1177,$A217,Games!$D$4:$D$1177,"post",Games!$L$4:$L$1177,$C217,Games!$T$4:$T$1177,"&lt;&gt;")</x:f>
        <x:v>0</x:v>
      </x:c>
      <x:c r="L217" s="80" t="n">
        <x:f>IF(D217=0,0,K217/D217)</x:f>
        <x:v>0</x:v>
      </x:c>
      <x:c r="M217" t="str">
        <x:f>IF(AND(D217&gt;=2,K217&gt;=2,L217&gt;=75%),"YES","NO")</x:f>
        <x:v>NO</x:v>
      </x:c>
    </x:row>
    <x:row r="218">
      <x:c r="A218" t="str">
        <x:v>CFB</x:v>
      </x:c>
      <x:c r="B218" t="str">
        <x:v>Utah State Aggies</x:v>
      </x:c>
      <x:c r="C218" t="str">
        <x:v>USU</x:v>
      </x:c>
      <x:c r="D218" t="n">
        <x:f>COUNTIFS(Games!$A$4:$A$1177,$A218,Games!$D$4:$D$1177,"post",Games!$G$4:$G$1177,$C218)+COUNTIFS(Games!$A$4:$A$1177,$A218,Games!$D$4:$D$1177,"post",Games!$L$4:$L$1177,$C218)</x:f>
        <x:v>3</x:v>
      </x:c>
      <x:c r="E218" t="n">
        <x:f>COUNTIFS(Games!$A$4:$A$1177,$A218,Games!$G$4:$G$1177,$C218,Games!$J$4:$J$1177,"W")+COUNTIFS(Games!$A$4:$A$1177,$A218,Games!$L$4:$L$1177,$C218,Games!$O$4:$O$1177,"W")</x:f>
        <x:v>0</x:v>
      </x:c>
      <x:c r="F218" t="n">
        <x:f>COUNTIFS(Games!$A$4:$A$1177,$A218,Games!$G$4:$G$1177,$C218,Games!$J$4:$J$1177,"L")+COUNTIFS(Games!$A$4:$A$1177,$A218,Games!$L$4:$L$1177,$C218,Games!$O$4:$O$1177,"L")</x:f>
        <x:v>3</x:v>
      </x:c>
      <x:c r="G218" t="n">
        <x:f>COUNTIFS(Games!$A$4:$A$1177,$A218,Games!$G$4:$G$1177,$C218,Games!$J$4:$J$1177,"T")+COUNTIFS(Games!$A$4:$A$1177,$A218,Games!$L$4:$L$1177,$C218,Games!$O$4:$O$1177,"T")</x:f>
        <x:v>0</x:v>
      </x:c>
      <x:c r="H218" t="n">
        <x:f>SUMIFS(Games!$H$4:$H$1177,Games!$A$4:$A$1177,$A218,Games!$D$4:$D$1177,"post",Games!$G$4:$G$1177,$C218)+SUMIFS(Games!$M$4:$M$1177,Games!$A$4:$A$1177,$A218,Games!$D$4:$D$1177,"post",Games!$L$4:$L$1177,$C218)</x:f>
        <x:v>31</x:v>
      </x:c>
      <x:c r="I218" t="n">
        <x:f>SUMIFS(Games!$M$4:$M$1177,Games!$A$4:$A$1177,$A218,Games!$D$4:$D$1177,"post",Games!$G$4:$G$1177,$C218)+SUMIFS(Games!$H$4:$H$1177,Games!$A$4:$A$1177,$A218,Games!$D$4:$D$1177,"post",Games!$L$4:$L$1177,$C218)</x:f>
        <x:v>78</x:v>
      </x:c>
      <x:c r="J218" t="str">
        <x:f>E218&amp;"-"&amp;F218&amp;IF(G218&gt;0,"-"&amp;G218,"")</x:f>
        <x:v>0-3</x:v>
      </x:c>
      <x:c r="K218" t="n">
        <x:f>COUNTIFS(Games!$A$4:$A$1177,$A218,Games!$D$4:$D$1177,"post",Games!$G$4:$G$1177,$C218,Games!$T$4:$T$1177,"&lt;&gt;")+COUNTIFS(Games!$A$4:$A$1177,$A218,Games!$D$4:$D$1177,"post",Games!$L$4:$L$1177,$C218,Games!$T$4:$T$1177,"&lt;&gt;")</x:f>
        <x:v>0</x:v>
      </x:c>
      <x:c r="L218" s="80" t="n">
        <x:f>IF(D218=0,0,K218/D218)</x:f>
        <x:v>0</x:v>
      </x:c>
      <x:c r="M218" t="str">
        <x:f>IF(AND(D218&gt;=2,K218&gt;=2,L218&gt;=75%),"YES","NO")</x:f>
        <x:v>NO</x:v>
      </x:c>
    </x:row>
    <x:row r="219">
      <x:c r="A219" t="str">
        <x:v>CFB</x:v>
      </x:c>
      <x:c r="B219" t="str">
        <x:v>Utah Tech Trailblazers</x:v>
      </x:c>
      <x:c r="C219" t="str">
        <x:v>UTU</x:v>
      </x:c>
      <x:c r="D219" t="n">
        <x:f>COUNTIFS(Games!$A$4:$A$1177,$A219,Games!$D$4:$D$1177,"post",Games!$G$4:$G$1177,$C219)+COUNTIFS(Games!$A$4:$A$1177,$A219,Games!$D$4:$D$1177,"post",Games!$L$4:$L$1177,$C219)</x:f>
        <x:v>1</x:v>
      </x:c>
      <x:c r="E219" t="n">
        <x:f>COUNTIFS(Games!$A$4:$A$1177,$A219,Games!$G$4:$G$1177,$C219,Games!$J$4:$J$1177,"W")+COUNTIFS(Games!$A$4:$A$1177,$A219,Games!$L$4:$L$1177,$C219,Games!$O$4:$O$1177,"W")</x:f>
        <x:v>0</x:v>
      </x:c>
      <x:c r="F219" t="n">
        <x:f>COUNTIFS(Games!$A$4:$A$1177,$A219,Games!$G$4:$G$1177,$C219,Games!$J$4:$J$1177,"L")+COUNTIFS(Games!$A$4:$A$1177,$A219,Games!$L$4:$L$1177,$C219,Games!$O$4:$O$1177,"L")</x:f>
        <x:v>1</x:v>
      </x:c>
      <x:c r="G219" t="n">
        <x:f>COUNTIFS(Games!$A$4:$A$1177,$A219,Games!$G$4:$G$1177,$C219,Games!$J$4:$J$1177,"T")+COUNTIFS(Games!$A$4:$A$1177,$A219,Games!$L$4:$L$1177,$C219,Games!$O$4:$O$1177,"T")</x:f>
        <x:v>0</x:v>
      </x:c>
      <x:c r="H219" t="n">
        <x:f>SUMIFS(Games!$H$4:$H$1177,Games!$A$4:$A$1177,$A219,Games!$D$4:$D$1177,"post",Games!$G$4:$G$1177,$C219)+SUMIFS(Games!$M$4:$M$1177,Games!$A$4:$A$1177,$A219,Games!$D$4:$D$1177,"post",Games!$L$4:$L$1177,$C219)</x:f>
        <x:v>7</x:v>
      </x:c>
      <x:c r="I219" t="n">
        <x:f>SUMIFS(Games!$M$4:$M$1177,Games!$A$4:$A$1177,$A219,Games!$D$4:$D$1177,"post",Games!$G$4:$G$1177,$C219)+SUMIFS(Games!$H$4:$H$1177,Games!$A$4:$A$1177,$A219,Games!$D$4:$D$1177,"post",Games!$L$4:$L$1177,$C219)</x:f>
        <x:v>63</x:v>
      </x:c>
      <x:c r="J219" t="str">
        <x:f>E219&amp;"-"&amp;F219&amp;IF(G219&gt;0,"-"&amp;G219,"")</x:f>
        <x:v>0-1</x:v>
      </x:c>
      <x:c r="K219" t="n">
        <x:f>COUNTIFS(Games!$A$4:$A$1177,$A219,Games!$D$4:$D$1177,"post",Games!$G$4:$G$1177,$C219,Games!$T$4:$T$1177,"&lt;&gt;")+COUNTIFS(Games!$A$4:$A$1177,$A219,Games!$D$4:$D$1177,"post",Games!$L$4:$L$1177,$C219,Games!$T$4:$T$1177,"&lt;&gt;")</x:f>
        <x:v>0</x:v>
      </x:c>
      <x:c r="L219" s="80" t="n">
        <x:f>IF(D219=0,0,K219/D219)</x:f>
        <x:v>0</x:v>
      </x:c>
      <x:c r="M219" t="str">
        <x:f>IF(AND(D219&gt;=2,K219&gt;=2,L219&gt;=75%),"YES","NO")</x:f>
        <x:v>NO</x:v>
      </x:c>
    </x:row>
    <x:row r="220">
      <x:c r="A220" t="str">
        <x:v>CFB</x:v>
      </x:c>
      <x:c r="B220" t="str">
        <x:v>Utah Utes</x:v>
      </x:c>
      <x:c r="C220" t="str">
        <x:v>UTAH</x:v>
      </x:c>
      <x:c r="D220" t="n">
        <x:f>COUNTIFS(Games!$A$4:$A$1177,$A220,Games!$D$4:$D$1177,"post",Games!$G$4:$G$1177,$C220)+COUNTIFS(Games!$A$4:$A$1177,$A220,Games!$D$4:$D$1177,"post",Games!$L$4:$L$1177,$C220)</x:f>
        <x:v>3</x:v>
      </x:c>
      <x:c r="E220" t="n">
        <x:f>COUNTIFS(Games!$A$4:$A$1177,$A220,Games!$G$4:$G$1177,$C220,Games!$J$4:$J$1177,"W")+COUNTIFS(Games!$A$4:$A$1177,$A220,Games!$L$4:$L$1177,$C220,Games!$O$4:$O$1177,"W")</x:f>
        <x:v>3</x:v>
      </x:c>
      <x:c r="F220" t="n">
        <x:f>COUNTIFS(Games!$A$4:$A$1177,$A220,Games!$G$4:$G$1177,$C220,Games!$J$4:$J$1177,"L")+COUNTIFS(Games!$A$4:$A$1177,$A220,Games!$L$4:$L$1177,$C220,Games!$O$4:$O$1177,"L")</x:f>
        <x:v>0</x:v>
      </x:c>
      <x:c r="G220" t="n">
        <x:f>COUNTIFS(Games!$A$4:$A$1177,$A220,Games!$G$4:$G$1177,$C220,Games!$J$4:$J$1177,"T")+COUNTIFS(Games!$A$4:$A$1177,$A220,Games!$L$4:$L$1177,$C220,Games!$O$4:$O$1177,"T")</x:f>
        <x:v>0</x:v>
      </x:c>
      <x:c r="H220" t="n">
        <x:f>SUMIFS(Games!$H$4:$H$1177,Games!$A$4:$A$1177,$A220,Games!$D$4:$D$1177,"post",Games!$G$4:$G$1177,$C220)+SUMIFS(Games!$M$4:$M$1177,Games!$A$4:$A$1177,$A220,Games!$D$4:$D$1177,"post",Games!$L$4:$L$1177,$C220)</x:f>
        <x:v>142</x:v>
      </x:c>
      <x:c r="I220" t="n">
        <x:f>SUMIFS(Games!$M$4:$M$1177,Games!$A$4:$A$1177,$A220,Games!$D$4:$D$1177,"post",Games!$G$4:$G$1177,$C220)+SUMIFS(Games!$H$4:$H$1177,Games!$A$4:$A$1177,$A220,Games!$D$4:$D$1177,"post",Games!$L$4:$L$1177,$C220)</x:f>
        <x:v>24</x:v>
      </x:c>
      <x:c r="J220" t="str">
        <x:f>E220&amp;"-"&amp;F220&amp;IF(G220&gt;0,"-"&amp;G220,"")</x:f>
        <x:v>3-0</x:v>
      </x:c>
      <x:c r="K220" t="n">
        <x:f>COUNTIFS(Games!$A$4:$A$1177,$A220,Games!$D$4:$D$1177,"post",Games!$G$4:$G$1177,$C220,Games!$T$4:$T$1177,"&lt;&gt;")+COUNTIFS(Games!$A$4:$A$1177,$A220,Games!$D$4:$D$1177,"post",Games!$L$4:$L$1177,$C220,Games!$T$4:$T$1177,"&lt;&gt;")</x:f>
        <x:v>0</x:v>
      </x:c>
      <x:c r="L220" s="80" t="n">
        <x:f>IF(D220=0,0,K220/D220)</x:f>
        <x:v>0</x:v>
      </x:c>
      <x:c r="M220" t="str">
        <x:f>IF(AND(D220&gt;=2,K220&gt;=2,L220&gt;=75%),"YES","NO")</x:f>
        <x:v>NO</x:v>
      </x:c>
    </x:row>
    <x:row r="221">
      <x:c r="A221" t="str">
        <x:v>CFB</x:v>
      </x:c>
      <x:c r="B221" t="str">
        <x:v>UTEP Miners</x:v>
      </x:c>
      <x:c r="C221" t="str">
        <x:v>UTEP</x:v>
      </x:c>
      <x:c r="D221" t="n">
        <x:f>COUNTIFS(Games!$A$4:$A$1177,$A221,Games!$D$4:$D$1177,"post",Games!$G$4:$G$1177,$C221)+COUNTIFS(Games!$A$4:$A$1177,$A221,Games!$D$4:$D$1177,"post",Games!$L$4:$L$1177,$C221)</x:f>
        <x:v>3</x:v>
      </x:c>
      <x:c r="E221" t="n">
        <x:f>COUNTIFS(Games!$A$4:$A$1177,$A221,Games!$G$4:$G$1177,$C221,Games!$J$4:$J$1177,"W")+COUNTIFS(Games!$A$4:$A$1177,$A221,Games!$L$4:$L$1177,$C221,Games!$O$4:$O$1177,"W")</x:f>
        <x:v>1</x:v>
      </x:c>
      <x:c r="F221" t="n">
        <x:f>COUNTIFS(Games!$A$4:$A$1177,$A221,Games!$G$4:$G$1177,$C221,Games!$J$4:$J$1177,"L")+COUNTIFS(Games!$A$4:$A$1177,$A221,Games!$L$4:$L$1177,$C221,Games!$O$4:$O$1177,"L")</x:f>
        <x:v>2</x:v>
      </x:c>
      <x:c r="G221" t="n">
        <x:f>COUNTIFS(Games!$A$4:$A$1177,$A221,Games!$G$4:$G$1177,$C221,Games!$J$4:$J$1177,"T")+COUNTIFS(Games!$A$4:$A$1177,$A221,Games!$L$4:$L$1177,$C221,Games!$O$4:$O$1177,"T")</x:f>
        <x:v>0</x:v>
      </x:c>
      <x:c r="H221" t="n">
        <x:f>SUMIFS(Games!$H$4:$H$1177,Games!$A$4:$A$1177,$A221,Games!$D$4:$D$1177,"post",Games!$G$4:$G$1177,$C221)+SUMIFS(Games!$M$4:$M$1177,Games!$A$4:$A$1177,$A221,Games!$D$4:$D$1177,"post",Games!$L$4:$L$1177,$C221)</x:f>
        <x:v>68</x:v>
      </x:c>
      <x:c r="I221" t="n">
        <x:f>SUMIFS(Games!$M$4:$M$1177,Games!$A$4:$A$1177,$A221,Games!$D$4:$D$1177,"post",Games!$G$4:$G$1177,$C221)+SUMIFS(Games!$H$4:$H$1177,Games!$A$4:$A$1177,$A221,Games!$D$4:$D$1177,"post",Games!$L$4:$L$1177,$C221)</x:f>
        <x:v>113</x:v>
      </x:c>
      <x:c r="J221" t="str">
        <x:f>E221&amp;"-"&amp;F221&amp;IF(G221&gt;0,"-"&amp;G221,"")</x:f>
        <x:v>1-2</x:v>
      </x:c>
      <x:c r="K221" t="n">
        <x:f>COUNTIFS(Games!$A$4:$A$1177,$A221,Games!$D$4:$D$1177,"post",Games!$G$4:$G$1177,$C221,Games!$T$4:$T$1177,"&lt;&gt;")+COUNTIFS(Games!$A$4:$A$1177,$A221,Games!$D$4:$D$1177,"post",Games!$L$4:$L$1177,$C221,Games!$T$4:$T$1177,"&lt;&gt;")</x:f>
        <x:v>0</x:v>
      </x:c>
      <x:c r="L221" s="80" t="n">
        <x:f>IF(D221=0,0,K221/D221)</x:f>
        <x:v>0</x:v>
      </x:c>
      <x:c r="M221" t="str">
        <x:f>IF(AND(D221&gt;=2,K221&gt;=2,L221&gt;=75%),"YES","NO")</x:f>
        <x:v>NO</x:v>
      </x:c>
    </x:row>
    <x:row r="222">
      <x:c r="A222" t="str">
        <x:v>CFB</x:v>
      </x:c>
      <x:c r="B222" t="str">
        <x:v>UTSA Roadrunners</x:v>
      </x:c>
      <x:c r="C222" t="str">
        <x:v>UTSA</x:v>
      </x:c>
      <x:c r="D222" t="n">
        <x:f>COUNTIFS(Games!$A$4:$A$1177,$A222,Games!$D$4:$D$1177,"post",Games!$G$4:$G$1177,$C222)+COUNTIFS(Games!$A$4:$A$1177,$A222,Games!$D$4:$D$1177,"post",Games!$L$4:$L$1177,$C222)</x:f>
        <x:v>3</x:v>
      </x:c>
      <x:c r="E222" t="n">
        <x:f>COUNTIFS(Games!$A$4:$A$1177,$A222,Games!$G$4:$G$1177,$C222,Games!$J$4:$J$1177,"W")+COUNTIFS(Games!$A$4:$A$1177,$A222,Games!$L$4:$L$1177,$C222,Games!$O$4:$O$1177,"W")</x:f>
        <x:v>2</x:v>
      </x:c>
      <x:c r="F222" t="n">
        <x:f>COUNTIFS(Games!$A$4:$A$1177,$A222,Games!$G$4:$G$1177,$C222,Games!$J$4:$J$1177,"L")+COUNTIFS(Games!$A$4:$A$1177,$A222,Games!$L$4:$L$1177,$C222,Games!$O$4:$O$1177,"L")</x:f>
        <x:v>1</x:v>
      </x:c>
      <x:c r="G222" t="n">
        <x:f>COUNTIFS(Games!$A$4:$A$1177,$A222,Games!$G$4:$G$1177,$C222,Games!$J$4:$J$1177,"T")+COUNTIFS(Games!$A$4:$A$1177,$A222,Games!$L$4:$L$1177,$C222,Games!$O$4:$O$1177,"T")</x:f>
        <x:v>0</x:v>
      </x:c>
      <x:c r="H222" t="n">
        <x:f>SUMIFS(Games!$H$4:$H$1177,Games!$A$4:$A$1177,$A222,Games!$D$4:$D$1177,"post",Games!$G$4:$G$1177,$C222)+SUMIFS(Games!$M$4:$M$1177,Games!$A$4:$A$1177,$A222,Games!$D$4:$D$1177,"post",Games!$L$4:$L$1177,$C222)</x:f>
        <x:v>82</x:v>
      </x:c>
      <x:c r="I222" t="n">
        <x:f>SUMIFS(Games!$M$4:$M$1177,Games!$A$4:$A$1177,$A222,Games!$D$4:$D$1177,"post",Games!$G$4:$G$1177,$C222)+SUMIFS(Games!$H$4:$H$1177,Games!$A$4:$A$1177,$A222,Games!$D$4:$D$1177,"post",Games!$L$4:$L$1177,$C222)</x:f>
        <x:v>72</x:v>
      </x:c>
      <x:c r="J222" t="str">
        <x:f>E222&amp;"-"&amp;F222&amp;IF(G222&gt;0,"-"&amp;G222,"")</x:f>
        <x:v>2-1</x:v>
      </x:c>
      <x:c r="K222" t="n">
        <x:f>COUNTIFS(Games!$A$4:$A$1177,$A222,Games!$D$4:$D$1177,"post",Games!$G$4:$G$1177,$C222,Games!$T$4:$T$1177,"&lt;&gt;")+COUNTIFS(Games!$A$4:$A$1177,$A222,Games!$D$4:$D$1177,"post",Games!$L$4:$L$1177,$C222,Games!$T$4:$T$1177,"&lt;&gt;")</x:f>
        <x:v>0</x:v>
      </x:c>
      <x:c r="L222" s="80" t="n">
        <x:f>IF(D222=0,0,K222/D222)</x:f>
        <x:v>0</x:v>
      </x:c>
      <x:c r="M222" t="str">
        <x:f>IF(AND(D222&gt;=2,K222&gt;=2,L222&gt;=75%),"YES","NO")</x:f>
        <x:v>NO</x:v>
      </x:c>
    </x:row>
    <x:row r="223">
      <x:c r="A223" t="str">
        <x:v>CFB</x:v>
      </x:c>
      <x:c r="B223" t="str">
        <x:v>Vanderbilt Commodores</x:v>
      </x:c>
      <x:c r="C223" t="str">
        <x:v>VAN</x:v>
      </x:c>
      <x:c r="D223" t="n">
        <x:f>COUNTIFS(Games!$A$4:$A$1177,$A223,Games!$D$4:$D$1177,"post",Games!$G$4:$G$1177,$C223)+COUNTIFS(Games!$A$4:$A$1177,$A223,Games!$D$4:$D$1177,"post",Games!$L$4:$L$1177,$C223)</x:f>
        <x:v>3</x:v>
      </x:c>
      <x:c r="E223" t="n">
        <x:f>COUNTIFS(Games!$A$4:$A$1177,$A223,Games!$G$4:$G$1177,$C223,Games!$J$4:$J$1177,"W")+COUNTIFS(Games!$A$4:$A$1177,$A223,Games!$L$4:$L$1177,$C223,Games!$O$4:$O$1177,"W")</x:f>
        <x:v>3</x:v>
      </x:c>
      <x:c r="F223" t="n">
        <x:f>COUNTIFS(Games!$A$4:$A$1177,$A223,Games!$G$4:$G$1177,$C223,Games!$J$4:$J$1177,"L")+COUNTIFS(Games!$A$4:$A$1177,$A223,Games!$L$4:$L$1177,$C223,Games!$O$4:$O$1177,"L")</x:f>
        <x:v>0</x:v>
      </x:c>
      <x:c r="G223" t="n">
        <x:f>COUNTIFS(Games!$A$4:$A$1177,$A223,Games!$G$4:$G$1177,$C223,Games!$J$4:$J$1177,"T")+COUNTIFS(Games!$A$4:$A$1177,$A223,Games!$L$4:$L$1177,$C223,Games!$O$4:$O$1177,"T")</x:f>
        <x:v>0</x:v>
      </x:c>
      <x:c r="H223" t="n">
        <x:f>SUMIFS(Games!$H$4:$H$1177,Games!$A$4:$A$1177,$A223,Games!$D$4:$D$1177,"post",Games!$G$4:$G$1177,$C223)+SUMIFS(Games!$M$4:$M$1177,Games!$A$4:$A$1177,$A223,Games!$D$4:$D$1177,"post",Games!$L$4:$L$1177,$C223)</x:f>
        <x:v>98</x:v>
      </x:c>
      <x:c r="I223" t="n">
        <x:f>SUMIFS(Games!$M$4:$M$1177,Games!$A$4:$A$1177,$A223,Games!$D$4:$D$1177,"post",Games!$G$4:$G$1177,$C223)+SUMIFS(Games!$H$4:$H$1177,Games!$A$4:$A$1177,$A223,Games!$D$4:$D$1177,"post",Games!$L$4:$L$1177,$C223)</x:f>
        <x:v>66</x:v>
      </x:c>
      <x:c r="J223" t="str">
        <x:f>E223&amp;"-"&amp;F223&amp;IF(G223&gt;0,"-"&amp;G223,"")</x:f>
        <x:v>3-0</x:v>
      </x:c>
      <x:c r="K223" t="n">
        <x:f>COUNTIFS(Games!$A$4:$A$1177,$A223,Games!$D$4:$D$1177,"post",Games!$G$4:$G$1177,$C223,Games!$T$4:$T$1177,"&lt;&gt;")+COUNTIFS(Games!$A$4:$A$1177,$A223,Games!$D$4:$D$1177,"post",Games!$L$4:$L$1177,$C223,Games!$T$4:$T$1177,"&lt;&gt;")</x:f>
        <x:v>0</x:v>
      </x:c>
      <x:c r="L223" s="80" t="n">
        <x:f>IF(D223=0,0,K223/D223)</x:f>
        <x:v>0</x:v>
      </x:c>
      <x:c r="M223" t="str">
        <x:f>IF(AND(D223&gt;=2,K223&gt;=2,L223&gt;=75%),"YES","NO")</x:f>
        <x:v>NO</x:v>
      </x:c>
    </x:row>
    <x:row r="224">
      <x:c r="A224" t="str">
        <x:v>CFB</x:v>
      </x:c>
      <x:c r="B224" t="str">
        <x:v>Villanova Wildcats</x:v>
      </x:c>
      <x:c r="C224" t="str">
        <x:v>VILL</x:v>
      </x:c>
      <x:c r="D224" t="n">
        <x:f>COUNTIFS(Games!$A$4:$A$1177,$A224,Games!$D$4:$D$1177,"post",Games!$G$4:$G$1177,$C224)+COUNTIFS(Games!$A$4:$A$1177,$A224,Games!$D$4:$D$1177,"post",Games!$L$4:$L$1177,$C224)</x:f>
        <x:v>1</x:v>
      </x:c>
      <x:c r="E224" t="n">
        <x:f>COUNTIFS(Games!$A$4:$A$1177,$A224,Games!$G$4:$G$1177,$C224,Games!$J$4:$J$1177,"W")+COUNTIFS(Games!$A$4:$A$1177,$A224,Games!$L$4:$L$1177,$C224,Games!$O$4:$O$1177,"W")</x:f>
        <x:v>0</x:v>
      </x:c>
      <x:c r="F224" t="n">
        <x:f>COUNTIFS(Games!$A$4:$A$1177,$A224,Games!$G$4:$G$1177,$C224,Games!$J$4:$J$1177,"L")+COUNTIFS(Games!$A$4:$A$1177,$A224,Games!$L$4:$L$1177,$C224,Games!$O$4:$O$1177,"L")</x:f>
        <x:v>1</x:v>
      </x:c>
      <x:c r="G224" t="n">
        <x:f>COUNTIFS(Games!$A$4:$A$1177,$A224,Games!$G$4:$G$1177,$C224,Games!$J$4:$J$1177,"T")+COUNTIFS(Games!$A$4:$A$1177,$A224,Games!$L$4:$L$1177,$C224,Games!$O$4:$O$1177,"T")</x:f>
        <x:v>0</x:v>
      </x:c>
      <x:c r="H224" t="n">
        <x:f>SUMIFS(Games!$H$4:$H$1177,Games!$A$4:$A$1177,$A224,Games!$D$4:$D$1177,"post",Games!$G$4:$G$1177,$C224)+SUMIFS(Games!$M$4:$M$1177,Games!$A$4:$A$1177,$A224,Games!$D$4:$D$1177,"post",Games!$L$4:$L$1177,$C224)</x:f>
        <x:v>13</x:v>
      </x:c>
      <x:c r="I224" t="n">
        <x:f>SUMIFS(Games!$M$4:$M$1177,Games!$A$4:$A$1177,$A224,Games!$D$4:$D$1177,"post",Games!$G$4:$G$1177,$C224)+SUMIFS(Games!$H$4:$H$1177,Games!$A$4:$A$1177,$A224,Games!$D$4:$D$1177,"post",Games!$L$4:$L$1177,$C224)</x:f>
        <x:v>59</x:v>
      </x:c>
      <x:c r="J224" t="str">
        <x:f>E224&amp;"-"&amp;F224&amp;IF(G224&gt;0,"-"&amp;G224,"")</x:f>
        <x:v>0-1</x:v>
      </x:c>
      <x:c r="K224" t="n">
        <x:f>COUNTIFS(Games!$A$4:$A$1177,$A224,Games!$D$4:$D$1177,"post",Games!$G$4:$G$1177,$C224,Games!$T$4:$T$1177,"&lt;&gt;")+COUNTIFS(Games!$A$4:$A$1177,$A224,Games!$D$4:$D$1177,"post",Games!$L$4:$L$1177,$C224,Games!$T$4:$T$1177,"&lt;&gt;")</x:f>
        <x:v>0</x:v>
      </x:c>
      <x:c r="L224" s="80" t="n">
        <x:f>IF(D224=0,0,K224/D224)</x:f>
        <x:v>0</x:v>
      </x:c>
      <x:c r="M224" t="str">
        <x:f>IF(AND(D224&gt;=2,K224&gt;=2,L224&gt;=75%),"YES","NO")</x:f>
        <x:v>NO</x:v>
      </x:c>
    </x:row>
    <x:row r="225">
      <x:c r="A225" t="str">
        <x:v>CFB</x:v>
      </x:c>
      <x:c r="B225" t="str">
        <x:v>Virginia Cavaliers</x:v>
      </x:c>
      <x:c r="C225" t="str">
        <x:v>UVA</x:v>
      </x:c>
      <x:c r="D225" t="n">
        <x:f>COUNTIFS(Games!$A$4:$A$1177,$A225,Games!$D$4:$D$1177,"post",Games!$G$4:$G$1177,$C225)+COUNTIFS(Games!$A$4:$A$1177,$A225,Games!$D$4:$D$1177,"post",Games!$L$4:$L$1177,$C225)</x:f>
        <x:v>3</x:v>
      </x:c>
      <x:c r="E225" t="n">
        <x:f>COUNTIFS(Games!$A$4:$A$1177,$A225,Games!$G$4:$G$1177,$C225,Games!$J$4:$J$1177,"W")+COUNTIFS(Games!$A$4:$A$1177,$A225,Games!$L$4:$L$1177,$C225,Games!$O$4:$O$1177,"W")</x:f>
        <x:v>2</x:v>
      </x:c>
      <x:c r="F225" t="n">
        <x:f>COUNTIFS(Games!$A$4:$A$1177,$A225,Games!$G$4:$G$1177,$C225,Games!$J$4:$J$1177,"L")+COUNTIFS(Games!$A$4:$A$1177,$A225,Games!$L$4:$L$1177,$C225,Games!$O$4:$O$1177,"L")</x:f>
        <x:v>1</x:v>
      </x:c>
      <x:c r="G225" t="n">
        <x:f>COUNTIFS(Games!$A$4:$A$1177,$A225,Games!$G$4:$G$1177,$C225,Games!$J$4:$J$1177,"T")+COUNTIFS(Games!$A$4:$A$1177,$A225,Games!$L$4:$L$1177,$C225,Games!$O$4:$O$1177,"T")</x:f>
        <x:v>0</x:v>
      </x:c>
      <x:c r="H225" t="n">
        <x:f>SUMIFS(Games!$H$4:$H$1177,Games!$A$4:$A$1177,$A225,Games!$D$4:$D$1177,"post",Games!$G$4:$G$1177,$C225)+SUMIFS(Games!$M$4:$M$1177,Games!$A$4:$A$1177,$A225,Games!$D$4:$D$1177,"post",Games!$L$4:$L$1177,$C225)</x:f>
        <x:v>120</x:v>
      </x:c>
      <x:c r="I225" t="n">
        <x:f>SUMIFS(Games!$M$4:$M$1177,Games!$A$4:$A$1177,$A225,Games!$D$4:$D$1177,"post",Games!$G$4:$G$1177,$C225)+SUMIFS(Games!$H$4:$H$1177,Games!$A$4:$A$1177,$A225,Games!$D$4:$D$1177,"post",Games!$L$4:$L$1177,$C225)</x:f>
        <x:v>49</x:v>
      </x:c>
      <x:c r="J225" t="str">
        <x:f>E225&amp;"-"&amp;F225&amp;IF(G225&gt;0,"-"&amp;G225,"")</x:f>
        <x:v>2-1</x:v>
      </x:c>
      <x:c r="K225" t="n">
        <x:f>COUNTIFS(Games!$A$4:$A$1177,$A225,Games!$D$4:$D$1177,"post",Games!$G$4:$G$1177,$C225,Games!$T$4:$T$1177,"&lt;&gt;")+COUNTIFS(Games!$A$4:$A$1177,$A225,Games!$D$4:$D$1177,"post",Games!$L$4:$L$1177,$C225,Games!$T$4:$T$1177,"&lt;&gt;")</x:f>
        <x:v>0</x:v>
      </x:c>
      <x:c r="L225" s="80" t="n">
        <x:f>IF(D225=0,0,K225/D225)</x:f>
        <x:v>0</x:v>
      </x:c>
      <x:c r="M225" t="str">
        <x:f>IF(AND(D225&gt;=2,K225&gt;=2,L225&gt;=75%),"YES","NO")</x:f>
        <x:v>NO</x:v>
      </x:c>
    </x:row>
    <x:row r="226">
      <x:c r="A226" t="str">
        <x:v>CFB</x:v>
      </x:c>
      <x:c r="B226" t="str">
        <x:v>Virginia Tech Hokies</x:v>
      </x:c>
      <x:c r="C226" t="str">
        <x:v>VT</x:v>
      </x:c>
      <x:c r="D226" t="n">
        <x:f>COUNTIFS(Games!$A$4:$A$1177,$A226,Games!$D$4:$D$1177,"post",Games!$G$4:$G$1177,$C226)+COUNTIFS(Games!$A$4:$A$1177,$A226,Games!$D$4:$D$1177,"post",Games!$L$4:$L$1177,$C226)</x:f>
        <x:v>3</x:v>
      </x:c>
      <x:c r="E226" t="n">
        <x:f>COUNTIFS(Games!$A$4:$A$1177,$A226,Games!$G$4:$G$1177,$C226,Games!$J$4:$J$1177,"W")+COUNTIFS(Games!$A$4:$A$1177,$A226,Games!$L$4:$L$1177,$C226,Games!$O$4:$O$1177,"W")</x:f>
        <x:v>3</x:v>
      </x:c>
      <x:c r="F226" t="n">
        <x:f>COUNTIFS(Games!$A$4:$A$1177,$A226,Games!$G$4:$G$1177,$C226,Games!$J$4:$J$1177,"L")+COUNTIFS(Games!$A$4:$A$1177,$A226,Games!$L$4:$L$1177,$C226,Games!$O$4:$O$1177,"L")</x:f>
        <x:v>0</x:v>
      </x:c>
      <x:c r="G226" t="n">
        <x:f>COUNTIFS(Games!$A$4:$A$1177,$A226,Games!$G$4:$G$1177,$C226,Games!$J$4:$J$1177,"T")+COUNTIFS(Games!$A$4:$A$1177,$A226,Games!$L$4:$L$1177,$C226,Games!$O$4:$O$1177,"T")</x:f>
        <x:v>0</x:v>
      </x:c>
      <x:c r="H226" t="n">
        <x:f>SUMIFS(Games!$H$4:$H$1177,Games!$A$4:$A$1177,$A226,Games!$D$4:$D$1177,"post",Games!$G$4:$G$1177,$C226)+SUMIFS(Games!$M$4:$M$1177,Games!$A$4:$A$1177,$A226,Games!$D$4:$D$1177,"post",Games!$L$4:$L$1177,$C226)</x:f>
        <x:v>152</x:v>
      </x:c>
      <x:c r="I226" t="n">
        <x:f>SUMIFS(Games!$M$4:$M$1177,Games!$A$4:$A$1177,$A226,Games!$D$4:$D$1177,"post",Games!$G$4:$G$1177,$C226)+SUMIFS(Games!$H$4:$H$1177,Games!$A$4:$A$1177,$A226,Games!$D$4:$D$1177,"post",Games!$L$4:$L$1177,$C226)</x:f>
        <x:v>50</x:v>
      </x:c>
      <x:c r="J226" t="str">
        <x:f>E226&amp;"-"&amp;F226&amp;IF(G226&gt;0,"-"&amp;G226,"")</x:f>
        <x:v>3-0</x:v>
      </x:c>
      <x:c r="K226" t="n">
        <x:f>COUNTIFS(Games!$A$4:$A$1177,$A226,Games!$D$4:$D$1177,"post",Games!$G$4:$G$1177,$C226,Games!$T$4:$T$1177,"&lt;&gt;")+COUNTIFS(Games!$A$4:$A$1177,$A226,Games!$D$4:$D$1177,"post",Games!$L$4:$L$1177,$C226,Games!$T$4:$T$1177,"&lt;&gt;")</x:f>
        <x:v>0</x:v>
      </x:c>
      <x:c r="L226" s="80" t="n">
        <x:f>IF(D226=0,0,K226/D226)</x:f>
        <x:v>0</x:v>
      </x:c>
      <x:c r="M226" t="str">
        <x:f>IF(AND(D226&gt;=2,K226&gt;=2,L226&gt;=75%),"YES","NO")</x:f>
        <x:v>NO</x:v>
      </x:c>
    </x:row>
    <x:row r="227">
      <x:c r="A227" t="str">
        <x:v>CFB</x:v>
      </x:c>
      <x:c r="B227" t="str">
        <x:v>VMI Keydets</x:v>
      </x:c>
      <x:c r="C227" t="str">
        <x:v>VMI</x:v>
      </x:c>
      <x:c r="D227" t="n">
        <x:f>COUNTIFS(Games!$A$4:$A$1177,$A227,Games!$D$4:$D$1177,"post",Games!$G$4:$G$1177,$C227)+COUNTIFS(Games!$A$4:$A$1177,$A227,Games!$D$4:$D$1177,"post",Games!$L$4:$L$1177,$C227)</x:f>
        <x:v>1</x:v>
      </x:c>
      <x:c r="E227" t="n">
        <x:f>COUNTIFS(Games!$A$4:$A$1177,$A227,Games!$G$4:$G$1177,$C227,Games!$J$4:$J$1177,"W")+COUNTIFS(Games!$A$4:$A$1177,$A227,Games!$L$4:$L$1177,$C227,Games!$O$4:$O$1177,"W")</x:f>
        <x:v>0</x:v>
      </x:c>
      <x:c r="F227" t="n">
        <x:f>COUNTIFS(Games!$A$4:$A$1177,$A227,Games!$G$4:$G$1177,$C227,Games!$J$4:$J$1177,"L")+COUNTIFS(Games!$A$4:$A$1177,$A227,Games!$L$4:$L$1177,$C227,Games!$O$4:$O$1177,"L")</x:f>
        <x:v>1</x:v>
      </x:c>
      <x:c r="G227" t="n">
        <x:f>COUNTIFS(Games!$A$4:$A$1177,$A227,Games!$G$4:$G$1177,$C227,Games!$J$4:$J$1177,"T")+COUNTIFS(Games!$A$4:$A$1177,$A227,Games!$L$4:$L$1177,$C227,Games!$O$4:$O$1177,"T")</x:f>
        <x:v>0</x:v>
      </x:c>
      <x:c r="H227" t="n">
        <x:f>SUMIFS(Games!$H$4:$H$1177,Games!$A$4:$A$1177,$A227,Games!$D$4:$D$1177,"post",Games!$G$4:$G$1177,$C227)+SUMIFS(Games!$M$4:$M$1177,Games!$A$4:$A$1177,$A227,Games!$D$4:$D$1177,"post",Games!$L$4:$L$1177,$C227)</x:f>
        <x:v>3</x:v>
      </x:c>
      <x:c r="I227" t="n">
        <x:f>SUMIFS(Games!$M$4:$M$1177,Games!$A$4:$A$1177,$A227,Games!$D$4:$D$1177,"post",Games!$G$4:$G$1177,$C227)+SUMIFS(Games!$H$4:$H$1177,Games!$A$4:$A$1177,$A227,Games!$D$4:$D$1177,"post",Games!$L$4:$L$1177,$C227)</x:f>
        <x:v>73</x:v>
      </x:c>
      <x:c r="J227" t="str">
        <x:f>E227&amp;"-"&amp;F227&amp;IF(G227&gt;0,"-"&amp;G227,"")</x:f>
        <x:v>0-1</x:v>
      </x:c>
      <x:c r="K227" t="n">
        <x:f>COUNTIFS(Games!$A$4:$A$1177,$A227,Games!$D$4:$D$1177,"post",Games!$G$4:$G$1177,$C227,Games!$T$4:$T$1177,"&lt;&gt;")+COUNTIFS(Games!$A$4:$A$1177,$A227,Games!$D$4:$D$1177,"post",Games!$L$4:$L$1177,$C227,Games!$T$4:$T$1177,"&lt;&gt;")</x:f>
        <x:v>0</x:v>
      </x:c>
      <x:c r="L227" s="80" t="n">
        <x:f>IF(D227=0,0,K227/D227)</x:f>
        <x:v>0</x:v>
      </x:c>
      <x:c r="M227" t="str">
        <x:f>IF(AND(D227&gt;=2,K227&gt;=2,L227&gt;=75%),"YES","NO")</x:f>
        <x:v>NO</x:v>
      </x:c>
    </x:row>
    <x:row r="228">
      <x:c r="A228" t="str">
        <x:v>CFB</x:v>
      </x:c>
      <x:c r="B228" t="str">
        <x:v>Wagner Seahawks</x:v>
      </x:c>
      <x:c r="C228" t="str">
        <x:v>WAG</x:v>
      </x:c>
      <x:c r="D228" t="n">
        <x:f>COUNTIFS(Games!$A$4:$A$1177,$A228,Games!$D$4:$D$1177,"post",Games!$G$4:$G$1177,$C228)+COUNTIFS(Games!$A$4:$A$1177,$A228,Games!$D$4:$D$1177,"post",Games!$L$4:$L$1177,$C228)</x:f>
        <x:v>2</x:v>
      </x:c>
      <x:c r="E228" t="n">
        <x:f>COUNTIFS(Games!$A$4:$A$1177,$A228,Games!$G$4:$G$1177,$C228,Games!$J$4:$J$1177,"W")+COUNTIFS(Games!$A$4:$A$1177,$A228,Games!$L$4:$L$1177,$C228,Games!$O$4:$O$1177,"W")</x:f>
        <x:v>0</x:v>
      </x:c>
      <x:c r="F228" t="n">
        <x:f>COUNTIFS(Games!$A$4:$A$1177,$A228,Games!$G$4:$G$1177,$C228,Games!$J$4:$J$1177,"L")+COUNTIFS(Games!$A$4:$A$1177,$A228,Games!$L$4:$L$1177,$C228,Games!$O$4:$O$1177,"L")</x:f>
        <x:v>2</x:v>
      </x:c>
      <x:c r="G228" t="n">
        <x:f>COUNTIFS(Games!$A$4:$A$1177,$A228,Games!$G$4:$G$1177,$C228,Games!$J$4:$J$1177,"T")+COUNTIFS(Games!$A$4:$A$1177,$A228,Games!$L$4:$L$1177,$C228,Games!$O$4:$O$1177,"T")</x:f>
        <x:v>0</x:v>
      </x:c>
      <x:c r="H228" t="n">
        <x:f>SUMIFS(Games!$H$4:$H$1177,Games!$A$4:$A$1177,$A228,Games!$D$4:$D$1177,"post",Games!$G$4:$G$1177,$C228)+SUMIFS(Games!$M$4:$M$1177,Games!$A$4:$A$1177,$A228,Games!$D$4:$D$1177,"post",Games!$L$4:$L$1177,$C228)</x:f>
        <x:v>10</x:v>
      </x:c>
      <x:c r="I228" t="n">
        <x:f>SUMIFS(Games!$M$4:$M$1177,Games!$A$4:$A$1177,$A228,Games!$D$4:$D$1177,"post",Games!$G$4:$G$1177,$C228)+SUMIFS(Games!$H$4:$H$1177,Games!$A$4:$A$1177,$A228,Games!$D$4:$D$1177,"post",Games!$L$4:$L$1177,$C228)</x:f>
        <x:v>136</x:v>
      </x:c>
      <x:c r="J228" t="str">
        <x:f>E228&amp;"-"&amp;F228&amp;IF(G228&gt;0,"-"&amp;G228,"")</x:f>
        <x:v>0-2</x:v>
      </x:c>
      <x:c r="K228" t="n">
        <x:f>COUNTIFS(Games!$A$4:$A$1177,$A228,Games!$D$4:$D$1177,"post",Games!$G$4:$G$1177,$C228,Games!$T$4:$T$1177,"&lt;&gt;")+COUNTIFS(Games!$A$4:$A$1177,$A228,Games!$D$4:$D$1177,"post",Games!$L$4:$L$1177,$C228,Games!$T$4:$T$1177,"&lt;&gt;")</x:f>
        <x:v>0</x:v>
      </x:c>
      <x:c r="L228" s="80" t="n">
        <x:f>IF(D228=0,0,K228/D228)</x:f>
        <x:v>0</x:v>
      </x:c>
      <x:c r="M228" t="str">
        <x:f>IF(AND(D228&gt;=2,K228&gt;=2,L228&gt;=75%),"YES","NO")</x:f>
        <x:v>NO</x:v>
      </x:c>
    </x:row>
    <x:row r="229">
      <x:c r="A229" t="str">
        <x:v>CFB</x:v>
      </x:c>
      <x:c r="B229" t="str">
        <x:v>Wake Forest Demon Deacons</x:v>
      </x:c>
      <x:c r="C229" t="str">
        <x:v>WAKE</x:v>
      </x:c>
      <x:c r="D229" t="n">
        <x:f>COUNTIFS(Games!$A$4:$A$1177,$A229,Games!$D$4:$D$1177,"post",Games!$G$4:$G$1177,$C229)+COUNTIFS(Games!$A$4:$A$1177,$A229,Games!$D$4:$D$1177,"post",Games!$L$4:$L$1177,$C229)</x:f>
        <x:v>3</x:v>
      </x:c>
      <x:c r="E229" t="n">
        <x:f>COUNTIFS(Games!$A$4:$A$1177,$A229,Games!$G$4:$G$1177,$C229,Games!$J$4:$J$1177,"W")+COUNTIFS(Games!$A$4:$A$1177,$A229,Games!$L$4:$L$1177,$C229,Games!$O$4:$O$1177,"W")</x:f>
        <x:v>2</x:v>
      </x:c>
      <x:c r="F229" t="n">
        <x:f>COUNTIFS(Games!$A$4:$A$1177,$A229,Games!$G$4:$G$1177,$C229,Games!$J$4:$J$1177,"L")+COUNTIFS(Games!$A$4:$A$1177,$A229,Games!$L$4:$L$1177,$C229,Games!$O$4:$O$1177,"L")</x:f>
        <x:v>1</x:v>
      </x:c>
      <x:c r="G229" t="n">
        <x:f>COUNTIFS(Games!$A$4:$A$1177,$A229,Games!$G$4:$G$1177,$C229,Games!$J$4:$J$1177,"T")+COUNTIFS(Games!$A$4:$A$1177,$A229,Games!$L$4:$L$1177,$C229,Games!$O$4:$O$1177,"T")</x:f>
        <x:v>0</x:v>
      </x:c>
      <x:c r="H229" t="n">
        <x:f>SUMIFS(Games!$H$4:$H$1177,Games!$A$4:$A$1177,$A229,Games!$D$4:$D$1177,"post",Games!$G$4:$G$1177,$C229)+SUMIFS(Games!$M$4:$M$1177,Games!$A$4:$A$1177,$A229,Games!$D$4:$D$1177,"post",Games!$L$4:$L$1177,$C229)</x:f>
        <x:v>96</x:v>
      </x:c>
      <x:c r="I229" t="n">
        <x:f>SUMIFS(Games!$M$4:$M$1177,Games!$A$4:$A$1177,$A229,Games!$D$4:$D$1177,"post",Games!$G$4:$G$1177,$C229)+SUMIFS(Games!$H$4:$H$1177,Games!$A$4:$A$1177,$A229,Games!$D$4:$D$1177,"post",Games!$L$4:$L$1177,$C229)</x:f>
        <x:v>85</x:v>
      </x:c>
      <x:c r="J229" t="str">
        <x:f>E229&amp;"-"&amp;F229&amp;IF(G229&gt;0,"-"&amp;G229,"")</x:f>
        <x:v>2-1</x:v>
      </x:c>
      <x:c r="K229" t="n">
        <x:f>COUNTIFS(Games!$A$4:$A$1177,$A229,Games!$D$4:$D$1177,"post",Games!$G$4:$G$1177,$C229,Games!$T$4:$T$1177,"&lt;&gt;")+COUNTIFS(Games!$A$4:$A$1177,$A229,Games!$D$4:$D$1177,"post",Games!$L$4:$L$1177,$C229,Games!$T$4:$T$1177,"&lt;&gt;")</x:f>
        <x:v>0</x:v>
      </x:c>
      <x:c r="L229" s="80" t="n">
        <x:f>IF(D229=0,0,K229/D229)</x:f>
        <x:v>0</x:v>
      </x:c>
      <x:c r="M229" t="str">
        <x:f>IF(AND(D229&gt;=2,K229&gt;=2,L229&gt;=75%),"YES","NO")</x:f>
        <x:v>NO</x:v>
      </x:c>
    </x:row>
    <x:row r="230">
      <x:c r="A230" t="str">
        <x:v>CFB</x:v>
      </x:c>
      <x:c r="B230" t="str">
        <x:v>Washington Huskies</x:v>
      </x:c>
      <x:c r="C230" t="str">
        <x:v>WASH</x:v>
      </x:c>
      <x:c r="D230" t="n">
        <x:f>COUNTIFS(Games!$A$4:$A$1177,$A230,Games!$D$4:$D$1177,"post",Games!$G$4:$G$1177,$C230)+COUNTIFS(Games!$A$4:$A$1177,$A230,Games!$D$4:$D$1177,"post",Games!$L$4:$L$1177,$C230)</x:f>
        <x:v>3</x:v>
      </x:c>
      <x:c r="E230" t="n">
        <x:f>COUNTIFS(Games!$A$4:$A$1177,$A230,Games!$G$4:$G$1177,$C230,Games!$J$4:$J$1177,"W")+COUNTIFS(Games!$A$4:$A$1177,$A230,Games!$L$4:$L$1177,$C230,Games!$O$4:$O$1177,"W")</x:f>
        <x:v>3</x:v>
      </x:c>
      <x:c r="F230" t="n">
        <x:f>COUNTIFS(Games!$A$4:$A$1177,$A230,Games!$G$4:$G$1177,$C230,Games!$J$4:$J$1177,"L")+COUNTIFS(Games!$A$4:$A$1177,$A230,Games!$L$4:$L$1177,$C230,Games!$O$4:$O$1177,"L")</x:f>
        <x:v>0</x:v>
      </x:c>
      <x:c r="G230" t="n">
        <x:f>COUNTIFS(Games!$A$4:$A$1177,$A230,Games!$G$4:$G$1177,$C230,Games!$J$4:$J$1177,"T")+COUNTIFS(Games!$A$4:$A$1177,$A230,Games!$L$4:$L$1177,$C230,Games!$O$4:$O$1177,"T")</x:f>
        <x:v>0</x:v>
      </x:c>
      <x:c r="H230" t="n">
        <x:f>SUMIFS(Games!$H$4:$H$1177,Games!$A$4:$A$1177,$A230,Games!$D$4:$D$1177,"post",Games!$G$4:$G$1177,$C230)+SUMIFS(Games!$M$4:$M$1177,Games!$A$4:$A$1177,$A230,Games!$D$4:$D$1177,"post",Games!$L$4:$L$1177,$C230)</x:f>
        <x:v>88</x:v>
      </x:c>
      <x:c r="I230" t="n">
        <x:f>SUMIFS(Games!$M$4:$M$1177,Games!$A$4:$A$1177,$A230,Games!$D$4:$D$1177,"post",Games!$G$4:$G$1177,$C230)+SUMIFS(Games!$H$4:$H$1177,Games!$A$4:$A$1177,$A230,Games!$D$4:$D$1177,"post",Games!$L$4:$L$1177,$C230)</x:f>
        <x:v>40</x:v>
      </x:c>
      <x:c r="J230" t="str">
        <x:f>E230&amp;"-"&amp;F230&amp;IF(G230&gt;0,"-"&amp;G230,"")</x:f>
        <x:v>3-0</x:v>
      </x:c>
      <x:c r="K230" t="n">
        <x:f>COUNTIFS(Games!$A$4:$A$1177,$A230,Games!$D$4:$D$1177,"post",Games!$G$4:$G$1177,$C230,Games!$T$4:$T$1177,"&lt;&gt;")+COUNTIFS(Games!$A$4:$A$1177,$A230,Games!$D$4:$D$1177,"post",Games!$L$4:$L$1177,$C230,Games!$T$4:$T$1177,"&lt;&gt;")</x:f>
        <x:v>0</x:v>
      </x:c>
      <x:c r="L230" s="80" t="n">
        <x:f>IF(D230=0,0,K230/D230)</x:f>
        <x:v>0</x:v>
      </x:c>
      <x:c r="M230" t="str">
        <x:f>IF(AND(D230&gt;=2,K230&gt;=2,L230&gt;=75%),"YES","NO")</x:f>
        <x:v>NO</x:v>
      </x:c>
    </x:row>
    <x:row r="231">
      <x:c r="A231" t="str">
        <x:v>CFB</x:v>
      </x:c>
      <x:c r="B231" t="str">
        <x:v>Washington State Cougars</x:v>
      </x:c>
      <x:c r="C231" t="str">
        <x:v>WSU</x:v>
      </x:c>
      <x:c r="D231" t="n">
        <x:f>COUNTIFS(Games!$A$4:$A$1177,$A231,Games!$D$4:$D$1177,"post",Games!$G$4:$G$1177,$C231)+COUNTIFS(Games!$A$4:$A$1177,$A231,Games!$D$4:$D$1177,"post",Games!$L$4:$L$1177,$C231)</x:f>
        <x:v>3</x:v>
      </x:c>
      <x:c r="E231" t="n">
        <x:f>COUNTIFS(Games!$A$4:$A$1177,$A231,Games!$G$4:$G$1177,$C231,Games!$J$4:$J$1177,"W")+COUNTIFS(Games!$A$4:$A$1177,$A231,Games!$L$4:$L$1177,$C231,Games!$O$4:$O$1177,"W")</x:f>
        <x:v>1</x:v>
      </x:c>
      <x:c r="F231" t="n">
        <x:f>COUNTIFS(Games!$A$4:$A$1177,$A231,Games!$G$4:$G$1177,$C231,Games!$J$4:$J$1177,"L")+COUNTIFS(Games!$A$4:$A$1177,$A231,Games!$L$4:$L$1177,$C231,Games!$O$4:$O$1177,"L")</x:f>
        <x:v>2</x:v>
      </x:c>
      <x:c r="G231" t="n">
        <x:f>COUNTIFS(Games!$A$4:$A$1177,$A231,Games!$G$4:$G$1177,$C231,Games!$J$4:$J$1177,"T")+COUNTIFS(Games!$A$4:$A$1177,$A231,Games!$L$4:$L$1177,$C231,Games!$O$4:$O$1177,"T")</x:f>
        <x:v>0</x:v>
      </x:c>
      <x:c r="H231" t="n">
        <x:f>SUMIFS(Games!$H$4:$H$1177,Games!$A$4:$A$1177,$A231,Games!$D$4:$D$1177,"post",Games!$G$4:$G$1177,$C231)+SUMIFS(Games!$M$4:$M$1177,Games!$A$4:$A$1177,$A231,Games!$D$4:$D$1177,"post",Games!$L$4:$L$1177,$C231)</x:f>
        <x:v>65</x:v>
      </x:c>
      <x:c r="I231" t="n">
        <x:f>SUMIFS(Games!$M$4:$M$1177,Games!$A$4:$A$1177,$A231,Games!$D$4:$D$1177,"post",Games!$G$4:$G$1177,$C231)+SUMIFS(Games!$H$4:$H$1177,Games!$A$4:$A$1177,$A231,Games!$D$4:$D$1177,"post",Games!$L$4:$L$1177,$C231)</x:f>
        <x:v>65</x:v>
      </x:c>
      <x:c r="J231" t="str">
        <x:f>E231&amp;"-"&amp;F231&amp;IF(G231&gt;0,"-"&amp;G231,"")</x:f>
        <x:v>1-2</x:v>
      </x:c>
      <x:c r="K231" t="n">
        <x:f>COUNTIFS(Games!$A$4:$A$1177,$A231,Games!$D$4:$D$1177,"post",Games!$G$4:$G$1177,$C231,Games!$T$4:$T$1177,"&lt;&gt;")+COUNTIFS(Games!$A$4:$A$1177,$A231,Games!$D$4:$D$1177,"post",Games!$L$4:$L$1177,$C231,Games!$T$4:$T$1177,"&lt;&gt;")</x:f>
        <x:v>0</x:v>
      </x:c>
      <x:c r="L231" s="80" t="n">
        <x:f>IF(D231=0,0,K231/D231)</x:f>
        <x:v>0</x:v>
      </x:c>
      <x:c r="M231" t="str">
        <x:f>IF(AND(D231&gt;=2,K231&gt;=2,L231&gt;=75%),"YES","NO")</x:f>
        <x:v>NO</x:v>
      </x:c>
    </x:row>
    <x:row r="232">
      <x:c r="A232" t="str">
        <x:v>CFB</x:v>
      </x:c>
      <x:c r="B232" t="str">
        <x:v>Weber State Wildcats</x:v>
      </x:c>
      <x:c r="C232" t="str">
        <x:v>WEB</x:v>
      </x:c>
      <x:c r="D232" t="n">
        <x:f>COUNTIFS(Games!$A$4:$A$1177,$A232,Games!$D$4:$D$1177,"post",Games!$G$4:$G$1177,$C232)+COUNTIFS(Games!$A$4:$A$1177,$A232,Games!$D$4:$D$1177,"post",Games!$L$4:$L$1177,$C232)</x:f>
        <x:v>1</x:v>
      </x:c>
      <x:c r="E232" t="n">
        <x:f>COUNTIFS(Games!$A$4:$A$1177,$A232,Games!$G$4:$G$1177,$C232,Games!$J$4:$J$1177,"W")+COUNTIFS(Games!$A$4:$A$1177,$A232,Games!$L$4:$L$1177,$C232,Games!$O$4:$O$1177,"W")</x:f>
        <x:v>0</x:v>
      </x:c>
      <x:c r="F232" t="n">
        <x:f>COUNTIFS(Games!$A$4:$A$1177,$A232,Games!$G$4:$G$1177,$C232,Games!$J$4:$J$1177,"L")+COUNTIFS(Games!$A$4:$A$1177,$A232,Games!$L$4:$L$1177,$C232,Games!$O$4:$O$1177,"L")</x:f>
        <x:v>1</x:v>
      </x:c>
      <x:c r="G232" t="n">
        <x:f>COUNTIFS(Games!$A$4:$A$1177,$A232,Games!$G$4:$G$1177,$C232,Games!$J$4:$J$1177,"T")+COUNTIFS(Games!$A$4:$A$1177,$A232,Games!$L$4:$L$1177,$C232,Games!$O$4:$O$1177,"T")</x:f>
        <x:v>0</x:v>
      </x:c>
      <x:c r="H232" t="n">
        <x:f>SUMIFS(Games!$H$4:$H$1177,Games!$A$4:$A$1177,$A232,Games!$D$4:$D$1177,"post",Games!$G$4:$G$1177,$C232)+SUMIFS(Games!$M$4:$M$1177,Games!$A$4:$A$1177,$A232,Games!$D$4:$D$1177,"post",Games!$L$4:$L$1177,$C232)</x:f>
        <x:v>21</x:v>
      </x:c>
      <x:c r="I232" t="n">
        <x:f>SUMIFS(Games!$M$4:$M$1177,Games!$A$4:$A$1177,$A232,Games!$D$4:$D$1177,"post",Games!$G$4:$G$1177,$C232)+SUMIFS(Games!$H$4:$H$1177,Games!$A$4:$A$1177,$A232,Games!$D$4:$D$1177,"post",Games!$L$4:$L$1177,$C232)</x:f>
        <x:v>52</x:v>
      </x:c>
      <x:c r="J232" t="str">
        <x:f>E232&amp;"-"&amp;F232&amp;IF(G232&gt;0,"-"&amp;G232,"")</x:f>
        <x:v>0-1</x:v>
      </x:c>
      <x:c r="K232" t="n">
        <x:f>COUNTIFS(Games!$A$4:$A$1177,$A232,Games!$D$4:$D$1177,"post",Games!$G$4:$G$1177,$C232,Games!$T$4:$T$1177,"&lt;&gt;")+COUNTIFS(Games!$A$4:$A$1177,$A232,Games!$D$4:$D$1177,"post",Games!$L$4:$L$1177,$C232,Games!$T$4:$T$1177,"&lt;&gt;")</x:f>
        <x:v>0</x:v>
      </x:c>
      <x:c r="L232" s="80" t="n">
        <x:f>IF(D232=0,0,K232/D232)</x:f>
        <x:v>0</x:v>
      </x:c>
      <x:c r="M232" t="str">
        <x:f>IF(AND(D232&gt;=2,K232&gt;=2,L232&gt;=75%),"YES","NO")</x:f>
        <x:v>NO</x:v>
      </x:c>
    </x:row>
    <x:row r="233">
      <x:c r="A233" t="str">
        <x:v>CFB</x:v>
      </x:c>
      <x:c r="B233" t="str">
        <x:v>West Georgia Wolves</x:v>
      </x:c>
      <x:c r="C233" t="str">
        <x:v>WES</x:v>
      </x:c>
      <x:c r="D233" t="n">
        <x:f>COUNTIFS(Games!$A$4:$A$1177,$A233,Games!$D$4:$D$1177,"post",Games!$G$4:$G$1177,$C233)+COUNTIFS(Games!$A$4:$A$1177,$A233,Games!$D$4:$D$1177,"post",Games!$L$4:$L$1177,$C233)</x:f>
        <x:v>2</x:v>
      </x:c>
      <x:c r="E233" t="n">
        <x:f>COUNTIFS(Games!$A$4:$A$1177,$A233,Games!$G$4:$G$1177,$C233,Games!$J$4:$J$1177,"W")+COUNTIFS(Games!$A$4:$A$1177,$A233,Games!$L$4:$L$1177,$C233,Games!$O$4:$O$1177,"W")</x:f>
        <x:v>0</x:v>
      </x:c>
      <x:c r="F233" t="n">
        <x:f>COUNTIFS(Games!$A$4:$A$1177,$A233,Games!$G$4:$G$1177,$C233,Games!$J$4:$J$1177,"L")+COUNTIFS(Games!$A$4:$A$1177,$A233,Games!$L$4:$L$1177,$C233,Games!$O$4:$O$1177,"L")</x:f>
        <x:v>2</x:v>
      </x:c>
      <x:c r="G233" t="n">
        <x:f>COUNTIFS(Games!$A$4:$A$1177,$A233,Games!$G$4:$G$1177,$C233,Games!$J$4:$J$1177,"T")+COUNTIFS(Games!$A$4:$A$1177,$A233,Games!$L$4:$L$1177,$C233,Games!$O$4:$O$1177,"T")</x:f>
        <x:v>0</x:v>
      </x:c>
      <x:c r="H233" t="n">
        <x:f>SUMIFS(Games!$H$4:$H$1177,Games!$A$4:$A$1177,$A233,Games!$D$4:$D$1177,"post",Games!$G$4:$G$1177,$C233)+SUMIFS(Games!$M$4:$M$1177,Games!$A$4:$A$1177,$A233,Games!$D$4:$D$1177,"post",Games!$L$4:$L$1177,$C233)</x:f>
        <x:v>7</x:v>
      </x:c>
      <x:c r="I233" t="n">
        <x:f>SUMIFS(Games!$M$4:$M$1177,Games!$A$4:$A$1177,$A233,Games!$D$4:$D$1177,"post",Games!$G$4:$G$1177,$C233)+SUMIFS(Games!$H$4:$H$1177,Games!$A$4:$A$1177,$A233,Games!$D$4:$D$1177,"post",Games!$L$4:$L$1177,$C233)</x:f>
        <x:v>99</x:v>
      </x:c>
      <x:c r="J233" t="str">
        <x:f>E233&amp;"-"&amp;F233&amp;IF(G233&gt;0,"-"&amp;G233,"")</x:f>
        <x:v>0-2</x:v>
      </x:c>
      <x:c r="K233" t="n">
        <x:f>COUNTIFS(Games!$A$4:$A$1177,$A233,Games!$D$4:$D$1177,"post",Games!$G$4:$G$1177,$C233,Games!$T$4:$T$1177,"&lt;&gt;")+COUNTIFS(Games!$A$4:$A$1177,$A233,Games!$D$4:$D$1177,"post",Games!$L$4:$L$1177,$C233,Games!$T$4:$T$1177,"&lt;&gt;")</x:f>
        <x:v>0</x:v>
      </x:c>
      <x:c r="L233" s="80" t="n">
        <x:f>IF(D233=0,0,K233/D233)</x:f>
        <x:v>0</x:v>
      </x:c>
      <x:c r="M233" t="str">
        <x:f>IF(AND(D233&gt;=2,K233&gt;=2,L233&gt;=75%),"YES","NO")</x:f>
        <x:v>NO</x:v>
      </x:c>
    </x:row>
    <x:row r="234">
      <x:c r="A234" t="str">
        <x:v>CFB</x:v>
      </x:c>
      <x:c r="B234" t="str">
        <x:v>West Virginia Mountaineers</x:v>
      </x:c>
      <x:c r="C234" t="str">
        <x:v>WVU</x:v>
      </x:c>
      <x:c r="D234" t="n">
        <x:f>COUNTIFS(Games!$A$4:$A$1177,$A234,Games!$D$4:$D$1177,"post",Games!$G$4:$G$1177,$C234)+COUNTIFS(Games!$A$4:$A$1177,$A234,Games!$D$4:$D$1177,"post",Games!$L$4:$L$1177,$C234)</x:f>
        <x:v>3</x:v>
      </x:c>
      <x:c r="E234" t="n">
        <x:f>COUNTIFS(Games!$A$4:$A$1177,$A234,Games!$G$4:$G$1177,$C234,Games!$J$4:$J$1177,"W")+COUNTIFS(Games!$A$4:$A$1177,$A234,Games!$L$4:$L$1177,$C234,Games!$O$4:$O$1177,"W")</x:f>
        <x:v>3</x:v>
      </x:c>
      <x:c r="F234" t="n">
        <x:f>COUNTIFS(Games!$A$4:$A$1177,$A234,Games!$G$4:$G$1177,$C234,Games!$J$4:$J$1177,"L")+COUNTIFS(Games!$A$4:$A$1177,$A234,Games!$L$4:$L$1177,$C234,Games!$O$4:$O$1177,"L")</x:f>
        <x:v>0</x:v>
      </x:c>
      <x:c r="G234" t="n">
        <x:f>COUNTIFS(Games!$A$4:$A$1177,$A234,Games!$G$4:$G$1177,$C234,Games!$J$4:$J$1177,"T")+COUNTIFS(Games!$A$4:$A$1177,$A234,Games!$L$4:$L$1177,$C234,Games!$O$4:$O$1177,"T")</x:f>
        <x:v>0</x:v>
      </x:c>
      <x:c r="H234" t="n">
        <x:f>SUMIFS(Games!$H$4:$H$1177,Games!$A$4:$A$1177,$A234,Games!$D$4:$D$1177,"post",Games!$G$4:$G$1177,$C234)+SUMIFS(Games!$M$4:$M$1177,Games!$A$4:$A$1177,$A234,Games!$D$4:$D$1177,"post",Games!$L$4:$L$1177,$C234)</x:f>
        <x:v>121</x:v>
      </x:c>
      <x:c r="I234" t="n">
        <x:f>SUMIFS(Games!$M$4:$M$1177,Games!$A$4:$A$1177,$A234,Games!$D$4:$D$1177,"post",Games!$G$4:$G$1177,$C234)+SUMIFS(Games!$H$4:$H$1177,Games!$A$4:$A$1177,$A234,Games!$D$4:$D$1177,"post",Games!$L$4:$L$1177,$C234)</x:f>
        <x:v>58</x:v>
      </x:c>
      <x:c r="J234" t="str">
        <x:f>E234&amp;"-"&amp;F234&amp;IF(G234&gt;0,"-"&amp;G234,"")</x:f>
        <x:v>3-0</x:v>
      </x:c>
      <x:c r="K234" t="n">
        <x:f>COUNTIFS(Games!$A$4:$A$1177,$A234,Games!$D$4:$D$1177,"post",Games!$G$4:$G$1177,$C234,Games!$T$4:$T$1177,"&lt;&gt;")+COUNTIFS(Games!$A$4:$A$1177,$A234,Games!$D$4:$D$1177,"post",Games!$L$4:$L$1177,$C234,Games!$T$4:$T$1177,"&lt;&gt;")</x:f>
        <x:v>0</x:v>
      </x:c>
      <x:c r="L234" s="80" t="n">
        <x:f>IF(D234=0,0,K234/D234)</x:f>
        <x:v>0</x:v>
      </x:c>
      <x:c r="M234" t="str">
        <x:f>IF(AND(D234&gt;=2,K234&gt;=2,L234&gt;=75%),"YES","NO")</x:f>
        <x:v>NO</x:v>
      </x:c>
    </x:row>
    <x:row r="235">
      <x:c r="A235" t="str">
        <x:v>CFB</x:v>
      </x:c>
      <x:c r="B235" t="str">
        <x:v>Western Carolina Catamounts</x:v>
      </x:c>
      <x:c r="C235" t="str">
        <x:v>WCU</x:v>
      </x:c>
      <x:c r="D235" t="n">
        <x:f>COUNTIFS(Games!$A$4:$A$1177,$A235,Games!$D$4:$D$1177,"post",Games!$G$4:$G$1177,$C235)+COUNTIFS(Games!$A$4:$A$1177,$A235,Games!$D$4:$D$1177,"post",Games!$L$4:$L$1177,$C235)</x:f>
        <x:v>1</x:v>
      </x:c>
      <x:c r="E235" t="n">
        <x:f>COUNTIFS(Games!$A$4:$A$1177,$A235,Games!$G$4:$G$1177,$C235,Games!$J$4:$J$1177,"W")+COUNTIFS(Games!$A$4:$A$1177,$A235,Games!$L$4:$L$1177,$C235,Games!$O$4:$O$1177,"W")</x:f>
        <x:v>0</x:v>
      </x:c>
      <x:c r="F235" t="n">
        <x:f>COUNTIFS(Games!$A$4:$A$1177,$A235,Games!$G$4:$G$1177,$C235,Games!$J$4:$J$1177,"L")+COUNTIFS(Games!$A$4:$A$1177,$A235,Games!$L$4:$L$1177,$C235,Games!$O$4:$O$1177,"L")</x:f>
        <x:v>1</x:v>
      </x:c>
      <x:c r="G235" t="n">
        <x:f>COUNTIFS(Games!$A$4:$A$1177,$A235,Games!$G$4:$G$1177,$C235,Games!$J$4:$J$1177,"T")+COUNTIFS(Games!$A$4:$A$1177,$A235,Games!$L$4:$L$1177,$C235,Games!$O$4:$O$1177,"T")</x:f>
        <x:v>0</x:v>
      </x:c>
      <x:c r="H235" t="n">
        <x:f>SUMIFS(Games!$H$4:$H$1177,Games!$A$4:$A$1177,$A235,Games!$D$4:$D$1177,"post",Games!$G$4:$G$1177,$C235)+SUMIFS(Games!$M$4:$M$1177,Games!$A$4:$A$1177,$A235,Games!$D$4:$D$1177,"post",Games!$L$4:$L$1177,$C235)</x:f>
        <x:v>10</x:v>
      </x:c>
      <x:c r="I235" t="n">
        <x:f>SUMIFS(Games!$M$4:$M$1177,Games!$A$4:$A$1177,$A235,Games!$D$4:$D$1177,"post",Games!$G$4:$G$1177,$C235)+SUMIFS(Games!$H$4:$H$1177,Games!$A$4:$A$1177,$A235,Games!$D$4:$D$1177,"post",Games!$L$4:$L$1177,$C235)</x:f>
        <x:v>62</x:v>
      </x:c>
      <x:c r="J235" t="str">
        <x:f>E235&amp;"-"&amp;F235&amp;IF(G235&gt;0,"-"&amp;G235,"")</x:f>
        <x:v>0-1</x:v>
      </x:c>
      <x:c r="K235" t="n">
        <x:f>COUNTIFS(Games!$A$4:$A$1177,$A235,Games!$D$4:$D$1177,"post",Games!$G$4:$G$1177,$C235,Games!$T$4:$T$1177,"&lt;&gt;")+COUNTIFS(Games!$A$4:$A$1177,$A235,Games!$D$4:$D$1177,"post",Games!$L$4:$L$1177,$C235,Games!$T$4:$T$1177,"&lt;&gt;")</x:f>
        <x:v>0</x:v>
      </x:c>
      <x:c r="L235" s="80" t="n">
        <x:f>IF(D235=0,0,K235/D235)</x:f>
        <x:v>0</x:v>
      </x:c>
      <x:c r="M235" t="str">
        <x:f>IF(AND(D235&gt;=2,K235&gt;=2,L235&gt;=75%),"YES","NO")</x:f>
        <x:v>NO</x:v>
      </x:c>
    </x:row>
    <x:row r="236">
      <x:c r="A236" t="str">
        <x:v>CFB</x:v>
      </x:c>
      <x:c r="B236" t="str">
        <x:v>Western Illinois Leathernecks</x:v>
      </x:c>
      <x:c r="C236" t="str">
        <x:v>WIU</x:v>
      </x:c>
      <x:c r="D236" t="n">
        <x:f>COUNTIFS(Games!$A$4:$A$1177,$A236,Games!$D$4:$D$1177,"post",Games!$G$4:$G$1177,$C236)+COUNTIFS(Games!$A$4:$A$1177,$A236,Games!$D$4:$D$1177,"post",Games!$L$4:$L$1177,$C236)</x:f>
        <x:v>1</x:v>
      </x:c>
      <x:c r="E236" t="n">
        <x:f>COUNTIFS(Games!$A$4:$A$1177,$A236,Games!$G$4:$G$1177,$C236,Games!$J$4:$J$1177,"W")+COUNTIFS(Games!$A$4:$A$1177,$A236,Games!$L$4:$L$1177,$C236,Games!$O$4:$O$1177,"W")</x:f>
        <x:v>0</x:v>
      </x:c>
      <x:c r="F236" t="n">
        <x:f>COUNTIFS(Games!$A$4:$A$1177,$A236,Games!$G$4:$G$1177,$C236,Games!$J$4:$J$1177,"L")+COUNTIFS(Games!$A$4:$A$1177,$A236,Games!$L$4:$L$1177,$C236,Games!$O$4:$O$1177,"L")</x:f>
        <x:v>1</x:v>
      </x:c>
      <x:c r="G236" t="n">
        <x:f>COUNTIFS(Games!$A$4:$A$1177,$A236,Games!$G$4:$G$1177,$C236,Games!$J$4:$J$1177,"T")+COUNTIFS(Games!$A$4:$A$1177,$A236,Games!$L$4:$L$1177,$C236,Games!$O$4:$O$1177,"T")</x:f>
        <x:v>0</x:v>
      </x:c>
      <x:c r="H236" t="n">
        <x:f>SUMIFS(Games!$H$4:$H$1177,Games!$A$4:$A$1177,$A236,Games!$D$4:$D$1177,"post",Games!$G$4:$G$1177,$C236)+SUMIFS(Games!$M$4:$M$1177,Games!$A$4:$A$1177,$A236,Games!$D$4:$D$1177,"post",Games!$L$4:$L$1177,$C236)</x:f>
        <x:v>9</x:v>
      </x:c>
      <x:c r="I236" t="n">
        <x:f>SUMIFS(Games!$M$4:$M$1177,Games!$A$4:$A$1177,$A236,Games!$D$4:$D$1177,"post",Games!$G$4:$G$1177,$C236)+SUMIFS(Games!$H$4:$H$1177,Games!$A$4:$A$1177,$A236,Games!$D$4:$D$1177,"post",Games!$L$4:$L$1177,$C236)</x:f>
        <x:v>36</x:v>
      </x:c>
      <x:c r="J236" t="str">
        <x:f>E236&amp;"-"&amp;F236&amp;IF(G236&gt;0,"-"&amp;G236,"")</x:f>
        <x:v>0-1</x:v>
      </x:c>
      <x:c r="K236" t="n">
        <x:f>COUNTIFS(Games!$A$4:$A$1177,$A236,Games!$D$4:$D$1177,"post",Games!$G$4:$G$1177,$C236,Games!$T$4:$T$1177,"&lt;&gt;")+COUNTIFS(Games!$A$4:$A$1177,$A236,Games!$D$4:$D$1177,"post",Games!$L$4:$L$1177,$C236,Games!$T$4:$T$1177,"&lt;&gt;")</x:f>
        <x:v>0</x:v>
      </x:c>
      <x:c r="L236" s="80" t="n">
        <x:f>IF(D236=0,0,K236/D236)</x:f>
        <x:v>0</x:v>
      </x:c>
      <x:c r="M236" t="str">
        <x:f>IF(AND(D236&gt;=2,K236&gt;=2,L236&gt;=75%),"YES","NO")</x:f>
        <x:v>NO</x:v>
      </x:c>
    </x:row>
    <x:row r="237">
      <x:c r="A237" t="str">
        <x:v>CFB</x:v>
      </x:c>
      <x:c r="B237" t="str">
        <x:v>Western Kentucky Hilltoppers</x:v>
      </x:c>
      <x:c r="C237" t="str">
        <x:v>WKU</x:v>
      </x:c>
      <x:c r="D237" t="n">
        <x:f>COUNTIFS(Games!$A$4:$A$1177,$A237,Games!$D$4:$D$1177,"post",Games!$G$4:$G$1177,$C237)+COUNTIFS(Games!$A$4:$A$1177,$A237,Games!$D$4:$D$1177,"post",Games!$L$4:$L$1177,$C237)</x:f>
        <x:v>3</x:v>
      </x:c>
      <x:c r="E237" t="n">
        <x:f>COUNTIFS(Games!$A$4:$A$1177,$A237,Games!$G$4:$G$1177,$C237,Games!$J$4:$J$1177,"W")+COUNTIFS(Games!$A$4:$A$1177,$A237,Games!$L$4:$L$1177,$C237,Games!$O$4:$O$1177,"W")</x:f>
        <x:v>0</x:v>
      </x:c>
      <x:c r="F237" t="n">
        <x:f>COUNTIFS(Games!$A$4:$A$1177,$A237,Games!$G$4:$G$1177,$C237,Games!$J$4:$J$1177,"L")+COUNTIFS(Games!$A$4:$A$1177,$A237,Games!$L$4:$L$1177,$C237,Games!$O$4:$O$1177,"L")</x:f>
        <x:v>3</x:v>
      </x:c>
      <x:c r="G237" t="n">
        <x:f>COUNTIFS(Games!$A$4:$A$1177,$A237,Games!$G$4:$G$1177,$C237,Games!$J$4:$J$1177,"T")+COUNTIFS(Games!$A$4:$A$1177,$A237,Games!$L$4:$L$1177,$C237,Games!$O$4:$O$1177,"T")</x:f>
        <x:v>0</x:v>
      </x:c>
      <x:c r="H237" t="n">
        <x:f>SUMIFS(Games!$H$4:$H$1177,Games!$A$4:$A$1177,$A237,Games!$D$4:$D$1177,"post",Games!$G$4:$G$1177,$C237)+SUMIFS(Games!$M$4:$M$1177,Games!$A$4:$A$1177,$A237,Games!$D$4:$D$1177,"post",Games!$L$4:$L$1177,$C237)</x:f>
        <x:v>34</x:v>
      </x:c>
      <x:c r="I237" t="n">
        <x:f>SUMIFS(Games!$M$4:$M$1177,Games!$A$4:$A$1177,$A237,Games!$D$4:$D$1177,"post",Games!$G$4:$G$1177,$C237)+SUMIFS(Games!$H$4:$H$1177,Games!$A$4:$A$1177,$A237,Games!$D$4:$D$1177,"post",Games!$L$4:$L$1177,$C237)</x:f>
        <x:v>157</x:v>
      </x:c>
      <x:c r="J237" t="str">
        <x:f>E237&amp;"-"&amp;F237&amp;IF(G237&gt;0,"-"&amp;G237,"")</x:f>
        <x:v>0-3</x:v>
      </x:c>
      <x:c r="K237" t="n">
        <x:f>COUNTIFS(Games!$A$4:$A$1177,$A237,Games!$D$4:$D$1177,"post",Games!$G$4:$G$1177,$C237,Games!$T$4:$T$1177,"&lt;&gt;")+COUNTIFS(Games!$A$4:$A$1177,$A237,Games!$D$4:$D$1177,"post",Games!$L$4:$L$1177,$C237,Games!$T$4:$T$1177,"&lt;&gt;")</x:f>
        <x:v>0</x:v>
      </x:c>
      <x:c r="L237" s="80" t="n">
        <x:f>IF(D237=0,0,K237/D237)</x:f>
        <x:v>0</x:v>
      </x:c>
      <x:c r="M237" t="str">
        <x:f>IF(AND(D237&gt;=2,K237&gt;=2,L237&gt;=75%),"YES","NO")</x:f>
        <x:v>NO</x:v>
      </x:c>
    </x:row>
    <x:row r="238">
      <x:c r="A238" t="str">
        <x:v>CFB</x:v>
      </x:c>
      <x:c r="B238" t="str">
        <x:v>Western Michigan Broncos</x:v>
      </x:c>
      <x:c r="C238" t="str">
        <x:v>WMU</x:v>
      </x:c>
      <x:c r="D238" t="n">
        <x:f>COUNTIFS(Games!$A$4:$A$1177,$A238,Games!$D$4:$D$1177,"post",Games!$G$4:$G$1177,$C238)+COUNTIFS(Games!$A$4:$A$1177,$A238,Games!$D$4:$D$1177,"post",Games!$L$4:$L$1177,$C238)</x:f>
        <x:v>3</x:v>
      </x:c>
      <x:c r="E238" t="n">
        <x:f>COUNTIFS(Games!$A$4:$A$1177,$A238,Games!$G$4:$G$1177,$C238,Games!$J$4:$J$1177,"W")+COUNTIFS(Games!$A$4:$A$1177,$A238,Games!$L$4:$L$1177,$C238,Games!$O$4:$O$1177,"W")</x:f>
        <x:v>2</x:v>
      </x:c>
      <x:c r="F238" t="n">
        <x:f>COUNTIFS(Games!$A$4:$A$1177,$A238,Games!$G$4:$G$1177,$C238,Games!$J$4:$J$1177,"L")+COUNTIFS(Games!$A$4:$A$1177,$A238,Games!$L$4:$L$1177,$C238,Games!$O$4:$O$1177,"L")</x:f>
        <x:v>1</x:v>
      </x:c>
      <x:c r="G238" t="n">
        <x:f>COUNTIFS(Games!$A$4:$A$1177,$A238,Games!$G$4:$G$1177,$C238,Games!$J$4:$J$1177,"T")+COUNTIFS(Games!$A$4:$A$1177,$A238,Games!$L$4:$L$1177,$C238,Games!$O$4:$O$1177,"T")</x:f>
        <x:v>0</x:v>
      </x:c>
      <x:c r="H238" t="n">
        <x:f>SUMIFS(Games!$H$4:$H$1177,Games!$A$4:$A$1177,$A238,Games!$D$4:$D$1177,"post",Games!$G$4:$G$1177,$C238)+SUMIFS(Games!$M$4:$M$1177,Games!$A$4:$A$1177,$A238,Games!$D$4:$D$1177,"post",Games!$L$4:$L$1177,$C238)</x:f>
        <x:v>89</x:v>
      </x:c>
      <x:c r="I238" t="n">
        <x:f>SUMIFS(Games!$M$4:$M$1177,Games!$A$4:$A$1177,$A238,Games!$D$4:$D$1177,"post",Games!$G$4:$G$1177,$C238)+SUMIFS(Games!$H$4:$H$1177,Games!$A$4:$A$1177,$A238,Games!$D$4:$D$1177,"post",Games!$L$4:$L$1177,$C238)</x:f>
        <x:v>48</x:v>
      </x:c>
      <x:c r="J238" t="str">
        <x:f>E238&amp;"-"&amp;F238&amp;IF(G238&gt;0,"-"&amp;G238,"")</x:f>
        <x:v>2-1</x:v>
      </x:c>
      <x:c r="K238" t="n">
        <x:f>COUNTIFS(Games!$A$4:$A$1177,$A238,Games!$D$4:$D$1177,"post",Games!$G$4:$G$1177,$C238,Games!$T$4:$T$1177,"&lt;&gt;")+COUNTIFS(Games!$A$4:$A$1177,$A238,Games!$D$4:$D$1177,"post",Games!$L$4:$L$1177,$C238,Games!$T$4:$T$1177,"&lt;&gt;")</x:f>
        <x:v>0</x:v>
      </x:c>
      <x:c r="L238" s="80" t="n">
        <x:f>IF(D238=0,0,K238/D238)</x:f>
        <x:v>0</x:v>
      </x:c>
      <x:c r="M238" t="str">
        <x:f>IF(AND(D238&gt;=2,K238&gt;=2,L238&gt;=75%),"YES","NO")</x:f>
        <x:v>NO</x:v>
      </x:c>
    </x:row>
    <x:row r="239">
      <x:c r="A239" t="str">
        <x:v>CFB</x:v>
      </x:c>
      <x:c r="B239" t="str">
        <x:v>William &amp; Mary Tribe</x:v>
      </x:c>
      <x:c r="C239" t="str">
        <x:v>W&amp;M</x:v>
      </x:c>
      <x:c r="D239" t="n">
        <x:f>COUNTIFS(Games!$A$4:$A$1177,$A239,Games!$D$4:$D$1177,"post",Games!$G$4:$G$1177,$C239)+COUNTIFS(Games!$A$4:$A$1177,$A239,Games!$D$4:$D$1177,"post",Games!$L$4:$L$1177,$C239)</x:f>
        <x:v>0</x:v>
      </x:c>
      <x:c r="E239" t="n">
        <x:f>COUNTIFS(Games!$A$4:$A$1177,$A239,Games!$G$4:$G$1177,$C239,Games!$J$4:$J$1177,"W")+COUNTIFS(Games!$A$4:$A$1177,$A239,Games!$L$4:$L$1177,$C239,Games!$O$4:$O$1177,"W")</x:f>
        <x:v>0</x:v>
      </x:c>
      <x:c r="F239" t="n">
        <x:f>COUNTIFS(Games!$A$4:$A$1177,$A239,Games!$G$4:$G$1177,$C239,Games!$J$4:$J$1177,"L")+COUNTIFS(Games!$A$4:$A$1177,$A239,Games!$L$4:$L$1177,$C239,Games!$O$4:$O$1177,"L")</x:f>
        <x:v>0</x:v>
      </x:c>
      <x:c r="G239" t="n">
        <x:f>COUNTIFS(Games!$A$4:$A$1177,$A239,Games!$G$4:$G$1177,$C239,Games!$J$4:$J$1177,"T")+COUNTIFS(Games!$A$4:$A$1177,$A239,Games!$L$4:$L$1177,$C239,Games!$O$4:$O$1177,"T")</x:f>
        <x:v>0</x:v>
      </x:c>
      <x:c r="H239" t="n">
        <x:f>SUMIFS(Games!$H$4:$H$1177,Games!$A$4:$A$1177,$A239,Games!$D$4:$D$1177,"post",Games!$G$4:$G$1177,$C239)+SUMIFS(Games!$M$4:$M$1177,Games!$A$4:$A$1177,$A239,Games!$D$4:$D$1177,"post",Games!$L$4:$L$1177,$C239)</x:f>
        <x:v>0</x:v>
      </x:c>
      <x:c r="I239" t="n">
        <x:f>SUMIFS(Games!$M$4:$M$1177,Games!$A$4:$A$1177,$A239,Games!$D$4:$D$1177,"post",Games!$G$4:$G$1177,$C239)+SUMIFS(Games!$H$4:$H$1177,Games!$A$4:$A$1177,$A239,Games!$D$4:$D$1177,"post",Games!$L$4:$L$1177,$C239)</x:f>
        <x:v>0</x:v>
      </x:c>
      <x:c r="J239" t="str">
        <x:f>E239&amp;"-"&amp;F239&amp;IF(G239&gt;0,"-"&amp;G239,"")</x:f>
        <x:v>0-0</x:v>
      </x:c>
      <x:c r="K239" t="n">
        <x:f>COUNTIFS(Games!$A$4:$A$1177,$A239,Games!$D$4:$D$1177,"post",Games!$G$4:$G$1177,$C239,Games!$T$4:$T$1177,"&lt;&gt;")+COUNTIFS(Games!$A$4:$A$1177,$A239,Games!$D$4:$D$1177,"post",Games!$L$4:$L$1177,$C239,Games!$T$4:$T$1177,"&lt;&gt;")</x:f>
        <x:v>0</x:v>
      </x:c>
      <x:c r="L239" s="80" t="n">
        <x:f>IF(D239=0,0,K239/D239)</x:f>
        <x:v>0</x:v>
      </x:c>
      <x:c r="M239" t="str">
        <x:f>IF(AND(D239&gt;=2,K239&gt;=2,L239&gt;=75%),"YES","NO")</x:f>
        <x:v>NO</x:v>
      </x:c>
    </x:row>
    <x:row r="240">
      <x:c r="A240" t="str">
        <x:v>CFB</x:v>
      </x:c>
      <x:c r="B240" t="str">
        <x:v>Wisconsin Badgers</x:v>
      </x:c>
      <x:c r="C240" t="str">
        <x:v>WIS</x:v>
      </x:c>
      <x:c r="D240" t="n">
        <x:f>COUNTIFS(Games!$A$4:$A$1177,$A240,Games!$D$4:$D$1177,"post",Games!$G$4:$G$1177,$C240)+COUNTIFS(Games!$A$4:$A$1177,$A240,Games!$D$4:$D$1177,"post",Games!$L$4:$L$1177,$C240)</x:f>
        <x:v>3</x:v>
      </x:c>
      <x:c r="E240" t="n">
        <x:f>COUNTIFS(Games!$A$4:$A$1177,$A240,Games!$G$4:$G$1177,$C240,Games!$J$4:$J$1177,"W")+COUNTIFS(Games!$A$4:$A$1177,$A240,Games!$L$4:$L$1177,$C240,Games!$O$4:$O$1177,"W")</x:f>
        <x:v>2</x:v>
      </x:c>
      <x:c r="F240" t="n">
        <x:f>COUNTIFS(Games!$A$4:$A$1177,$A240,Games!$G$4:$G$1177,$C240,Games!$J$4:$J$1177,"L")+COUNTIFS(Games!$A$4:$A$1177,$A240,Games!$L$4:$L$1177,$C240,Games!$O$4:$O$1177,"L")</x:f>
        <x:v>1</x:v>
      </x:c>
      <x:c r="G240" t="n">
        <x:f>COUNTIFS(Games!$A$4:$A$1177,$A240,Games!$G$4:$G$1177,$C240,Games!$J$4:$J$1177,"T")+COUNTIFS(Games!$A$4:$A$1177,$A240,Games!$L$4:$L$1177,$C240,Games!$O$4:$O$1177,"T")</x:f>
        <x:v>0</x:v>
      </x:c>
      <x:c r="H240" t="n">
        <x:f>SUMIFS(Games!$H$4:$H$1177,Games!$A$4:$A$1177,$A240,Games!$D$4:$D$1177,"post",Games!$G$4:$G$1177,$C240)+SUMIFS(Games!$M$4:$M$1177,Games!$A$4:$A$1177,$A240,Games!$D$4:$D$1177,"post",Games!$L$4:$L$1177,$C240)</x:f>
        <x:v>103</x:v>
      </x:c>
      <x:c r="I240" t="n">
        <x:f>SUMIFS(Games!$M$4:$M$1177,Games!$A$4:$A$1177,$A240,Games!$D$4:$D$1177,"post",Games!$G$4:$G$1177,$C240)+SUMIFS(Games!$H$4:$H$1177,Games!$A$4:$A$1177,$A240,Games!$D$4:$D$1177,"post",Games!$L$4:$L$1177,$C240)</x:f>
        <x:v>60</x:v>
      </x:c>
      <x:c r="J240" t="str">
        <x:f>E240&amp;"-"&amp;F240&amp;IF(G240&gt;0,"-"&amp;G240,"")</x:f>
        <x:v>2-1</x:v>
      </x:c>
      <x:c r="K240" t="n">
        <x:f>COUNTIFS(Games!$A$4:$A$1177,$A240,Games!$D$4:$D$1177,"post",Games!$G$4:$G$1177,$C240,Games!$T$4:$T$1177,"&lt;&gt;")+COUNTIFS(Games!$A$4:$A$1177,$A240,Games!$D$4:$D$1177,"post",Games!$L$4:$L$1177,$C240,Games!$T$4:$T$1177,"&lt;&gt;")</x:f>
        <x:v>0</x:v>
      </x:c>
      <x:c r="L240" s="80" t="n">
        <x:f>IF(D240=0,0,K240/D240)</x:f>
        <x:v>0</x:v>
      </x:c>
      <x:c r="M240" t="str">
        <x:f>IF(AND(D240&gt;=2,K240&gt;=2,L240&gt;=75%),"YES","NO")</x:f>
        <x:v>NO</x:v>
      </x:c>
    </x:row>
    <x:row r="241">
      <x:c r="A241" t="str">
        <x:v>CFB</x:v>
      </x:c>
      <x:c r="B241" t="str">
        <x:v>Wofford Terriers</x:v>
      </x:c>
      <x:c r="C241" t="str">
        <x:v>WOF</x:v>
      </x:c>
      <x:c r="D241" t="n">
        <x:f>COUNTIFS(Games!$A$4:$A$1177,$A241,Games!$D$4:$D$1177,"post",Games!$G$4:$G$1177,$C241)+COUNTIFS(Games!$A$4:$A$1177,$A241,Games!$D$4:$D$1177,"post",Games!$L$4:$L$1177,$C241)</x:f>
        <x:v>1</x:v>
      </x:c>
      <x:c r="E241" t="n">
        <x:f>COUNTIFS(Games!$A$4:$A$1177,$A241,Games!$G$4:$G$1177,$C241,Games!$J$4:$J$1177,"W")+COUNTIFS(Games!$A$4:$A$1177,$A241,Games!$L$4:$L$1177,$C241,Games!$O$4:$O$1177,"W")</x:f>
        <x:v>0</x:v>
      </x:c>
      <x:c r="F241" t="n">
        <x:f>COUNTIFS(Games!$A$4:$A$1177,$A241,Games!$G$4:$G$1177,$C241,Games!$J$4:$J$1177,"L")+COUNTIFS(Games!$A$4:$A$1177,$A241,Games!$L$4:$L$1177,$C241,Games!$O$4:$O$1177,"L")</x:f>
        <x:v>1</x:v>
      </x:c>
      <x:c r="G241" t="n">
        <x:f>COUNTIFS(Games!$A$4:$A$1177,$A241,Games!$G$4:$G$1177,$C241,Games!$J$4:$J$1177,"T")+COUNTIFS(Games!$A$4:$A$1177,$A241,Games!$L$4:$L$1177,$C241,Games!$O$4:$O$1177,"T")</x:f>
        <x:v>0</x:v>
      </x:c>
      <x:c r="H241" t="n">
        <x:f>SUMIFS(Games!$H$4:$H$1177,Games!$A$4:$A$1177,$A241,Games!$D$4:$D$1177,"post",Games!$G$4:$G$1177,$C241)+SUMIFS(Games!$M$4:$M$1177,Games!$A$4:$A$1177,$A241,Games!$D$4:$D$1177,"post",Games!$L$4:$L$1177,$C241)</x:f>
        <x:v>15</x:v>
      </x:c>
      <x:c r="I241" t="n">
        <x:f>SUMIFS(Games!$M$4:$M$1177,Games!$A$4:$A$1177,$A241,Games!$D$4:$D$1177,"post",Games!$G$4:$G$1177,$C241)+SUMIFS(Games!$H$4:$H$1177,Games!$A$4:$A$1177,$A241,Games!$D$4:$D$1177,"post",Games!$L$4:$L$1177,$C241)</x:f>
        <x:v>36</x:v>
      </x:c>
      <x:c r="J241" t="str">
        <x:f>E241&amp;"-"&amp;F241&amp;IF(G241&gt;0,"-"&amp;G241,"")</x:f>
        <x:v>0-1</x:v>
      </x:c>
      <x:c r="K241" t="n">
        <x:f>COUNTIFS(Games!$A$4:$A$1177,$A241,Games!$D$4:$D$1177,"post",Games!$G$4:$G$1177,$C241,Games!$T$4:$T$1177,"&lt;&gt;")+COUNTIFS(Games!$A$4:$A$1177,$A241,Games!$D$4:$D$1177,"post",Games!$L$4:$L$1177,$C241,Games!$T$4:$T$1177,"&lt;&gt;")</x:f>
        <x:v>0</x:v>
      </x:c>
      <x:c r="L241" s="80" t="n">
        <x:f>IF(D241=0,0,K241/D241)</x:f>
        <x:v>0</x:v>
      </x:c>
      <x:c r="M241" t="str">
        <x:f>IF(AND(D241&gt;=2,K241&gt;=2,L241&gt;=75%),"YES","NO")</x:f>
        <x:v>NO</x:v>
      </x:c>
    </x:row>
    <x:row r="242">
      <x:c r="A242" t="str">
        <x:v>CFB</x:v>
      </x:c>
      <x:c r="B242" t="str">
        <x:v>Wyoming Cowboys</x:v>
      </x:c>
      <x:c r="C242" t="str">
        <x:v>WYO</x:v>
      </x:c>
      <x:c r="D242" t="n">
        <x:f>COUNTIFS(Games!$A$4:$A$1177,$A242,Games!$D$4:$D$1177,"post",Games!$G$4:$G$1177,$C242)+COUNTIFS(Games!$A$4:$A$1177,$A242,Games!$D$4:$D$1177,"post",Games!$L$4:$L$1177,$C242)</x:f>
        <x:v>3</x:v>
      </x:c>
      <x:c r="E242" t="n">
        <x:f>COUNTIFS(Games!$A$4:$A$1177,$A242,Games!$G$4:$G$1177,$C242,Games!$J$4:$J$1177,"W")+COUNTIFS(Games!$A$4:$A$1177,$A242,Games!$L$4:$L$1177,$C242,Games!$O$4:$O$1177,"W")</x:f>
        <x:v>1</x:v>
      </x:c>
      <x:c r="F242" t="n">
        <x:f>COUNTIFS(Games!$A$4:$A$1177,$A242,Games!$G$4:$G$1177,$C242,Games!$J$4:$J$1177,"L")+COUNTIFS(Games!$A$4:$A$1177,$A242,Games!$L$4:$L$1177,$C242,Games!$O$4:$O$1177,"L")</x:f>
        <x:v>2</x:v>
      </x:c>
      <x:c r="G242" t="n">
        <x:f>COUNTIFS(Games!$A$4:$A$1177,$A242,Games!$G$4:$G$1177,$C242,Games!$J$4:$J$1177,"T")+COUNTIFS(Games!$A$4:$A$1177,$A242,Games!$L$4:$L$1177,$C242,Games!$O$4:$O$1177,"T")</x:f>
        <x:v>0</x:v>
      </x:c>
      <x:c r="H242" t="n">
        <x:f>SUMIFS(Games!$H$4:$H$1177,Games!$A$4:$A$1177,$A242,Games!$D$4:$D$1177,"post",Games!$G$4:$G$1177,$C242)+SUMIFS(Games!$M$4:$M$1177,Games!$A$4:$A$1177,$A242,Games!$D$4:$D$1177,"post",Games!$L$4:$L$1177,$C242)</x:f>
        <x:v>44</x:v>
      </x:c>
      <x:c r="I242" t="n">
        <x:f>SUMIFS(Games!$M$4:$M$1177,Games!$A$4:$A$1177,$A242,Games!$D$4:$D$1177,"post",Games!$G$4:$G$1177,$C242)+SUMIFS(Games!$H$4:$H$1177,Games!$A$4:$A$1177,$A242,Games!$D$4:$D$1177,"post",Games!$L$4:$L$1177,$C242)</x:f>
        <x:v>72</x:v>
      </x:c>
      <x:c r="J242" t="str">
        <x:f>E242&amp;"-"&amp;F242&amp;IF(G242&gt;0,"-"&amp;G242,"")</x:f>
        <x:v>1-2</x:v>
      </x:c>
      <x:c r="K242" t="n">
        <x:f>COUNTIFS(Games!$A$4:$A$1177,$A242,Games!$D$4:$D$1177,"post",Games!$G$4:$G$1177,$C242,Games!$T$4:$T$1177,"&lt;&gt;")+COUNTIFS(Games!$A$4:$A$1177,$A242,Games!$D$4:$D$1177,"post",Games!$L$4:$L$1177,$C242,Games!$T$4:$T$1177,"&lt;&gt;")</x:f>
        <x:v>0</x:v>
      </x:c>
      <x:c r="L242" s="80" t="n">
        <x:f>IF(D242=0,0,K242/D242)</x:f>
        <x:v>0</x:v>
      </x:c>
      <x:c r="M242" t="str">
        <x:f>IF(AND(D242&gt;=2,K242&gt;=2,L242&gt;=75%),"YES","NO")</x:f>
        <x:v>NO</x:v>
      </x:c>
    </x:row>
    <x:row r="243">
      <x:c r="A243" t="str">
        <x:v>CFB</x:v>
      </x:c>
      <x:c r="B243" t="str">
        <x:v>Youngstown State Penguins</x:v>
      </x:c>
      <x:c r="C243" t="str">
        <x:v>YSU</x:v>
      </x:c>
      <x:c r="D243" t="n">
        <x:f>COUNTIFS(Games!$A$4:$A$1177,$A243,Games!$D$4:$D$1177,"post",Games!$G$4:$G$1177,$C243)+COUNTIFS(Games!$A$4:$A$1177,$A243,Games!$D$4:$D$1177,"post",Games!$L$4:$L$1177,$C243)</x:f>
        <x:v>1</x:v>
      </x:c>
      <x:c r="E243" t="n">
        <x:f>COUNTIFS(Games!$A$4:$A$1177,$A243,Games!$G$4:$G$1177,$C243,Games!$J$4:$J$1177,"W")+COUNTIFS(Games!$A$4:$A$1177,$A243,Games!$L$4:$L$1177,$C243,Games!$O$4:$O$1177,"W")</x:f>
        <x:v>0</x:v>
      </x:c>
      <x:c r="F243" t="n">
        <x:f>COUNTIFS(Games!$A$4:$A$1177,$A243,Games!$G$4:$G$1177,$C243,Games!$J$4:$J$1177,"L")+COUNTIFS(Games!$A$4:$A$1177,$A243,Games!$L$4:$L$1177,$C243,Games!$O$4:$O$1177,"L")</x:f>
        <x:v>1</x:v>
      </x:c>
      <x:c r="G243" t="n">
        <x:f>COUNTIFS(Games!$A$4:$A$1177,$A243,Games!$G$4:$G$1177,$C243,Games!$J$4:$J$1177,"T")+COUNTIFS(Games!$A$4:$A$1177,$A243,Games!$L$4:$L$1177,$C243,Games!$O$4:$O$1177,"T")</x:f>
        <x:v>0</x:v>
      </x:c>
      <x:c r="H243" t="n">
        <x:f>SUMIFS(Games!$H$4:$H$1177,Games!$A$4:$A$1177,$A243,Games!$D$4:$D$1177,"post",Games!$G$4:$G$1177,$C243)+SUMIFS(Games!$M$4:$M$1177,Games!$A$4:$A$1177,$A243,Games!$D$4:$D$1177,"post",Games!$L$4:$L$1177,$C243)</x:f>
        <x:v>13</x:v>
      </x:c>
      <x:c r="I243" t="n">
        <x:f>SUMIFS(Games!$M$4:$M$1177,Games!$A$4:$A$1177,$A243,Games!$D$4:$D$1177,"post",Games!$G$4:$G$1177,$C243)+SUMIFS(Games!$H$4:$H$1177,Games!$A$4:$A$1177,$A243,Games!$D$4:$D$1177,"post",Games!$L$4:$L$1177,$C243)</x:f>
        <x:v>45</x:v>
      </x:c>
      <x:c r="J243" t="str">
        <x:f>E243&amp;"-"&amp;F243&amp;IF(G243&gt;0,"-"&amp;G243,"")</x:f>
        <x:v>0-1</x:v>
      </x:c>
      <x:c r="K243" t="n">
        <x:f>COUNTIFS(Games!$A$4:$A$1177,$A243,Games!$D$4:$D$1177,"post",Games!$G$4:$G$1177,$C243,Games!$T$4:$T$1177,"&lt;&gt;")+COUNTIFS(Games!$A$4:$A$1177,$A243,Games!$D$4:$D$1177,"post",Games!$L$4:$L$1177,$C243,Games!$T$4:$T$1177,"&lt;&gt;")</x:f>
        <x:v>0</x:v>
      </x:c>
      <x:c r="L243" s="80" t="n">
        <x:f>IF(D243=0,0,K243/D243)</x:f>
        <x:v>0</x:v>
      </x:c>
      <x:c r="M243" t="str">
        <x:f>IF(AND(D243&gt;=2,K243&gt;=2,L243&gt;=75%),"YES","NO")</x:f>
        <x:v>NO</x:v>
      </x:c>
    </x:row>
    <x:row r="244">
      <x:c r="A244" t="str">
        <x:v>NFL</x:v>
      </x:c>
      <x:c r="B244" t="str">
        <x:v>Arizona Cardinals</x:v>
      </x:c>
      <x:c r="C244" t="str">
        <x:v>ARI</x:v>
      </x:c>
      <x:c r="D244" t="n">
        <x:f>COUNTIFS(Games!$A$4:$A$1177,$A244,Games!$D$4:$D$1177,"post",Games!$G$4:$G$1177,$C244)+COUNTIFS(Games!$A$4:$A$1177,$A244,Games!$D$4:$D$1177,"post",Games!$L$4:$L$1177,$C244)</x:f>
        <x:v>2</x:v>
      </x:c>
      <x:c r="E244" t="n">
        <x:f>COUNTIFS(Games!$A$4:$A$1177,$A244,Games!$G$4:$G$1177,$C244,Games!$J$4:$J$1177,"W")+COUNTIFS(Games!$A$4:$A$1177,$A244,Games!$L$4:$L$1177,$C244,Games!$O$4:$O$1177,"W")</x:f>
        <x:v>1</x:v>
      </x:c>
      <x:c r="F244" t="n">
        <x:f>COUNTIFS(Games!$A$4:$A$1177,$A244,Games!$G$4:$G$1177,$C244,Games!$J$4:$J$1177,"L")+COUNTIFS(Games!$A$4:$A$1177,$A244,Games!$L$4:$L$1177,$C244,Games!$O$4:$O$1177,"L")</x:f>
        <x:v>1</x:v>
      </x:c>
      <x:c r="G244" t="n">
        <x:f>COUNTIFS(Games!$A$4:$A$1177,$A244,Games!$G$4:$G$1177,$C244,Games!$J$4:$J$1177,"T")+COUNTIFS(Games!$A$4:$A$1177,$A244,Games!$L$4:$L$1177,$C244,Games!$O$4:$O$1177,"T")</x:f>
        <x:v>0</x:v>
      </x:c>
      <x:c r="H244" t="n">
        <x:f>SUMIFS(Games!$H$4:$H$1177,Games!$A$4:$A$1177,$A244,Games!$D$4:$D$1177,"post",Games!$G$4:$G$1177,$C244)+SUMIFS(Games!$M$4:$M$1177,Games!$A$4:$A$1177,$A244,Games!$D$4:$D$1177,"post",Games!$L$4:$L$1177,$C244)</x:f>
        <x:v>33</x:v>
      </x:c>
      <x:c r="I244" t="n">
        <x:f>SUMIFS(Games!$M$4:$M$1177,Games!$A$4:$A$1177,$A244,Games!$D$4:$D$1177,"post",Games!$G$4:$G$1177,$C244)+SUMIFS(Games!$H$4:$H$1177,Games!$A$4:$A$1177,$A244,Games!$D$4:$D$1177,"post",Games!$L$4:$L$1177,$C244)</x:f>
        <x:v>45</x:v>
      </x:c>
      <x:c r="J244" t="str">
        <x:f>E244&amp;"-"&amp;F244&amp;IF(G244&gt;0,"-"&amp;G244,"")</x:f>
        <x:v>1-1</x:v>
      </x:c>
      <x:c r="K244" t="n">
        <x:f>COUNTIFS(Games!$A$4:$A$1177,$A244,Games!$D$4:$D$1177,"post",Games!$G$4:$G$1177,$C244,Games!$T$4:$T$1177,"&lt;&gt;")+COUNTIFS(Games!$A$4:$A$1177,$A244,Games!$D$4:$D$1177,"post",Games!$L$4:$L$1177,$C244,Games!$T$4:$T$1177,"&lt;&gt;")</x:f>
        <x:v>0</x:v>
      </x:c>
      <x:c r="L244" s="80" t="n">
        <x:f>IF(D244=0,0,K244/D244)</x:f>
        <x:v>0</x:v>
      </x:c>
      <x:c r="M244" t="str">
        <x:f>IF(AND(D244&gt;=2,K244&gt;=2,L244&gt;=75%),"YES","NO")</x:f>
        <x:v>NO</x:v>
      </x:c>
    </x:row>
    <x:row r="245">
      <x:c r="A245" t="str">
        <x:v>NFL</x:v>
      </x:c>
      <x:c r="B245" t="str">
        <x:v>Atlanta Falcons</x:v>
      </x:c>
      <x:c r="C245" t="str">
        <x:v>ATL</x:v>
      </x:c>
      <x:c r="D245" t="n">
        <x:f>COUNTIFS(Games!$A$4:$A$1177,$A245,Games!$D$4:$D$1177,"post",Games!$G$4:$G$1177,$C245)+COUNTIFS(Games!$A$4:$A$1177,$A245,Games!$D$4:$D$1177,"post",Games!$L$4:$L$1177,$C245)</x:f>
        <x:v>2</x:v>
      </x:c>
      <x:c r="E245" t="n">
        <x:f>COUNTIFS(Games!$A$4:$A$1177,$A245,Games!$G$4:$G$1177,$C245,Games!$J$4:$J$1177,"W")+COUNTIFS(Games!$A$4:$A$1177,$A245,Games!$L$4:$L$1177,$C245,Games!$O$4:$O$1177,"W")</x:f>
        <x:v>0</x:v>
      </x:c>
      <x:c r="F245" t="n">
        <x:f>COUNTIFS(Games!$A$4:$A$1177,$A245,Games!$G$4:$G$1177,$C245,Games!$J$4:$J$1177,"L")+COUNTIFS(Games!$A$4:$A$1177,$A245,Games!$L$4:$L$1177,$C245,Games!$O$4:$O$1177,"L")</x:f>
        <x:v>2</x:v>
      </x:c>
      <x:c r="G245" t="n">
        <x:f>COUNTIFS(Games!$A$4:$A$1177,$A245,Games!$G$4:$G$1177,$C245,Games!$J$4:$J$1177,"T")+COUNTIFS(Games!$A$4:$A$1177,$A245,Games!$L$4:$L$1177,$C245,Games!$O$4:$O$1177,"T")</x:f>
        <x:v>0</x:v>
      </x:c>
      <x:c r="H245" t="n">
        <x:f>SUMIFS(Games!$H$4:$H$1177,Games!$A$4:$A$1177,$A245,Games!$D$4:$D$1177,"post",Games!$G$4:$G$1177,$C245)+SUMIFS(Games!$M$4:$M$1177,Games!$A$4:$A$1177,$A245,Games!$D$4:$D$1177,"post",Games!$L$4:$L$1177,$C245)</x:f>
        <x:v>16</x:v>
      </x:c>
      <x:c r="I245" t="n">
        <x:f>SUMIFS(Games!$M$4:$M$1177,Games!$A$4:$A$1177,$A245,Games!$D$4:$D$1177,"post",Games!$G$4:$G$1177,$C245)+SUMIFS(Games!$H$4:$H$1177,Games!$A$4:$A$1177,$A245,Games!$D$4:$D$1177,"post",Games!$L$4:$L$1177,$C245)</x:f>
        <x:v>54</x:v>
      </x:c>
      <x:c r="J245" t="str">
        <x:f>E245&amp;"-"&amp;F245&amp;IF(G245&gt;0,"-"&amp;G245,"")</x:f>
        <x:v>0-2</x:v>
      </x:c>
      <x:c r="K245" t="n">
        <x:f>COUNTIFS(Games!$A$4:$A$1177,$A245,Games!$D$4:$D$1177,"post",Games!$G$4:$G$1177,$C245,Games!$T$4:$T$1177,"&lt;&gt;")+COUNTIFS(Games!$A$4:$A$1177,$A245,Games!$D$4:$D$1177,"post",Games!$L$4:$L$1177,$C245,Games!$T$4:$T$1177,"&lt;&gt;")</x:f>
        <x:v>0</x:v>
      </x:c>
      <x:c r="L245" s="80" t="n">
        <x:f>IF(D245=0,0,K245/D245)</x:f>
        <x:v>0</x:v>
      </x:c>
      <x:c r="M245" t="str">
        <x:f>IF(AND(D245&gt;=2,K245&gt;=2,L245&gt;=75%),"YES","NO")</x:f>
        <x:v>NO</x:v>
      </x:c>
    </x:row>
    <x:row r="246">
      <x:c r="A246" t="str">
        <x:v>NFL</x:v>
      </x:c>
      <x:c r="B246" t="str">
        <x:v>Baltimore Ravens</x:v>
      </x:c>
      <x:c r="C246" t="str">
        <x:v>BAL</x:v>
      </x:c>
      <x:c r="D246" t="n">
        <x:f>COUNTIFS(Games!$A$4:$A$1177,$A246,Games!$D$4:$D$1177,"post",Games!$G$4:$G$1177,$C246)+COUNTIFS(Games!$A$4:$A$1177,$A246,Games!$D$4:$D$1177,"post",Games!$L$4:$L$1177,$C246)</x:f>
        <x:v>2</x:v>
      </x:c>
      <x:c r="E246" t="n">
        <x:f>COUNTIFS(Games!$A$4:$A$1177,$A246,Games!$G$4:$G$1177,$C246,Games!$J$4:$J$1177,"W")+COUNTIFS(Games!$A$4:$A$1177,$A246,Games!$L$4:$L$1177,$C246,Games!$O$4:$O$1177,"W")</x:f>
        <x:v>1</x:v>
      </x:c>
      <x:c r="F246" t="n">
        <x:f>COUNTIFS(Games!$A$4:$A$1177,$A246,Games!$G$4:$G$1177,$C246,Games!$J$4:$J$1177,"L")+COUNTIFS(Games!$A$4:$A$1177,$A246,Games!$L$4:$L$1177,$C246,Games!$O$4:$O$1177,"L")</x:f>
        <x:v>1</x:v>
      </x:c>
      <x:c r="G246" t="n">
        <x:f>COUNTIFS(Games!$A$4:$A$1177,$A246,Games!$G$4:$G$1177,$C246,Games!$J$4:$J$1177,"T")+COUNTIFS(Games!$A$4:$A$1177,$A246,Games!$L$4:$L$1177,$C246,Games!$O$4:$O$1177,"T")</x:f>
        <x:v>0</x:v>
      </x:c>
      <x:c r="H246" t="n">
        <x:f>SUMIFS(Games!$H$4:$H$1177,Games!$A$4:$A$1177,$A246,Games!$D$4:$D$1177,"post",Games!$G$4:$G$1177,$C246)+SUMIFS(Games!$M$4:$M$1177,Games!$A$4:$A$1177,$A246,Games!$D$4:$D$1177,"post",Games!$L$4:$L$1177,$C246)</x:f>
        <x:v>58</x:v>
      </x:c>
      <x:c r="I246" t="n">
        <x:f>SUMIFS(Games!$M$4:$M$1177,Games!$A$4:$A$1177,$A246,Games!$D$4:$D$1177,"post",Games!$G$4:$G$1177,$C246)+SUMIFS(Games!$H$4:$H$1177,Games!$A$4:$A$1177,$A246,Games!$D$4:$D$1177,"post",Games!$L$4:$L$1177,$C246)</x:f>
        <x:v>47</x:v>
      </x:c>
      <x:c r="J246" t="str">
        <x:f>E246&amp;"-"&amp;F246&amp;IF(G246&gt;0,"-"&amp;G246,"")</x:f>
        <x:v>1-1</x:v>
      </x:c>
      <x:c r="K246" t="n">
        <x:f>COUNTIFS(Games!$A$4:$A$1177,$A246,Games!$D$4:$D$1177,"post",Games!$G$4:$G$1177,$C246,Games!$T$4:$T$1177,"&lt;&gt;")+COUNTIFS(Games!$A$4:$A$1177,$A246,Games!$D$4:$D$1177,"post",Games!$L$4:$L$1177,$C246,Games!$T$4:$T$1177,"&lt;&gt;")</x:f>
        <x:v>0</x:v>
      </x:c>
      <x:c r="L246" s="80" t="n">
        <x:f>IF(D246=0,0,K246/D246)</x:f>
        <x:v>0</x:v>
      </x:c>
      <x:c r="M246" t="str">
        <x:f>IF(AND(D246&gt;=2,K246&gt;=2,L246&gt;=75%),"YES","NO")</x:f>
        <x:v>NO</x:v>
      </x:c>
    </x:row>
    <x:row r="247">
      <x:c r="A247" t="str">
        <x:v>NFL</x:v>
      </x:c>
      <x:c r="B247" t="str">
        <x:v>Buffalo Bills</x:v>
      </x:c>
      <x:c r="C247" t="str">
        <x:v>BUF</x:v>
      </x:c>
      <x:c r="D247" t="n">
        <x:f>COUNTIFS(Games!$A$4:$A$1177,$A247,Games!$D$4:$D$1177,"post",Games!$G$4:$G$1177,$C247)+COUNTIFS(Games!$A$4:$A$1177,$A247,Games!$D$4:$D$1177,"post",Games!$L$4:$L$1177,$C247)</x:f>
        <x:v>2</x:v>
      </x:c>
      <x:c r="E247" t="n">
        <x:f>COUNTIFS(Games!$A$4:$A$1177,$A247,Games!$G$4:$G$1177,$C247,Games!$J$4:$J$1177,"W")+COUNTIFS(Games!$A$4:$A$1177,$A247,Games!$L$4:$L$1177,$C247,Games!$O$4:$O$1177,"W")</x:f>
        <x:v>2</x:v>
      </x:c>
      <x:c r="F247" t="n">
        <x:f>COUNTIFS(Games!$A$4:$A$1177,$A247,Games!$G$4:$G$1177,$C247,Games!$J$4:$J$1177,"L")+COUNTIFS(Games!$A$4:$A$1177,$A247,Games!$L$4:$L$1177,$C247,Games!$O$4:$O$1177,"L")</x:f>
        <x:v>0</x:v>
      </x:c>
      <x:c r="G247" t="n">
        <x:f>COUNTIFS(Games!$A$4:$A$1177,$A247,Games!$G$4:$G$1177,$C247,Games!$J$4:$J$1177,"T")+COUNTIFS(Games!$A$4:$A$1177,$A247,Games!$L$4:$L$1177,$C247,Games!$O$4:$O$1177,"T")</x:f>
        <x:v>0</x:v>
      </x:c>
      <x:c r="H247" t="n">
        <x:f>SUMIFS(Games!$H$4:$H$1177,Games!$A$4:$A$1177,$A247,Games!$D$4:$D$1177,"post",Games!$G$4:$G$1177,$C247)+SUMIFS(Games!$M$4:$M$1177,Games!$A$4:$A$1177,$A247,Games!$D$4:$D$1177,"post",Games!$L$4:$L$1177,$C247)</x:f>
        <x:v>77</x:v>
      </x:c>
      <x:c r="I247" t="n">
        <x:f>SUMIFS(Games!$M$4:$M$1177,Games!$A$4:$A$1177,$A247,Games!$D$4:$D$1177,"post",Games!$G$4:$G$1177,$C247)+SUMIFS(Games!$H$4:$H$1177,Games!$A$4:$A$1177,$A247,Games!$D$4:$D$1177,"post",Games!$L$4:$L$1177,$C247)</x:f>
        <x:v>62</x:v>
      </x:c>
      <x:c r="J247" t="str">
        <x:f>E247&amp;"-"&amp;F247&amp;IF(G247&gt;0,"-"&amp;G247,"")</x:f>
        <x:v>2-0</x:v>
      </x:c>
      <x:c r="K247" t="n">
        <x:f>COUNTIFS(Games!$A$4:$A$1177,$A247,Games!$D$4:$D$1177,"post",Games!$G$4:$G$1177,$C247,Games!$T$4:$T$1177,"&lt;&gt;")+COUNTIFS(Games!$A$4:$A$1177,$A247,Games!$D$4:$D$1177,"post",Games!$L$4:$L$1177,$C247,Games!$T$4:$T$1177,"&lt;&gt;")</x:f>
        <x:v>0</x:v>
      </x:c>
      <x:c r="L247" s="80" t="n">
        <x:f>IF(D247=0,0,K247/D247)</x:f>
        <x:v>0</x:v>
      </x:c>
      <x:c r="M247" t="str">
        <x:f>IF(AND(D247&gt;=2,K247&gt;=2,L247&gt;=75%),"YES","NO")</x:f>
        <x:v>NO</x:v>
      </x:c>
    </x:row>
    <x:row r="248">
      <x:c r="A248" t="str">
        <x:v>NFL</x:v>
      </x:c>
      <x:c r="B248" t="str">
        <x:v>Carolina Panthers</x:v>
      </x:c>
      <x:c r="C248" t="str">
        <x:v>CAR</x:v>
      </x:c>
      <x:c r="D248" t="n">
        <x:f>COUNTIFS(Games!$A$4:$A$1177,$A248,Games!$D$4:$D$1177,"post",Games!$G$4:$G$1177,$C248)+COUNTIFS(Games!$A$4:$A$1177,$A248,Games!$D$4:$D$1177,"post",Games!$L$4:$L$1177,$C248)</x:f>
        <x:v>2</x:v>
      </x:c>
      <x:c r="E248" t="n">
        <x:f>COUNTIFS(Games!$A$4:$A$1177,$A248,Games!$G$4:$G$1177,$C248,Games!$J$4:$J$1177,"W")+COUNTIFS(Games!$A$4:$A$1177,$A248,Games!$L$4:$L$1177,$C248,Games!$O$4:$O$1177,"W")</x:f>
        <x:v>1</x:v>
      </x:c>
      <x:c r="F248" t="n">
        <x:f>COUNTIFS(Games!$A$4:$A$1177,$A248,Games!$G$4:$G$1177,$C248,Games!$J$4:$J$1177,"L")+COUNTIFS(Games!$A$4:$A$1177,$A248,Games!$L$4:$L$1177,$C248,Games!$O$4:$O$1177,"L")</x:f>
        <x:v>1</x:v>
      </x:c>
      <x:c r="G248" t="n">
        <x:f>COUNTIFS(Games!$A$4:$A$1177,$A248,Games!$G$4:$G$1177,$C248,Games!$J$4:$J$1177,"T")+COUNTIFS(Games!$A$4:$A$1177,$A248,Games!$L$4:$L$1177,$C248,Games!$O$4:$O$1177,"T")</x:f>
        <x:v>0</x:v>
      </x:c>
      <x:c r="H248" t="n">
        <x:f>SUMIFS(Games!$H$4:$H$1177,Games!$A$4:$A$1177,$A248,Games!$D$4:$D$1177,"post",Games!$G$4:$G$1177,$C248)+SUMIFS(Games!$M$4:$M$1177,Games!$A$4:$A$1177,$A248,Games!$D$4:$D$1177,"post",Games!$L$4:$L$1177,$C248)</x:f>
        <x:v>71</x:v>
      </x:c>
      <x:c r="I248" t="n">
        <x:f>SUMIFS(Games!$M$4:$M$1177,Games!$A$4:$A$1177,$A248,Games!$D$4:$D$1177,"post",Games!$G$4:$G$1177,$C248)+SUMIFS(Games!$H$4:$H$1177,Games!$A$4:$A$1177,$A248,Games!$D$4:$D$1177,"post",Games!$L$4:$L$1177,$C248)</x:f>
        <x:v>62</x:v>
      </x:c>
      <x:c r="J248" t="str">
        <x:f>E248&amp;"-"&amp;F248&amp;IF(G248&gt;0,"-"&amp;G248,"")</x:f>
        <x:v>1-1</x:v>
      </x:c>
      <x:c r="K248" t="n">
        <x:f>COUNTIFS(Games!$A$4:$A$1177,$A248,Games!$D$4:$D$1177,"post",Games!$G$4:$G$1177,$C248,Games!$T$4:$T$1177,"&lt;&gt;")+COUNTIFS(Games!$A$4:$A$1177,$A248,Games!$D$4:$D$1177,"post",Games!$L$4:$L$1177,$C248,Games!$T$4:$T$1177,"&lt;&gt;")</x:f>
        <x:v>0</x:v>
      </x:c>
      <x:c r="L248" s="80" t="n">
        <x:f>IF(D248=0,0,K248/D248)</x:f>
        <x:v>0</x:v>
      </x:c>
      <x:c r="M248" t="str">
        <x:f>IF(AND(D248&gt;=2,K248&gt;=2,L248&gt;=75%),"YES","NO")</x:f>
        <x:v>NO</x:v>
      </x:c>
    </x:row>
    <x:row r="249">
      <x:c r="A249" t="str">
        <x:v>NFL</x:v>
      </x:c>
      <x:c r="B249" t="str">
        <x:v>Chicago Bears</x:v>
      </x:c>
      <x:c r="C249" t="str">
        <x:v>CHI</x:v>
      </x:c>
      <x:c r="D249" t="n">
        <x:f>COUNTIFS(Games!$A$4:$A$1177,$A249,Games!$D$4:$D$1177,"post",Games!$G$4:$G$1177,$C249)+COUNTIFS(Games!$A$4:$A$1177,$A249,Games!$D$4:$D$1177,"post",Games!$L$4:$L$1177,$C249)</x:f>
        <x:v>2</x:v>
      </x:c>
      <x:c r="E249" t="n">
        <x:f>COUNTIFS(Games!$A$4:$A$1177,$A249,Games!$G$4:$G$1177,$C249,Games!$J$4:$J$1177,"W")+COUNTIFS(Games!$A$4:$A$1177,$A249,Games!$L$4:$L$1177,$C249,Games!$O$4:$O$1177,"W")</x:f>
        <x:v>1</x:v>
      </x:c>
      <x:c r="F249" t="n">
        <x:f>COUNTIFS(Games!$A$4:$A$1177,$A249,Games!$G$4:$G$1177,$C249,Games!$J$4:$J$1177,"L")+COUNTIFS(Games!$A$4:$A$1177,$A249,Games!$L$4:$L$1177,$C249,Games!$O$4:$O$1177,"L")</x:f>
        <x:v>1</x:v>
      </x:c>
      <x:c r="G249" t="n">
        <x:f>COUNTIFS(Games!$A$4:$A$1177,$A249,Games!$G$4:$G$1177,$C249,Games!$J$4:$J$1177,"T")+COUNTIFS(Games!$A$4:$A$1177,$A249,Games!$L$4:$L$1177,$C249,Games!$O$4:$O$1177,"T")</x:f>
        <x:v>0</x:v>
      </x:c>
      <x:c r="H249" t="n">
        <x:f>SUMIFS(Games!$H$4:$H$1177,Games!$A$4:$A$1177,$A249,Games!$D$4:$D$1177,"post",Games!$G$4:$G$1177,$C249)+SUMIFS(Games!$M$4:$M$1177,Games!$A$4:$A$1177,$A249,Games!$D$4:$D$1177,"post",Games!$L$4:$L$1177,$C249)</x:f>
        <x:v>62</x:v>
      </x:c>
      <x:c r="I249" t="n">
        <x:f>SUMIFS(Games!$M$4:$M$1177,Games!$A$4:$A$1177,$A249,Games!$D$4:$D$1177,"post",Games!$G$4:$G$1177,$C249)+SUMIFS(Games!$H$4:$H$1177,Games!$A$4:$A$1177,$A249,Games!$D$4:$D$1177,"post",Games!$L$4:$L$1177,$C249)</x:f>
        <x:v>46</x:v>
      </x:c>
      <x:c r="J249" t="str">
        <x:f>E249&amp;"-"&amp;F249&amp;IF(G249&gt;0,"-"&amp;G249,"")</x:f>
        <x:v>1-1</x:v>
      </x:c>
      <x:c r="K249" t="n">
        <x:f>COUNTIFS(Games!$A$4:$A$1177,$A249,Games!$D$4:$D$1177,"post",Games!$G$4:$G$1177,$C249,Games!$T$4:$T$1177,"&lt;&gt;")+COUNTIFS(Games!$A$4:$A$1177,$A249,Games!$D$4:$D$1177,"post",Games!$L$4:$L$1177,$C249,Games!$T$4:$T$1177,"&lt;&gt;")</x:f>
        <x:v>0</x:v>
      </x:c>
      <x:c r="L249" s="80" t="n">
        <x:f>IF(D249=0,0,K249/D249)</x:f>
        <x:v>0</x:v>
      </x:c>
      <x:c r="M249" t="str">
        <x:f>IF(AND(D249&gt;=2,K249&gt;=2,L249&gt;=75%),"YES","NO")</x:f>
        <x:v>NO</x:v>
      </x:c>
    </x:row>
    <x:row r="250">
      <x:c r="A250" t="str">
        <x:v>NFL</x:v>
      </x:c>
      <x:c r="B250" t="str">
        <x:v>Cincinnati Bengals</x:v>
      </x:c>
      <x:c r="C250" t="str">
        <x:v>CIN</x:v>
      </x:c>
      <x:c r="D250" t="n">
        <x:f>COUNTIFS(Games!$A$4:$A$1177,$A250,Games!$D$4:$D$1177,"post",Games!$G$4:$G$1177,$C250)+COUNTIFS(Games!$A$4:$A$1177,$A250,Games!$D$4:$D$1177,"post",Games!$L$4:$L$1177,$C250)</x:f>
        <x:v>2</x:v>
      </x:c>
      <x:c r="E250" t="n">
        <x:f>COUNTIFS(Games!$A$4:$A$1177,$A250,Games!$G$4:$G$1177,$C250,Games!$J$4:$J$1177,"W")+COUNTIFS(Games!$A$4:$A$1177,$A250,Games!$L$4:$L$1177,$C250,Games!$O$4:$O$1177,"W")</x:f>
        <x:v>2</x:v>
      </x:c>
      <x:c r="F250" t="n">
        <x:f>COUNTIFS(Games!$A$4:$A$1177,$A250,Games!$G$4:$G$1177,$C250,Games!$J$4:$J$1177,"L")+COUNTIFS(Games!$A$4:$A$1177,$A250,Games!$L$4:$L$1177,$C250,Games!$O$4:$O$1177,"L")</x:f>
        <x:v>0</x:v>
      </x:c>
      <x:c r="G250" t="n">
        <x:f>COUNTIFS(Games!$A$4:$A$1177,$A250,Games!$G$4:$G$1177,$C250,Games!$J$4:$J$1177,"T")+COUNTIFS(Games!$A$4:$A$1177,$A250,Games!$L$4:$L$1177,$C250,Games!$O$4:$O$1177,"T")</x:f>
        <x:v>0</x:v>
      </x:c>
      <x:c r="H250" t="n">
        <x:f>SUMIFS(Games!$H$4:$H$1177,Games!$A$4:$A$1177,$A250,Games!$D$4:$D$1177,"post",Games!$G$4:$G$1177,$C250)+SUMIFS(Games!$M$4:$M$1177,Games!$A$4:$A$1177,$A250,Games!$D$4:$D$1177,"post",Games!$L$4:$L$1177,$C250)</x:f>
        <x:v>53</x:v>
      </x:c>
      <x:c r="I250" t="n">
        <x:f>SUMIFS(Games!$M$4:$M$1177,Games!$A$4:$A$1177,$A250,Games!$D$4:$D$1177,"post",Games!$G$4:$G$1177,$C250)+SUMIFS(Games!$H$4:$H$1177,Games!$A$4:$A$1177,$A250,Games!$D$4:$D$1177,"post",Games!$L$4:$L$1177,$C250)</x:f>
        <x:v>33</x:v>
      </x:c>
      <x:c r="J250" t="str">
        <x:f>E250&amp;"-"&amp;F250&amp;IF(G250&gt;0,"-"&amp;G250,"")</x:f>
        <x:v>2-0</x:v>
      </x:c>
      <x:c r="K250" t="n">
        <x:f>COUNTIFS(Games!$A$4:$A$1177,$A250,Games!$D$4:$D$1177,"post",Games!$G$4:$G$1177,$C250,Games!$T$4:$T$1177,"&lt;&gt;")+COUNTIFS(Games!$A$4:$A$1177,$A250,Games!$D$4:$D$1177,"post",Games!$L$4:$L$1177,$C250,Games!$T$4:$T$1177,"&lt;&gt;")</x:f>
        <x:v>0</x:v>
      </x:c>
      <x:c r="L250" s="80" t="n">
        <x:f>IF(D250=0,0,K250/D250)</x:f>
        <x:v>0</x:v>
      </x:c>
      <x:c r="M250" t="str">
        <x:f>IF(AND(D250&gt;=2,K250&gt;=2,L250&gt;=75%),"YES","NO")</x:f>
        <x:v>NO</x:v>
      </x:c>
    </x:row>
    <x:row r="251">
      <x:c r="A251" t="str">
        <x:v>NFL</x:v>
      </x:c>
      <x:c r="B251" t="str">
        <x:v>Cleveland Browns</x:v>
      </x:c>
      <x:c r="C251" t="str">
        <x:v>CLE</x:v>
      </x:c>
      <x:c r="D251" t="n">
        <x:f>COUNTIFS(Games!$A$4:$A$1177,$A251,Games!$D$4:$D$1177,"post",Games!$G$4:$G$1177,$C251)+COUNTIFS(Games!$A$4:$A$1177,$A251,Games!$D$4:$D$1177,"post",Games!$L$4:$L$1177,$C251)</x:f>
        <x:v>2</x:v>
      </x:c>
      <x:c r="E251" t="n">
        <x:f>COUNTIFS(Games!$A$4:$A$1177,$A251,Games!$G$4:$G$1177,$C251,Games!$J$4:$J$1177,"W")+COUNTIFS(Games!$A$4:$A$1177,$A251,Games!$L$4:$L$1177,$C251,Games!$O$4:$O$1177,"W")</x:f>
        <x:v>1</x:v>
      </x:c>
      <x:c r="F251" t="n">
        <x:f>COUNTIFS(Games!$A$4:$A$1177,$A251,Games!$G$4:$G$1177,$C251,Games!$J$4:$J$1177,"L")+COUNTIFS(Games!$A$4:$A$1177,$A251,Games!$L$4:$L$1177,$C251,Games!$O$4:$O$1177,"L")</x:f>
        <x:v>1</x:v>
      </x:c>
      <x:c r="G251" t="n">
        <x:f>COUNTIFS(Games!$A$4:$A$1177,$A251,Games!$G$4:$G$1177,$C251,Games!$J$4:$J$1177,"T")+COUNTIFS(Games!$A$4:$A$1177,$A251,Games!$L$4:$L$1177,$C251,Games!$O$4:$O$1177,"T")</x:f>
        <x:v>0</x:v>
      </x:c>
      <x:c r="H251" t="n">
        <x:f>SUMIFS(Games!$H$4:$H$1177,Games!$A$4:$A$1177,$A251,Games!$D$4:$D$1177,"post",Games!$G$4:$G$1177,$C251)+SUMIFS(Games!$M$4:$M$1177,Games!$A$4:$A$1177,$A251,Games!$D$4:$D$1177,"post",Games!$L$4:$L$1177,$C251)</x:f>
        <x:v>33</x:v>
      </x:c>
      <x:c r="I251" t="n">
        <x:f>SUMIFS(Games!$M$4:$M$1177,Games!$A$4:$A$1177,$A251,Games!$D$4:$D$1177,"post",Games!$G$4:$G$1177,$C251)+SUMIFS(Games!$H$4:$H$1177,Games!$A$4:$A$1177,$A251,Games!$D$4:$D$1177,"post",Games!$L$4:$L$1177,$C251)</x:f>
        <x:v>53</x:v>
      </x:c>
      <x:c r="J251" t="str">
        <x:f>E251&amp;"-"&amp;F251&amp;IF(G251&gt;0,"-"&amp;G251,"")</x:f>
        <x:v>1-1</x:v>
      </x:c>
      <x:c r="K251" t="n">
        <x:f>COUNTIFS(Games!$A$4:$A$1177,$A251,Games!$D$4:$D$1177,"post",Games!$G$4:$G$1177,$C251,Games!$T$4:$T$1177,"&lt;&gt;")+COUNTIFS(Games!$A$4:$A$1177,$A251,Games!$D$4:$D$1177,"post",Games!$L$4:$L$1177,$C251,Games!$T$4:$T$1177,"&lt;&gt;")</x:f>
        <x:v>0</x:v>
      </x:c>
      <x:c r="L251" s="80" t="n">
        <x:f>IF(D251=0,0,K251/D251)</x:f>
        <x:v>0</x:v>
      </x:c>
      <x:c r="M251" t="str">
        <x:f>IF(AND(D251&gt;=2,K251&gt;=2,L251&gt;=75%),"YES","NO")</x:f>
        <x:v>NO</x:v>
      </x:c>
    </x:row>
    <x:row r="252">
      <x:c r="A252" t="str">
        <x:v>NFL</x:v>
      </x:c>
      <x:c r="B252" t="str">
        <x:v>Dallas Cowboys</x:v>
      </x:c>
      <x:c r="C252" t="str">
        <x:v>DAL</x:v>
      </x:c>
      <x:c r="D252" t="n">
        <x:f>COUNTIFS(Games!$A$4:$A$1177,$A252,Games!$D$4:$D$1177,"post",Games!$G$4:$G$1177,$C252)+COUNTIFS(Games!$A$4:$A$1177,$A252,Games!$D$4:$D$1177,"post",Games!$L$4:$L$1177,$C252)</x:f>
        <x:v>2</x:v>
      </x:c>
      <x:c r="E252" t="n">
        <x:f>COUNTIFS(Games!$A$4:$A$1177,$A252,Games!$G$4:$G$1177,$C252,Games!$J$4:$J$1177,"W")+COUNTIFS(Games!$A$4:$A$1177,$A252,Games!$L$4:$L$1177,$C252,Games!$O$4:$O$1177,"W")</x:f>
        <x:v>1</x:v>
      </x:c>
      <x:c r="F252" t="n">
        <x:f>COUNTIFS(Games!$A$4:$A$1177,$A252,Games!$G$4:$G$1177,$C252,Games!$J$4:$J$1177,"L")+COUNTIFS(Games!$A$4:$A$1177,$A252,Games!$L$4:$L$1177,$C252,Games!$O$4:$O$1177,"L")</x:f>
        <x:v>1</x:v>
      </x:c>
      <x:c r="G252" t="n">
        <x:f>COUNTIFS(Games!$A$4:$A$1177,$A252,Games!$G$4:$G$1177,$C252,Games!$J$4:$J$1177,"T")+COUNTIFS(Games!$A$4:$A$1177,$A252,Games!$L$4:$L$1177,$C252,Games!$O$4:$O$1177,"T")</x:f>
        <x:v>0</x:v>
      </x:c>
      <x:c r="H252" t="n">
        <x:f>SUMIFS(Games!$H$4:$H$1177,Games!$A$4:$A$1177,$A252,Games!$D$4:$D$1177,"post",Games!$G$4:$G$1177,$C252)+SUMIFS(Games!$M$4:$M$1177,Games!$A$4:$A$1177,$A252,Games!$D$4:$D$1177,"post",Games!$L$4:$L$1177,$C252)</x:f>
        <x:v>57</x:v>
      </x:c>
      <x:c r="I252" t="n">
        <x:f>SUMIFS(Games!$M$4:$M$1177,Games!$A$4:$A$1177,$A252,Games!$D$4:$D$1177,"post",Games!$G$4:$G$1177,$C252)+SUMIFS(Games!$H$4:$H$1177,Games!$A$4:$A$1177,$A252,Games!$D$4:$D$1177,"post",Games!$L$4:$L$1177,$C252)</x:f>
        <x:v>48</x:v>
      </x:c>
      <x:c r="J252" t="str">
        <x:f>E252&amp;"-"&amp;F252&amp;IF(G252&gt;0,"-"&amp;G252,"")</x:f>
        <x:v>1-1</x:v>
      </x:c>
      <x:c r="K252" t="n">
        <x:f>COUNTIFS(Games!$A$4:$A$1177,$A252,Games!$D$4:$D$1177,"post",Games!$G$4:$G$1177,$C252,Games!$T$4:$T$1177,"&lt;&gt;")+COUNTIFS(Games!$A$4:$A$1177,$A252,Games!$D$4:$D$1177,"post",Games!$L$4:$L$1177,$C252,Games!$T$4:$T$1177,"&lt;&gt;")</x:f>
        <x:v>0</x:v>
      </x:c>
      <x:c r="L252" s="80" t="n">
        <x:f>IF(D252=0,0,K252/D252)</x:f>
        <x:v>0</x:v>
      </x:c>
      <x:c r="M252" t="str">
        <x:f>IF(AND(D252&gt;=2,K252&gt;=2,L252&gt;=75%),"YES","NO")</x:f>
        <x:v>NO</x:v>
      </x:c>
    </x:row>
    <x:row r="253">
      <x:c r="A253" t="str">
        <x:v>NFL</x:v>
      </x:c>
      <x:c r="B253" t="str">
        <x:v>Denver Broncos</x:v>
      </x:c>
      <x:c r="C253" t="str">
        <x:v>DEN</x:v>
      </x:c>
      <x:c r="D253" t="n">
        <x:f>COUNTIFS(Games!$A$4:$A$1177,$A253,Games!$D$4:$D$1177,"post",Games!$G$4:$G$1177,$C253)+COUNTIFS(Games!$A$4:$A$1177,$A253,Games!$D$4:$D$1177,"post",Games!$L$4:$L$1177,$C253)</x:f>
        <x:v>2</x:v>
      </x:c>
      <x:c r="E253" t="n">
        <x:f>COUNTIFS(Games!$A$4:$A$1177,$A253,Games!$G$4:$G$1177,$C253,Games!$J$4:$J$1177,"W")+COUNTIFS(Games!$A$4:$A$1177,$A253,Games!$L$4:$L$1177,$C253,Games!$O$4:$O$1177,"W")</x:f>
        <x:v>1</x:v>
      </x:c>
      <x:c r="F253" t="n">
        <x:f>COUNTIFS(Games!$A$4:$A$1177,$A253,Games!$G$4:$G$1177,$C253,Games!$J$4:$J$1177,"L")+COUNTIFS(Games!$A$4:$A$1177,$A253,Games!$L$4:$L$1177,$C253,Games!$O$4:$O$1177,"L")</x:f>
        <x:v>1</x:v>
      </x:c>
      <x:c r="G253" t="n">
        <x:f>COUNTIFS(Games!$A$4:$A$1177,$A253,Games!$G$4:$G$1177,$C253,Games!$J$4:$J$1177,"T")+COUNTIFS(Games!$A$4:$A$1177,$A253,Games!$L$4:$L$1177,$C253,Games!$O$4:$O$1177,"T")</x:f>
        <x:v>0</x:v>
      </x:c>
      <x:c r="H253" t="n">
        <x:f>SUMIFS(Games!$H$4:$H$1177,Games!$A$4:$A$1177,$A253,Games!$D$4:$D$1177,"post",Games!$G$4:$G$1177,$C253)+SUMIFS(Games!$M$4:$M$1177,Games!$A$4:$A$1177,$A253,Games!$D$4:$D$1177,"post",Games!$L$4:$L$1177,$C253)</x:f>
        <x:v>30</x:v>
      </x:c>
      <x:c r="I253" t="n">
        <x:f>SUMIFS(Games!$M$4:$M$1177,Games!$A$4:$A$1177,$A253,Games!$D$4:$D$1177,"post",Games!$G$4:$G$1177,$C253)+SUMIFS(Games!$H$4:$H$1177,Games!$A$4:$A$1177,$A253,Games!$D$4:$D$1177,"post",Games!$L$4:$L$1177,$C253)</x:f>
        <x:v>44</x:v>
      </x:c>
      <x:c r="J253" t="str">
        <x:f>E253&amp;"-"&amp;F253&amp;IF(G253&gt;0,"-"&amp;G253,"")</x:f>
        <x:v>1-1</x:v>
      </x:c>
      <x:c r="K253" t="n">
        <x:f>COUNTIFS(Games!$A$4:$A$1177,$A253,Games!$D$4:$D$1177,"post",Games!$G$4:$G$1177,$C253,Games!$T$4:$T$1177,"&lt;&gt;")+COUNTIFS(Games!$A$4:$A$1177,$A253,Games!$D$4:$D$1177,"post",Games!$L$4:$L$1177,$C253,Games!$T$4:$T$1177,"&lt;&gt;")</x:f>
        <x:v>0</x:v>
      </x:c>
      <x:c r="L253" s="80" t="n">
        <x:f>IF(D253=0,0,K253/D253)</x:f>
        <x:v>0</x:v>
      </x:c>
      <x:c r="M253" t="str">
        <x:f>IF(AND(D253&gt;=2,K253&gt;=2,L253&gt;=75%),"YES","NO")</x:f>
        <x:v>NO</x:v>
      </x:c>
    </x:row>
    <x:row r="254">
      <x:c r="A254" t="str">
        <x:v>NFL</x:v>
      </x:c>
      <x:c r="B254" t="str">
        <x:v>Detroit Lions</x:v>
      </x:c>
      <x:c r="C254" t="str">
        <x:v>DET</x:v>
      </x:c>
      <x:c r="D254" t="n">
        <x:f>COUNTIFS(Games!$A$4:$A$1177,$A254,Games!$D$4:$D$1177,"post",Games!$G$4:$G$1177,$C254)+COUNTIFS(Games!$A$4:$A$1177,$A254,Games!$D$4:$D$1177,"post",Games!$L$4:$L$1177,$C254)</x:f>
        <x:v>2</x:v>
      </x:c>
      <x:c r="E254" t="n">
        <x:f>COUNTIFS(Games!$A$4:$A$1177,$A254,Games!$G$4:$G$1177,$C254,Games!$J$4:$J$1177,"W")+COUNTIFS(Games!$A$4:$A$1177,$A254,Games!$L$4:$L$1177,$C254,Games!$O$4:$O$1177,"W")</x:f>
        <x:v>1</x:v>
      </x:c>
      <x:c r="F254" t="n">
        <x:f>COUNTIFS(Games!$A$4:$A$1177,$A254,Games!$G$4:$G$1177,$C254,Games!$J$4:$J$1177,"L")+COUNTIFS(Games!$A$4:$A$1177,$A254,Games!$L$4:$L$1177,$C254,Games!$O$4:$O$1177,"L")</x:f>
        <x:v>1</x:v>
      </x:c>
      <x:c r="G254" t="n">
        <x:f>COUNTIFS(Games!$A$4:$A$1177,$A254,Games!$G$4:$G$1177,$C254,Games!$J$4:$J$1177,"T")+COUNTIFS(Games!$A$4:$A$1177,$A254,Games!$L$4:$L$1177,$C254,Games!$O$4:$O$1177,"T")</x:f>
        <x:v>0</x:v>
      </x:c>
      <x:c r="H254" t="n">
        <x:f>SUMIFS(Games!$H$4:$H$1177,Games!$A$4:$A$1177,$A254,Games!$D$4:$D$1177,"post",Games!$G$4:$G$1177,$C254)+SUMIFS(Games!$M$4:$M$1177,Games!$A$4:$A$1177,$A254,Games!$D$4:$D$1177,"post",Games!$L$4:$L$1177,$C254)</x:f>
        <x:v>62</x:v>
      </x:c>
      <x:c r="I254" t="n">
        <x:f>SUMIFS(Games!$M$4:$M$1177,Games!$A$4:$A$1177,$A254,Games!$D$4:$D$1177,"post",Games!$G$4:$G$1177,$C254)+SUMIFS(Games!$H$4:$H$1177,Games!$A$4:$A$1177,$A254,Games!$D$4:$D$1177,"post",Games!$L$4:$L$1177,$C254)</x:f>
        <x:v>71</x:v>
      </x:c>
      <x:c r="J254" t="str">
        <x:f>E254&amp;"-"&amp;F254&amp;IF(G254&gt;0,"-"&amp;G254,"")</x:f>
        <x:v>1-1</x:v>
      </x:c>
      <x:c r="K254" t="n">
        <x:f>COUNTIFS(Games!$A$4:$A$1177,$A254,Games!$D$4:$D$1177,"post",Games!$G$4:$G$1177,$C254,Games!$T$4:$T$1177,"&lt;&gt;")+COUNTIFS(Games!$A$4:$A$1177,$A254,Games!$D$4:$D$1177,"post",Games!$L$4:$L$1177,$C254,Games!$T$4:$T$1177,"&lt;&gt;")</x:f>
        <x:v>0</x:v>
      </x:c>
      <x:c r="L254" s="80" t="n">
        <x:f>IF(D254=0,0,K254/D254)</x:f>
        <x:v>0</x:v>
      </x:c>
      <x:c r="M254" t="str">
        <x:f>IF(AND(D254&gt;=2,K254&gt;=2,L254&gt;=75%),"YES","NO")</x:f>
        <x:v>NO</x:v>
      </x:c>
    </x:row>
    <x:row r="255">
      <x:c r="A255" t="str">
        <x:v>NFL</x:v>
      </x:c>
      <x:c r="B255" t="str">
        <x:v>Green Bay Packers</x:v>
      </x:c>
      <x:c r="C255" t="str">
        <x:v>GB</x:v>
      </x:c>
      <x:c r="D255" t="n">
        <x:f>COUNTIFS(Games!$A$4:$A$1177,$A255,Games!$D$4:$D$1177,"post",Games!$G$4:$G$1177,$C255)+COUNTIFS(Games!$A$4:$A$1177,$A255,Games!$D$4:$D$1177,"post",Games!$L$4:$L$1177,$C255)</x:f>
        <x:v>2</x:v>
      </x:c>
      <x:c r="E255" t="n">
        <x:f>COUNTIFS(Games!$A$4:$A$1177,$A255,Games!$G$4:$G$1177,$C255,Games!$J$4:$J$1177,"W")+COUNTIFS(Games!$A$4:$A$1177,$A255,Games!$L$4:$L$1177,$C255,Games!$O$4:$O$1177,"W")</x:f>
        <x:v>1</x:v>
      </x:c>
      <x:c r="F255" t="n">
        <x:f>COUNTIFS(Games!$A$4:$A$1177,$A255,Games!$G$4:$G$1177,$C255,Games!$J$4:$J$1177,"L")+COUNTIFS(Games!$A$4:$A$1177,$A255,Games!$L$4:$L$1177,$C255,Games!$O$4:$O$1177,"L")</x:f>
        <x:v>1</x:v>
      </x:c>
      <x:c r="G255" t="n">
        <x:f>COUNTIFS(Games!$A$4:$A$1177,$A255,Games!$G$4:$G$1177,$C255,Games!$J$4:$J$1177,"T")+COUNTIFS(Games!$A$4:$A$1177,$A255,Games!$L$4:$L$1177,$C255,Games!$O$4:$O$1177,"T")</x:f>
        <x:v>0</x:v>
      </x:c>
      <x:c r="H255" t="n">
        <x:f>SUMIFS(Games!$H$4:$H$1177,Games!$A$4:$A$1177,$A255,Games!$D$4:$D$1177,"post",Games!$G$4:$G$1177,$C255)+SUMIFS(Games!$M$4:$M$1177,Games!$A$4:$A$1177,$A255,Games!$D$4:$D$1177,"post",Games!$L$4:$L$1177,$C255)</x:f>
        <x:v>42</x:v>
      </x:c>
      <x:c r="I255" t="n">
        <x:f>SUMIFS(Games!$M$4:$M$1177,Games!$A$4:$A$1177,$A255,Games!$D$4:$D$1177,"post",Games!$G$4:$G$1177,$C255)+SUMIFS(Games!$H$4:$H$1177,Games!$A$4:$A$1177,$A255,Games!$D$4:$D$1177,"post",Games!$L$4:$L$1177,$C255)</x:f>
        <x:v>56</x:v>
      </x:c>
      <x:c r="J255" t="str">
        <x:f>E255&amp;"-"&amp;F255&amp;IF(G255&gt;0,"-"&amp;G255,"")</x:f>
        <x:v>1-1</x:v>
      </x:c>
      <x:c r="K255" t="n">
        <x:f>COUNTIFS(Games!$A$4:$A$1177,$A255,Games!$D$4:$D$1177,"post",Games!$G$4:$G$1177,$C255,Games!$T$4:$T$1177,"&lt;&gt;")+COUNTIFS(Games!$A$4:$A$1177,$A255,Games!$D$4:$D$1177,"post",Games!$L$4:$L$1177,$C255,Games!$T$4:$T$1177,"&lt;&gt;")</x:f>
        <x:v>0</x:v>
      </x:c>
      <x:c r="L255" s="80" t="n">
        <x:f>IF(D255=0,0,K255/D255)</x:f>
        <x:v>0</x:v>
      </x:c>
      <x:c r="M255" t="str">
        <x:f>IF(AND(D255&gt;=2,K255&gt;=2,L255&gt;=75%),"YES","NO")</x:f>
        <x:v>NO</x:v>
      </x:c>
    </x:row>
    <x:row r="256">
      <x:c r="A256" t="str">
        <x:v>NFL</x:v>
      </x:c>
      <x:c r="B256" t="str">
        <x:v>Houston Texans</x:v>
      </x:c>
      <x:c r="C256" t="str">
        <x:v>HOU</x:v>
      </x:c>
      <x:c r="D256" t="n">
        <x:f>COUNTIFS(Games!$A$4:$A$1177,$A256,Games!$D$4:$D$1177,"post",Games!$G$4:$G$1177,$C256)+COUNTIFS(Games!$A$4:$A$1177,$A256,Games!$D$4:$D$1177,"post",Games!$L$4:$L$1177,$C256)</x:f>
        <x:v>2</x:v>
      </x:c>
      <x:c r="E256" t="n">
        <x:f>COUNTIFS(Games!$A$4:$A$1177,$A256,Games!$G$4:$G$1177,$C256,Games!$J$4:$J$1177,"W")+COUNTIFS(Games!$A$4:$A$1177,$A256,Games!$L$4:$L$1177,$C256,Games!$O$4:$O$1177,"W")</x:f>
        <x:v>0</x:v>
      </x:c>
      <x:c r="F256" t="n">
        <x:f>COUNTIFS(Games!$A$4:$A$1177,$A256,Games!$G$4:$G$1177,$C256,Games!$J$4:$J$1177,"L")+COUNTIFS(Games!$A$4:$A$1177,$A256,Games!$L$4:$L$1177,$C256,Games!$O$4:$O$1177,"L")</x:f>
        <x:v>2</x:v>
      </x:c>
      <x:c r="G256" t="n">
        <x:f>COUNTIFS(Games!$A$4:$A$1177,$A256,Games!$G$4:$G$1177,$C256,Games!$J$4:$J$1177,"T")+COUNTIFS(Games!$A$4:$A$1177,$A256,Games!$L$4:$L$1177,$C256,Games!$O$4:$O$1177,"T")</x:f>
        <x:v>0</x:v>
      </x:c>
      <x:c r="H256" t="n">
        <x:f>SUMIFS(Games!$H$4:$H$1177,Games!$A$4:$A$1177,$A256,Games!$D$4:$D$1177,"post",Games!$G$4:$G$1177,$C256)+SUMIFS(Games!$M$4:$M$1177,Games!$A$4:$A$1177,$A256,Games!$D$4:$D$1177,"post",Games!$L$4:$L$1177,$C256)</x:f>
        <x:v>37</x:v>
      </x:c>
      <x:c r="I256" t="n">
        <x:f>SUMIFS(Games!$M$4:$M$1177,Games!$A$4:$A$1177,$A256,Games!$D$4:$D$1177,"post",Games!$G$4:$G$1177,$C256)+SUMIFS(Games!$H$4:$H$1177,Games!$A$4:$A$1177,$A256,Games!$D$4:$D$1177,"post",Games!$L$4:$L$1177,$C256)</x:f>
        <x:v>56</x:v>
      </x:c>
      <x:c r="J256" t="str">
        <x:f>E256&amp;"-"&amp;F256&amp;IF(G256&gt;0,"-"&amp;G256,"")</x:f>
        <x:v>0-2</x:v>
      </x:c>
      <x:c r="K256" t="n">
        <x:f>COUNTIFS(Games!$A$4:$A$1177,$A256,Games!$D$4:$D$1177,"post",Games!$G$4:$G$1177,$C256,Games!$T$4:$T$1177,"&lt;&gt;")+COUNTIFS(Games!$A$4:$A$1177,$A256,Games!$D$4:$D$1177,"post",Games!$L$4:$L$1177,$C256,Games!$T$4:$T$1177,"&lt;&gt;")</x:f>
        <x:v>0</x:v>
      </x:c>
      <x:c r="L256" s="80" t="n">
        <x:f>IF(D256=0,0,K256/D256)</x:f>
        <x:v>0</x:v>
      </x:c>
      <x:c r="M256" t="str">
        <x:f>IF(AND(D256&gt;=2,K256&gt;=2,L256&gt;=75%),"YES","NO")</x:f>
        <x:v>NO</x:v>
      </x:c>
    </x:row>
    <x:row r="257">
      <x:c r="A257" t="str">
        <x:v>NFL</x:v>
      </x:c>
      <x:c r="B257" t="str">
        <x:v>Indianapolis Colts</x:v>
      </x:c>
      <x:c r="C257" t="str">
        <x:v>IND</x:v>
      </x:c>
      <x:c r="D257" t="n">
        <x:f>COUNTIFS(Games!$A$4:$A$1177,$A257,Games!$D$4:$D$1177,"post",Games!$G$4:$G$1177,$C257)+COUNTIFS(Games!$A$4:$A$1177,$A257,Games!$D$4:$D$1177,"post",Games!$L$4:$L$1177,$C257)</x:f>
        <x:v>2</x:v>
      </x:c>
      <x:c r="E257" t="n">
        <x:f>COUNTIFS(Games!$A$4:$A$1177,$A257,Games!$G$4:$G$1177,$C257,Games!$J$4:$J$1177,"W")+COUNTIFS(Games!$A$4:$A$1177,$A257,Games!$L$4:$L$1177,$C257,Games!$O$4:$O$1177,"W")</x:f>
        <x:v>0</x:v>
      </x:c>
      <x:c r="F257" t="n">
        <x:f>COUNTIFS(Games!$A$4:$A$1177,$A257,Games!$G$4:$G$1177,$C257,Games!$J$4:$J$1177,"L")+COUNTIFS(Games!$A$4:$A$1177,$A257,Games!$L$4:$L$1177,$C257,Games!$O$4:$O$1177,"L")</x:f>
        <x:v>2</x:v>
      </x:c>
      <x:c r="G257" t="n">
        <x:f>COUNTIFS(Games!$A$4:$A$1177,$A257,Games!$G$4:$G$1177,$C257,Games!$J$4:$J$1177,"T")+COUNTIFS(Games!$A$4:$A$1177,$A257,Games!$L$4:$L$1177,$C257,Games!$O$4:$O$1177,"T")</x:f>
        <x:v>0</x:v>
      </x:c>
      <x:c r="H257" t="n">
        <x:f>SUMIFS(Games!$H$4:$H$1177,Games!$A$4:$A$1177,$A257,Games!$D$4:$D$1177,"post",Games!$G$4:$G$1177,$C257)+SUMIFS(Games!$M$4:$M$1177,Games!$A$4:$A$1177,$A257,Games!$D$4:$D$1177,"post",Games!$L$4:$L$1177,$C257)</x:f>
        <x:v>53</x:v>
      </x:c>
      <x:c r="I257" t="n">
        <x:f>SUMIFS(Games!$M$4:$M$1177,Games!$A$4:$A$1177,$A257,Games!$D$4:$D$1177,"post",Games!$G$4:$G$1177,$C257)+SUMIFS(Games!$H$4:$H$1177,Games!$A$4:$A$1177,$A257,Games!$D$4:$D$1177,"post",Games!$L$4:$L$1177,$C257)</x:f>
        <x:v>74</x:v>
      </x:c>
      <x:c r="J257" t="str">
        <x:f>E257&amp;"-"&amp;F257&amp;IF(G257&gt;0,"-"&amp;G257,"")</x:f>
        <x:v>0-2</x:v>
      </x:c>
      <x:c r="K257" t="n">
        <x:f>COUNTIFS(Games!$A$4:$A$1177,$A257,Games!$D$4:$D$1177,"post",Games!$G$4:$G$1177,$C257,Games!$T$4:$T$1177,"&lt;&gt;")+COUNTIFS(Games!$A$4:$A$1177,$A257,Games!$D$4:$D$1177,"post",Games!$L$4:$L$1177,$C257,Games!$T$4:$T$1177,"&lt;&gt;")</x:f>
        <x:v>0</x:v>
      </x:c>
      <x:c r="L257" s="80" t="n">
        <x:f>IF(D257=0,0,K257/D257)</x:f>
        <x:v>0</x:v>
      </x:c>
      <x:c r="M257" t="str">
        <x:f>IF(AND(D257&gt;=2,K257&gt;=2,L257&gt;=75%),"YES","NO")</x:f>
        <x:v>NO</x:v>
      </x:c>
    </x:row>
    <x:row r="258">
      <x:c r="A258" t="str">
        <x:v>NFL</x:v>
      </x:c>
      <x:c r="B258" t="str">
        <x:v>Jacksonville Jaguars</x:v>
      </x:c>
      <x:c r="C258" t="str">
        <x:v>JAX</x:v>
      </x:c>
      <x:c r="D258" t="n">
        <x:f>COUNTIFS(Games!$A$4:$A$1177,$A258,Games!$D$4:$D$1177,"post",Games!$G$4:$G$1177,$C258)+COUNTIFS(Games!$A$4:$A$1177,$A258,Games!$D$4:$D$1177,"post",Games!$L$4:$L$1177,$C258)</x:f>
        <x:v>2</x:v>
      </x:c>
      <x:c r="E258" t="n">
        <x:f>COUNTIFS(Games!$A$4:$A$1177,$A258,Games!$G$4:$G$1177,$C258,Games!$J$4:$J$1177,"W")+COUNTIFS(Games!$A$4:$A$1177,$A258,Games!$L$4:$L$1177,$C258,Games!$O$4:$O$1177,"W")</x:f>
        <x:v>1</x:v>
      </x:c>
      <x:c r="F258" t="n">
        <x:f>COUNTIFS(Games!$A$4:$A$1177,$A258,Games!$G$4:$G$1177,$C258,Games!$J$4:$J$1177,"L")+COUNTIFS(Games!$A$4:$A$1177,$A258,Games!$L$4:$L$1177,$C258,Games!$O$4:$O$1177,"L")</x:f>
        <x:v>1</x:v>
      </x:c>
      <x:c r="G258" t="n">
        <x:f>COUNTIFS(Games!$A$4:$A$1177,$A258,Games!$G$4:$G$1177,$C258,Games!$J$4:$J$1177,"T")+COUNTIFS(Games!$A$4:$A$1177,$A258,Games!$L$4:$L$1177,$C258,Games!$O$4:$O$1177,"T")</x:f>
        <x:v>0</x:v>
      </x:c>
      <x:c r="H258" t="n">
        <x:f>SUMIFS(Games!$H$4:$H$1177,Games!$A$4:$A$1177,$A258,Games!$D$4:$D$1177,"post",Games!$G$4:$G$1177,$C258)+SUMIFS(Games!$M$4:$M$1177,Games!$A$4:$A$1177,$A258,Games!$D$4:$D$1177,"post",Games!$L$4:$L$1177,$C258)</x:f>
        <x:v>47</x:v>
      </x:c>
      <x:c r="I258" t="n">
        <x:f>SUMIFS(Games!$M$4:$M$1177,Games!$A$4:$A$1177,$A258,Games!$D$4:$D$1177,"post",Games!$G$4:$G$1177,$C258)+SUMIFS(Games!$H$4:$H$1177,Games!$A$4:$A$1177,$A258,Games!$D$4:$D$1177,"post",Games!$L$4:$L$1177,$C258)</x:f>
        <x:v>30</x:v>
      </x:c>
      <x:c r="J258" t="str">
        <x:f>E258&amp;"-"&amp;F258&amp;IF(G258&gt;0,"-"&amp;G258,"")</x:f>
        <x:v>1-1</x:v>
      </x:c>
      <x:c r="K258" t="n">
        <x:f>COUNTIFS(Games!$A$4:$A$1177,$A258,Games!$D$4:$D$1177,"post",Games!$G$4:$G$1177,$C258,Games!$T$4:$T$1177,"&lt;&gt;")+COUNTIFS(Games!$A$4:$A$1177,$A258,Games!$D$4:$D$1177,"post",Games!$L$4:$L$1177,$C258,Games!$T$4:$T$1177,"&lt;&gt;")</x:f>
        <x:v>0</x:v>
      </x:c>
      <x:c r="L258" s="80" t="n">
        <x:f>IF(D258=0,0,K258/D258)</x:f>
        <x:v>0</x:v>
      </x:c>
      <x:c r="M258" t="str">
        <x:f>IF(AND(D258&gt;=2,K258&gt;=2,L258&gt;=75%),"YES","NO")</x:f>
        <x:v>NO</x:v>
      </x:c>
    </x:row>
    <x:row r="259">
      <x:c r="A259" t="str">
        <x:v>NFL</x:v>
      </x:c>
      <x:c r="B259" t="str">
        <x:v>Kansas City Chiefs</x:v>
      </x:c>
      <x:c r="C259" t="str">
        <x:v>KC</x:v>
      </x:c>
      <x:c r="D259" t="n">
        <x:f>COUNTIFS(Games!$A$4:$A$1177,$A259,Games!$D$4:$D$1177,"post",Games!$G$4:$G$1177,$C259)+COUNTIFS(Games!$A$4:$A$1177,$A259,Games!$D$4:$D$1177,"post",Games!$L$4:$L$1177,$C259)</x:f>
        <x:v>2</x:v>
      </x:c>
      <x:c r="E259" t="n">
        <x:f>COUNTIFS(Games!$A$4:$A$1177,$A259,Games!$G$4:$G$1177,$C259,Games!$J$4:$J$1177,"W")+COUNTIFS(Games!$A$4:$A$1177,$A259,Games!$L$4:$L$1177,$C259,Games!$O$4:$O$1177,"W")</x:f>
        <x:v>2</x:v>
      </x:c>
      <x:c r="F259" t="n">
        <x:f>COUNTIFS(Games!$A$4:$A$1177,$A259,Games!$G$4:$G$1177,$C259,Games!$J$4:$J$1177,"L")+COUNTIFS(Games!$A$4:$A$1177,$A259,Games!$L$4:$L$1177,$C259,Games!$O$4:$O$1177,"L")</x:f>
        <x:v>0</x:v>
      </x:c>
      <x:c r="G259" t="n">
        <x:f>COUNTIFS(Games!$A$4:$A$1177,$A259,Games!$G$4:$G$1177,$C259,Games!$J$4:$J$1177,"T")+COUNTIFS(Games!$A$4:$A$1177,$A259,Games!$L$4:$L$1177,$C259,Games!$O$4:$O$1177,"T")</x:f>
        <x:v>0</x:v>
      </x:c>
      <x:c r="H259" t="n">
        <x:f>SUMIFS(Games!$H$4:$H$1177,Games!$A$4:$A$1177,$A259,Games!$D$4:$D$1177,"post",Games!$G$4:$G$1177,$C259)+SUMIFS(Games!$M$4:$M$1177,Games!$A$4:$A$1177,$A259,Games!$D$4:$D$1177,"post",Games!$L$4:$L$1177,$C259)</x:f>
        <x:v>64</x:v>
      </x:c>
      <x:c r="I259" t="n">
        <x:f>SUMIFS(Games!$M$4:$M$1177,Games!$A$4:$A$1177,$A259,Games!$D$4:$D$1177,"post",Games!$G$4:$G$1177,$C259)+SUMIFS(Games!$H$4:$H$1177,Games!$A$4:$A$1177,$A259,Games!$D$4:$D$1177,"post",Games!$L$4:$L$1177,$C259)</x:f>
        <x:v>40</x:v>
      </x:c>
      <x:c r="J259" t="str">
        <x:f>E259&amp;"-"&amp;F259&amp;IF(G259&gt;0,"-"&amp;G259,"")</x:f>
        <x:v>2-0</x:v>
      </x:c>
      <x:c r="K259" t="n">
        <x:f>COUNTIFS(Games!$A$4:$A$1177,$A259,Games!$D$4:$D$1177,"post",Games!$G$4:$G$1177,$C259,Games!$T$4:$T$1177,"&lt;&gt;")+COUNTIFS(Games!$A$4:$A$1177,$A259,Games!$D$4:$D$1177,"post",Games!$L$4:$L$1177,$C259,Games!$T$4:$T$1177,"&lt;&gt;")</x:f>
        <x:v>0</x:v>
      </x:c>
      <x:c r="L259" s="80" t="n">
        <x:f>IF(D259=0,0,K259/D259)</x:f>
        <x:v>0</x:v>
      </x:c>
      <x:c r="M259" t="str">
        <x:f>IF(AND(D259&gt;=2,K259&gt;=2,L259&gt;=75%),"YES","NO")</x:f>
        <x:v>NO</x:v>
      </x:c>
    </x:row>
    <x:row r="260">
      <x:c r="A260" t="str">
        <x:v>NFL</x:v>
      </x:c>
      <x:c r="B260" t="str">
        <x:v>Las Vegas Raiders</x:v>
      </x:c>
      <x:c r="C260" t="str">
        <x:v>LV</x:v>
      </x:c>
      <x:c r="D260" t="n">
        <x:f>COUNTIFS(Games!$A$4:$A$1177,$A260,Games!$D$4:$D$1177,"post",Games!$G$4:$G$1177,$C260)+COUNTIFS(Games!$A$4:$A$1177,$A260,Games!$D$4:$D$1177,"post",Games!$L$4:$L$1177,$C260)</x:f>
        <x:v>2</x:v>
      </x:c>
      <x:c r="E260" t="n">
        <x:f>COUNTIFS(Games!$A$4:$A$1177,$A260,Games!$G$4:$G$1177,$C260,Games!$J$4:$J$1177,"W")+COUNTIFS(Games!$A$4:$A$1177,$A260,Games!$L$4:$L$1177,$C260,Games!$O$4:$O$1177,"W")</x:f>
        <x:v>2</x:v>
      </x:c>
      <x:c r="F260" t="n">
        <x:f>COUNTIFS(Games!$A$4:$A$1177,$A260,Games!$G$4:$G$1177,$C260,Games!$J$4:$J$1177,"L")+COUNTIFS(Games!$A$4:$A$1177,$A260,Games!$L$4:$L$1177,$C260,Games!$O$4:$O$1177,"L")</x:f>
        <x:v>0</x:v>
      </x:c>
      <x:c r="G260" t="n">
        <x:f>COUNTIFS(Games!$A$4:$A$1177,$A260,Games!$G$4:$G$1177,$C260,Games!$J$4:$J$1177,"T")+COUNTIFS(Games!$A$4:$A$1177,$A260,Games!$L$4:$L$1177,$C260,Games!$O$4:$O$1177,"T")</x:f>
        <x:v>0</x:v>
      </x:c>
      <x:c r="H260" t="n">
        <x:f>SUMIFS(Games!$H$4:$H$1177,Games!$A$4:$A$1177,$A260,Games!$D$4:$D$1177,"post",Games!$G$4:$G$1177,$C260)+SUMIFS(Games!$M$4:$M$1177,Games!$A$4:$A$1177,$A260,Games!$D$4:$D$1177,"post",Games!$L$4:$L$1177,$C260)</x:f>
        <x:v>53</x:v>
      </x:c>
      <x:c r="I260" t="n">
        <x:f>SUMIFS(Games!$M$4:$M$1177,Games!$A$4:$A$1177,$A260,Games!$D$4:$D$1177,"post",Games!$G$4:$G$1177,$C260)+SUMIFS(Games!$H$4:$H$1177,Games!$A$4:$A$1177,$A260,Games!$D$4:$D$1177,"post",Games!$L$4:$L$1177,$C260)</x:f>
        <x:v>27</x:v>
      </x:c>
      <x:c r="J260" t="str">
        <x:f>E260&amp;"-"&amp;F260&amp;IF(G260&gt;0,"-"&amp;G260,"")</x:f>
        <x:v>2-0</x:v>
      </x:c>
      <x:c r="K260" t="n">
        <x:f>COUNTIFS(Games!$A$4:$A$1177,$A260,Games!$D$4:$D$1177,"post",Games!$G$4:$G$1177,$C260,Games!$T$4:$T$1177,"&lt;&gt;")+COUNTIFS(Games!$A$4:$A$1177,$A260,Games!$D$4:$D$1177,"post",Games!$L$4:$L$1177,$C260,Games!$T$4:$T$1177,"&lt;&gt;")</x:f>
        <x:v>0</x:v>
      </x:c>
      <x:c r="L260" s="80" t="n">
        <x:f>IF(D260=0,0,K260/D260)</x:f>
        <x:v>0</x:v>
      </x:c>
      <x:c r="M260" t="str">
        <x:f>IF(AND(D260&gt;=2,K260&gt;=2,L260&gt;=75%),"YES","NO")</x:f>
        <x:v>NO</x:v>
      </x:c>
    </x:row>
    <x:row r="261">
      <x:c r="A261" t="str">
        <x:v>NFL</x:v>
      </x:c>
      <x:c r="B261" t="str">
        <x:v>Los Angeles Chargers</x:v>
      </x:c>
      <x:c r="C261" t="str">
        <x:v>LAC</x:v>
      </x:c>
      <x:c r="D261" t="n">
        <x:f>COUNTIFS(Games!$A$4:$A$1177,$A261,Games!$D$4:$D$1177,"post",Games!$G$4:$G$1177,$C261)+COUNTIFS(Games!$A$4:$A$1177,$A261,Games!$D$4:$D$1177,"post",Games!$L$4:$L$1177,$C261)</x:f>
        <x:v>2</x:v>
      </x:c>
      <x:c r="E261" t="n">
        <x:f>COUNTIFS(Games!$A$4:$A$1177,$A261,Games!$G$4:$G$1177,$C261,Games!$J$4:$J$1177,"W")+COUNTIFS(Games!$A$4:$A$1177,$A261,Games!$L$4:$L$1177,$C261,Games!$O$4:$O$1177,"W")</x:f>
        <x:v>0</x:v>
      </x:c>
      <x:c r="F261" t="n">
        <x:f>COUNTIFS(Games!$A$4:$A$1177,$A261,Games!$G$4:$G$1177,$C261,Games!$J$4:$J$1177,"L")+COUNTIFS(Games!$A$4:$A$1177,$A261,Games!$L$4:$L$1177,$C261,Games!$O$4:$O$1177,"L")</x:f>
        <x:v>2</x:v>
      </x:c>
      <x:c r="G261" t="n">
        <x:f>COUNTIFS(Games!$A$4:$A$1177,$A261,Games!$G$4:$G$1177,$C261,Games!$J$4:$J$1177,"T")+COUNTIFS(Games!$A$4:$A$1177,$A261,Games!$L$4:$L$1177,$C261,Games!$O$4:$O$1177,"T")</x:f>
        <x:v>0</x:v>
      </x:c>
      <x:c r="H261" t="n">
        <x:f>SUMIFS(Games!$H$4:$H$1177,Games!$A$4:$A$1177,$A261,Games!$D$4:$D$1177,"post",Games!$G$4:$G$1177,$C261)+SUMIFS(Games!$M$4:$M$1177,Games!$A$4:$A$1177,$A261,Games!$D$4:$D$1177,"post",Games!$L$4:$L$1177,$C261)</x:f>
        <x:v>28</x:v>
      </x:c>
      <x:c r="I261" t="n">
        <x:f>SUMIFS(Games!$M$4:$M$1177,Games!$A$4:$A$1177,$A261,Games!$D$4:$D$1177,"post",Games!$G$4:$G$1177,$C261)+SUMIFS(Games!$H$4:$H$1177,Games!$A$4:$A$1177,$A261,Games!$D$4:$D$1177,"post",Games!$L$4:$L$1177,$C261)</x:f>
        <x:v>52</x:v>
      </x:c>
      <x:c r="J261" t="str">
        <x:f>E261&amp;"-"&amp;F261&amp;IF(G261&gt;0,"-"&amp;G261,"")</x:f>
        <x:v>0-2</x:v>
      </x:c>
      <x:c r="K261" t="n">
        <x:f>COUNTIFS(Games!$A$4:$A$1177,$A261,Games!$D$4:$D$1177,"post",Games!$G$4:$G$1177,$C261,Games!$T$4:$T$1177,"&lt;&gt;")+COUNTIFS(Games!$A$4:$A$1177,$A261,Games!$D$4:$D$1177,"post",Games!$L$4:$L$1177,$C261,Games!$T$4:$T$1177,"&lt;&gt;")</x:f>
        <x:v>0</x:v>
      </x:c>
      <x:c r="L261" s="80" t="n">
        <x:f>IF(D261=0,0,K261/D261)</x:f>
        <x:v>0</x:v>
      </x:c>
      <x:c r="M261" t="str">
        <x:f>IF(AND(D261&gt;=2,K261&gt;=2,L261&gt;=75%),"YES","NO")</x:f>
        <x:v>NO</x:v>
      </x:c>
    </x:row>
    <x:row r="262">
      <x:c r="A262" t="str">
        <x:v>NFL</x:v>
      </x:c>
      <x:c r="B262" t="str">
        <x:v>Los Angeles Rams</x:v>
      </x:c>
      <x:c r="C262" t="str">
        <x:v>LAR</x:v>
      </x:c>
      <x:c r="D262" t="n">
        <x:f>COUNTIFS(Games!$A$4:$A$1177,$A262,Games!$D$4:$D$1177,"post",Games!$G$4:$G$1177,$C262)+COUNTIFS(Games!$A$4:$A$1177,$A262,Games!$D$4:$D$1177,"post",Games!$L$4:$L$1177,$C262)</x:f>
        <x:v>1</x:v>
      </x:c>
      <x:c r="E262" t="n">
        <x:f>COUNTIFS(Games!$A$4:$A$1177,$A262,Games!$G$4:$G$1177,$C262,Games!$J$4:$J$1177,"W")+COUNTIFS(Games!$A$4:$A$1177,$A262,Games!$L$4:$L$1177,$C262,Games!$O$4:$O$1177,"W")</x:f>
        <x:v>0</x:v>
      </x:c>
      <x:c r="F262" t="n">
        <x:f>COUNTIFS(Games!$A$4:$A$1177,$A262,Games!$G$4:$G$1177,$C262,Games!$J$4:$J$1177,"L")+COUNTIFS(Games!$A$4:$A$1177,$A262,Games!$L$4:$L$1177,$C262,Games!$O$4:$O$1177,"L")</x:f>
        <x:v>1</x:v>
      </x:c>
      <x:c r="G262" t="n">
        <x:f>COUNTIFS(Games!$A$4:$A$1177,$A262,Games!$G$4:$G$1177,$C262,Games!$J$4:$J$1177,"T")+COUNTIFS(Games!$A$4:$A$1177,$A262,Games!$L$4:$L$1177,$C262,Games!$O$4:$O$1177,"T")</x:f>
        <x:v>0</x:v>
      </x:c>
      <x:c r="H262" t="n">
        <x:f>SUMIFS(Games!$H$4:$H$1177,Games!$A$4:$A$1177,$A262,Games!$D$4:$D$1177,"post",Games!$G$4:$G$1177,$C262)+SUMIFS(Games!$M$4:$M$1177,Games!$A$4:$A$1177,$A262,Games!$D$4:$D$1177,"post",Games!$L$4:$L$1177,$C262)</x:f>
        <x:v>7</x:v>
      </x:c>
      <x:c r="I262" t="n">
        <x:f>SUMIFS(Games!$M$4:$M$1177,Games!$A$4:$A$1177,$A262,Games!$D$4:$D$1177,"post",Games!$G$4:$G$1177,$C262)+SUMIFS(Games!$H$4:$H$1177,Games!$A$4:$A$1177,$A262,Games!$D$4:$D$1177,"post",Games!$L$4:$L$1177,$C262)</x:f>
        <x:v>27</x:v>
      </x:c>
      <x:c r="J262" t="str">
        <x:f>E262&amp;"-"&amp;F262&amp;IF(G262&gt;0,"-"&amp;G262,"")</x:f>
        <x:v>0-1</x:v>
      </x:c>
      <x:c r="K262" t="n">
        <x:f>COUNTIFS(Games!$A$4:$A$1177,$A262,Games!$D$4:$D$1177,"post",Games!$G$4:$G$1177,$C262,Games!$T$4:$T$1177,"&lt;&gt;")+COUNTIFS(Games!$A$4:$A$1177,$A262,Games!$D$4:$D$1177,"post",Games!$L$4:$L$1177,$C262,Games!$T$4:$T$1177,"&lt;&gt;")</x:f>
        <x:v>0</x:v>
      </x:c>
      <x:c r="L262" s="80" t="n">
        <x:f>IF(D262=0,0,K262/D262)</x:f>
        <x:v>0</x:v>
      </x:c>
      <x:c r="M262" t="str">
        <x:f>IF(AND(D262&gt;=2,K262&gt;=2,L262&gt;=75%),"YES","NO")</x:f>
        <x:v>NO</x:v>
      </x:c>
    </x:row>
    <x:row r="263">
      <x:c r="A263" t="str">
        <x:v>NFL</x:v>
      </x:c>
      <x:c r="B263" t="str">
        <x:v>Miami Dolphins</x:v>
      </x:c>
      <x:c r="C263" t="str">
        <x:v>MIA</x:v>
      </x:c>
      <x:c r="D263" t="n">
        <x:f>COUNTIFS(Games!$A$4:$A$1177,$A263,Games!$D$4:$D$1177,"post",Games!$G$4:$G$1177,$C263)+COUNTIFS(Games!$A$4:$A$1177,$A263,Games!$D$4:$D$1177,"post",Games!$L$4:$L$1177,$C263)</x:f>
        <x:v>2</x:v>
      </x:c>
      <x:c r="E263" t="n">
        <x:f>COUNTIFS(Games!$A$4:$A$1177,$A263,Games!$G$4:$G$1177,$C263,Games!$J$4:$J$1177,"W")+COUNTIFS(Games!$A$4:$A$1177,$A263,Games!$L$4:$L$1177,$C263,Games!$O$4:$O$1177,"W")</x:f>
        <x:v>0</x:v>
      </x:c>
      <x:c r="F263" t="n">
        <x:f>COUNTIFS(Games!$A$4:$A$1177,$A263,Games!$G$4:$G$1177,$C263,Games!$J$4:$J$1177,"L")+COUNTIFS(Games!$A$4:$A$1177,$A263,Games!$L$4:$L$1177,$C263,Games!$O$4:$O$1177,"L")</x:f>
        <x:v>2</x:v>
      </x:c>
      <x:c r="G263" t="n">
        <x:f>COUNTIFS(Games!$A$4:$A$1177,$A263,Games!$G$4:$G$1177,$C263,Games!$J$4:$J$1177,"T")+COUNTIFS(Games!$A$4:$A$1177,$A263,Games!$L$4:$L$1177,$C263,Games!$O$4:$O$1177,"T")</x:f>
        <x:v>0</x:v>
      </x:c>
      <x:c r="H263" t="n">
        <x:f>SUMIFS(Games!$H$4:$H$1177,Games!$A$4:$A$1177,$A263,Games!$D$4:$D$1177,"post",Games!$G$4:$G$1177,$C263)+SUMIFS(Games!$M$4:$M$1177,Games!$A$4:$A$1177,$A263,Games!$D$4:$D$1177,"post",Games!$L$4:$L$1177,$C263)</x:f>
        <x:v>26</x:v>
      </x:c>
      <x:c r="I263" t="n">
        <x:f>SUMIFS(Games!$M$4:$M$1177,Games!$A$4:$A$1177,$A263,Games!$D$4:$D$1177,"post",Games!$G$4:$G$1177,$C263)+SUMIFS(Games!$H$4:$H$1177,Games!$A$4:$A$1177,$A263,Games!$D$4:$D$1177,"post",Games!$L$4:$L$1177,$C263)</x:f>
        <x:v>62</x:v>
      </x:c>
      <x:c r="J263" t="str">
        <x:f>E263&amp;"-"&amp;F263&amp;IF(G263&gt;0,"-"&amp;G263,"")</x:f>
        <x:v>0-2</x:v>
      </x:c>
      <x:c r="K263" t="n">
        <x:f>COUNTIFS(Games!$A$4:$A$1177,$A263,Games!$D$4:$D$1177,"post",Games!$G$4:$G$1177,$C263,Games!$T$4:$T$1177,"&lt;&gt;")+COUNTIFS(Games!$A$4:$A$1177,$A263,Games!$D$4:$D$1177,"post",Games!$L$4:$L$1177,$C263,Games!$T$4:$T$1177,"&lt;&gt;")</x:f>
        <x:v>0</x:v>
      </x:c>
      <x:c r="L263" s="80" t="n">
        <x:f>IF(D263=0,0,K263/D263)</x:f>
        <x:v>0</x:v>
      </x:c>
      <x:c r="M263" t="str">
        <x:f>IF(AND(D263&gt;=2,K263&gt;=2,L263&gt;=75%),"YES","NO")</x:f>
        <x:v>NO</x:v>
      </x:c>
    </x:row>
    <x:row r="264">
      <x:c r="A264" t="str">
        <x:v>NFL</x:v>
      </x:c>
      <x:c r="B264" t="str">
        <x:v>Minnesota Vikings</x:v>
      </x:c>
      <x:c r="C264" t="str">
        <x:v>MIN</x:v>
      </x:c>
      <x:c r="D264" t="n">
        <x:f>COUNTIFS(Games!$A$4:$A$1177,$A264,Games!$D$4:$D$1177,"post",Games!$G$4:$G$1177,$C264)+COUNTIFS(Games!$A$4:$A$1177,$A264,Games!$D$4:$D$1177,"post",Games!$L$4:$L$1177,$C264)</x:f>
        <x:v>2</x:v>
      </x:c>
      <x:c r="E264" t="n">
        <x:f>COUNTIFS(Games!$A$4:$A$1177,$A264,Games!$G$4:$G$1177,$C264,Games!$J$4:$J$1177,"W")+COUNTIFS(Games!$A$4:$A$1177,$A264,Games!$L$4:$L$1177,$C264,Games!$O$4:$O$1177,"W")</x:f>
        <x:v>2</x:v>
      </x:c>
      <x:c r="F264" t="n">
        <x:f>COUNTIFS(Games!$A$4:$A$1177,$A264,Games!$G$4:$G$1177,$C264,Games!$J$4:$J$1177,"L")+COUNTIFS(Games!$A$4:$A$1177,$A264,Games!$L$4:$L$1177,$C264,Games!$O$4:$O$1177,"L")</x:f>
        <x:v>0</x:v>
      </x:c>
      <x:c r="G264" t="n">
        <x:f>COUNTIFS(Games!$A$4:$A$1177,$A264,Games!$G$4:$G$1177,$C264,Games!$J$4:$J$1177,"T")+COUNTIFS(Games!$A$4:$A$1177,$A264,Games!$L$4:$L$1177,$C264,Games!$O$4:$O$1177,"T")</x:f>
        <x:v>0</x:v>
      </x:c>
      <x:c r="H264" t="n">
        <x:f>SUMIFS(Games!$H$4:$H$1177,Games!$A$4:$A$1177,$A264,Games!$D$4:$D$1177,"post",Games!$G$4:$G$1177,$C264)+SUMIFS(Games!$M$4:$M$1177,Games!$A$4:$A$1177,$A264,Games!$D$4:$D$1177,"post",Games!$L$4:$L$1177,$C264)</x:f>
        <x:v>48</x:v>
      </x:c>
      <x:c r="I264" t="n">
        <x:f>SUMIFS(Games!$M$4:$M$1177,Games!$A$4:$A$1177,$A264,Games!$D$4:$D$1177,"post",Games!$G$4:$G$1177,$C264)+SUMIFS(Games!$H$4:$H$1177,Games!$A$4:$A$1177,$A264,Games!$D$4:$D$1177,"post",Games!$L$4:$L$1177,$C264)</x:f>
        <x:v>25</x:v>
      </x:c>
      <x:c r="J264" t="str">
        <x:f>E264&amp;"-"&amp;F264&amp;IF(G264&gt;0,"-"&amp;G264,"")</x:f>
        <x:v>2-0</x:v>
      </x:c>
      <x:c r="K264" t="n">
        <x:f>COUNTIFS(Games!$A$4:$A$1177,$A264,Games!$D$4:$D$1177,"post",Games!$G$4:$G$1177,$C264,Games!$T$4:$T$1177,"&lt;&gt;")+COUNTIFS(Games!$A$4:$A$1177,$A264,Games!$D$4:$D$1177,"post",Games!$L$4:$L$1177,$C264,Games!$T$4:$T$1177,"&lt;&gt;")</x:f>
        <x:v>0</x:v>
      </x:c>
      <x:c r="L264" s="80" t="n">
        <x:f>IF(D264=0,0,K264/D264)</x:f>
        <x:v>0</x:v>
      </x:c>
      <x:c r="M264" t="str">
        <x:f>IF(AND(D264&gt;=2,K264&gt;=2,L264&gt;=75%),"YES","NO")</x:f>
        <x:v>NO</x:v>
      </x:c>
    </x:row>
    <x:row r="265">
      <x:c r="A265" t="str">
        <x:v>NFL</x:v>
      </x:c>
      <x:c r="B265" t="str">
        <x:v>New England Patriots</x:v>
      </x:c>
      <x:c r="C265" t="str">
        <x:v>NE</x:v>
      </x:c>
      <x:c r="D265" t="n">
        <x:f>COUNTIFS(Games!$A$4:$A$1177,$A265,Games!$D$4:$D$1177,"post",Games!$G$4:$G$1177,$C265)+COUNTIFS(Games!$A$4:$A$1177,$A265,Games!$D$4:$D$1177,"post",Games!$L$4:$L$1177,$C265)</x:f>
        <x:v>2</x:v>
      </x:c>
      <x:c r="E265" t="n">
        <x:f>COUNTIFS(Games!$A$4:$A$1177,$A265,Games!$G$4:$G$1177,$C265,Games!$J$4:$J$1177,"W")+COUNTIFS(Games!$A$4:$A$1177,$A265,Games!$L$4:$L$1177,$C265,Games!$O$4:$O$1177,"W")</x:f>
        <x:v>1</x:v>
      </x:c>
      <x:c r="F265" t="n">
        <x:f>COUNTIFS(Games!$A$4:$A$1177,$A265,Games!$G$4:$G$1177,$C265,Games!$J$4:$J$1177,"L")+COUNTIFS(Games!$A$4:$A$1177,$A265,Games!$L$4:$L$1177,$C265,Games!$O$4:$O$1177,"L")</x:f>
        <x:v>1</x:v>
      </x:c>
      <x:c r="G265" t="n">
        <x:f>COUNTIFS(Games!$A$4:$A$1177,$A265,Games!$G$4:$G$1177,$C265,Games!$J$4:$J$1177,"T")+COUNTIFS(Games!$A$4:$A$1177,$A265,Games!$L$4:$L$1177,$C265,Games!$O$4:$O$1177,"T")</x:f>
        <x:v>0</x:v>
      </x:c>
      <x:c r="H265" t="n">
        <x:f>SUMIFS(Games!$H$4:$H$1177,Games!$A$4:$A$1177,$A265,Games!$D$4:$D$1177,"post",Games!$G$4:$G$1177,$C265)+SUMIFS(Games!$M$4:$M$1177,Games!$A$4:$A$1177,$A265,Games!$D$4:$D$1177,"post",Games!$L$4:$L$1177,$C265)</x:f>
        <x:v>30</x:v>
      </x:c>
      <x:c r="I265" t="n">
        <x:f>SUMIFS(Games!$M$4:$M$1177,Games!$A$4:$A$1177,$A265,Games!$D$4:$D$1177,"post",Games!$G$4:$G$1177,$C265)+SUMIFS(Games!$H$4:$H$1177,Games!$A$4:$A$1177,$A265,Games!$D$4:$D$1177,"post",Games!$L$4:$L$1177,$C265)</x:f>
        <x:v>16</x:v>
      </x:c>
      <x:c r="J265" t="str">
        <x:f>E265&amp;"-"&amp;F265&amp;IF(G265&gt;0,"-"&amp;G265,"")</x:f>
        <x:v>1-1</x:v>
      </x:c>
      <x:c r="K265" t="n">
        <x:f>COUNTIFS(Games!$A$4:$A$1177,$A265,Games!$D$4:$D$1177,"post",Games!$G$4:$G$1177,$C265,Games!$T$4:$T$1177,"&lt;&gt;")+COUNTIFS(Games!$A$4:$A$1177,$A265,Games!$D$4:$D$1177,"post",Games!$L$4:$L$1177,$C265,Games!$T$4:$T$1177,"&lt;&gt;")</x:f>
        <x:v>0</x:v>
      </x:c>
      <x:c r="L265" s="80" t="n">
        <x:f>IF(D265=0,0,K265/D265)</x:f>
        <x:v>0</x:v>
      </x:c>
      <x:c r="M265" t="str">
        <x:f>IF(AND(D265&gt;=2,K265&gt;=2,L265&gt;=75%),"YES","NO")</x:f>
        <x:v>NO</x:v>
      </x:c>
    </x:row>
    <x:row r="266">
      <x:c r="A266" t="str">
        <x:v>NFL</x:v>
      </x:c>
      <x:c r="B266" t="str">
        <x:v>New Orleans Saints</x:v>
      </x:c>
      <x:c r="C266" t="str">
        <x:v>NO</x:v>
      </x:c>
      <x:c r="D266" t="n">
        <x:f>COUNTIFS(Games!$A$4:$A$1177,$A266,Games!$D$4:$D$1177,"post",Games!$G$4:$G$1177,$C266)+COUNTIFS(Games!$A$4:$A$1177,$A266,Games!$D$4:$D$1177,"post",Games!$L$4:$L$1177,$C266)</x:f>
        <x:v>2</x:v>
      </x:c>
      <x:c r="E266" t="n">
        <x:f>COUNTIFS(Games!$A$4:$A$1177,$A266,Games!$G$4:$G$1177,$C266,Games!$J$4:$J$1177,"W")+COUNTIFS(Games!$A$4:$A$1177,$A266,Games!$L$4:$L$1177,$C266,Games!$O$4:$O$1177,"W")</x:f>
        <x:v>1</x:v>
      </x:c>
      <x:c r="F266" t="n">
        <x:f>COUNTIFS(Games!$A$4:$A$1177,$A266,Games!$G$4:$G$1177,$C266,Games!$J$4:$J$1177,"L")+COUNTIFS(Games!$A$4:$A$1177,$A266,Games!$L$4:$L$1177,$C266,Games!$O$4:$O$1177,"L")</x:f>
        <x:v>1</x:v>
      </x:c>
      <x:c r="G266" t="n">
        <x:f>COUNTIFS(Games!$A$4:$A$1177,$A266,Games!$G$4:$G$1177,$C266,Games!$J$4:$J$1177,"T")+COUNTIFS(Games!$A$4:$A$1177,$A266,Games!$L$4:$L$1177,$C266,Games!$O$4:$O$1177,"T")</x:f>
        <x:v>0</x:v>
      </x:c>
      <x:c r="H266" t="n">
        <x:f>SUMIFS(Games!$H$4:$H$1177,Games!$A$4:$A$1177,$A266,Games!$D$4:$D$1177,"post",Games!$G$4:$G$1177,$C266)+SUMIFS(Games!$M$4:$M$1177,Games!$A$4:$A$1177,$A266,Games!$D$4:$D$1177,"post",Games!$L$4:$L$1177,$C266)</x:f>
        <x:v>54</x:v>
      </x:c>
      <x:c r="I266" t="n">
        <x:f>SUMIFS(Games!$M$4:$M$1177,Games!$A$4:$A$1177,$A266,Games!$D$4:$D$1177,"post",Games!$G$4:$G$1177,$C266)+SUMIFS(Games!$H$4:$H$1177,Games!$A$4:$A$1177,$A266,Games!$D$4:$D$1177,"post",Games!$L$4:$L$1177,$C266)</x:f>
        <x:v>48</x:v>
      </x:c>
      <x:c r="J266" t="str">
        <x:f>E266&amp;"-"&amp;F266&amp;IF(G266&gt;0,"-"&amp;G266,"")</x:f>
        <x:v>1-1</x:v>
      </x:c>
      <x:c r="K266" t="n">
        <x:f>COUNTIFS(Games!$A$4:$A$1177,$A266,Games!$D$4:$D$1177,"post",Games!$G$4:$G$1177,$C266,Games!$T$4:$T$1177,"&lt;&gt;")+COUNTIFS(Games!$A$4:$A$1177,$A266,Games!$D$4:$D$1177,"post",Games!$L$4:$L$1177,$C266,Games!$T$4:$T$1177,"&lt;&gt;")</x:f>
        <x:v>0</x:v>
      </x:c>
      <x:c r="L266" s="80" t="n">
        <x:f>IF(D266=0,0,K266/D266)</x:f>
        <x:v>0</x:v>
      </x:c>
      <x:c r="M266" t="str">
        <x:f>IF(AND(D266&gt;=2,K266&gt;=2,L266&gt;=75%),"YES","NO")</x:f>
        <x:v>NO</x:v>
      </x:c>
    </x:row>
    <x:row r="267">
      <x:c r="A267" t="str">
        <x:v>NFL</x:v>
      </x:c>
      <x:c r="B267" t="str">
        <x:v>New York Giants</x:v>
      </x:c>
      <x:c r="C267" t="str">
        <x:v>NYG</x:v>
      </x:c>
      <x:c r="D267" t="n">
        <x:f>COUNTIFS(Games!$A$4:$A$1177,$A267,Games!$D$4:$D$1177,"post",Games!$G$4:$G$1177,$C267)+COUNTIFS(Games!$A$4:$A$1177,$A267,Games!$D$4:$D$1177,"post",Games!$L$4:$L$1177,$C267)</x:f>
        <x:v>1</x:v>
      </x:c>
      <x:c r="E267" t="n">
        <x:f>COUNTIFS(Games!$A$4:$A$1177,$A267,Games!$G$4:$G$1177,$C267,Games!$J$4:$J$1177,"W")+COUNTIFS(Games!$A$4:$A$1177,$A267,Games!$L$4:$L$1177,$C267,Games!$O$4:$O$1177,"W")</x:f>
        <x:v>1</x:v>
      </x:c>
      <x:c r="F267" t="n">
        <x:f>COUNTIFS(Games!$A$4:$A$1177,$A267,Games!$G$4:$G$1177,$C267,Games!$J$4:$J$1177,"L")+COUNTIFS(Games!$A$4:$A$1177,$A267,Games!$L$4:$L$1177,$C267,Games!$O$4:$O$1177,"L")</x:f>
        <x:v>0</x:v>
      </x:c>
      <x:c r="G267" t="n">
        <x:f>COUNTIFS(Games!$A$4:$A$1177,$A267,Games!$G$4:$G$1177,$C267,Games!$J$4:$J$1177,"T")+COUNTIFS(Games!$A$4:$A$1177,$A267,Games!$L$4:$L$1177,$C267,Games!$O$4:$O$1177,"T")</x:f>
        <x:v>0</x:v>
      </x:c>
      <x:c r="H267" t="n">
        <x:f>SUMIFS(Games!$H$4:$H$1177,Games!$A$4:$A$1177,$A267,Games!$D$4:$D$1177,"post",Games!$G$4:$G$1177,$C267)+SUMIFS(Games!$M$4:$M$1177,Games!$A$4:$A$1177,$A267,Games!$D$4:$D$1177,"post",Games!$L$4:$L$1177,$C267)</x:f>
        <x:v>28</x:v>
      </x:c>
      <x:c r="I267" t="n">
        <x:f>SUMIFS(Games!$M$4:$M$1177,Games!$A$4:$A$1177,$A267,Games!$D$4:$D$1177,"post",Games!$G$4:$G$1177,$C267)+SUMIFS(Games!$H$4:$H$1177,Games!$A$4:$A$1177,$A267,Games!$D$4:$D$1177,"post",Games!$L$4:$L$1177,$C267)</x:f>
        <x:v>20</x:v>
      </x:c>
      <x:c r="J267" t="str">
        <x:f>E267&amp;"-"&amp;F267&amp;IF(G267&gt;0,"-"&amp;G267,"")</x:f>
        <x:v>1-0</x:v>
      </x:c>
      <x:c r="K267" t="n">
        <x:f>COUNTIFS(Games!$A$4:$A$1177,$A267,Games!$D$4:$D$1177,"post",Games!$G$4:$G$1177,$C267,Games!$T$4:$T$1177,"&lt;&gt;")+COUNTIFS(Games!$A$4:$A$1177,$A267,Games!$D$4:$D$1177,"post",Games!$L$4:$L$1177,$C267,Games!$T$4:$T$1177,"&lt;&gt;")</x:f>
        <x:v>0</x:v>
      </x:c>
      <x:c r="L267" s="80" t="n">
        <x:f>IF(D267=0,0,K267/D267)</x:f>
        <x:v>0</x:v>
      </x:c>
      <x:c r="M267" t="str">
        <x:f>IF(AND(D267&gt;=2,K267&gt;=2,L267&gt;=75%),"YES","NO")</x:f>
        <x:v>NO</x:v>
      </x:c>
    </x:row>
    <x:row r="268">
      <x:c r="A268" t="str">
        <x:v>NFL</x:v>
      </x:c>
      <x:c r="B268" t="str">
        <x:v>New York Jets</x:v>
      </x:c>
      <x:c r="C268" t="str">
        <x:v>NYJ</x:v>
      </x:c>
      <x:c r="D268" t="n">
        <x:f>COUNTIFS(Games!$A$4:$A$1177,$A268,Games!$D$4:$D$1177,"post",Games!$G$4:$G$1177,$C268)+COUNTIFS(Games!$A$4:$A$1177,$A268,Games!$D$4:$D$1177,"post",Games!$L$4:$L$1177,$C268)</x:f>
        <x:v>2</x:v>
      </x:c>
      <x:c r="E268" t="n">
        <x:f>COUNTIFS(Games!$A$4:$A$1177,$A268,Games!$G$4:$G$1177,$C268,Games!$J$4:$J$1177,"W")+COUNTIFS(Games!$A$4:$A$1177,$A268,Games!$L$4:$L$1177,$C268,Games!$O$4:$O$1177,"W")</x:f>
        <x:v>1</x:v>
      </x:c>
      <x:c r="F268" t="n">
        <x:f>COUNTIFS(Games!$A$4:$A$1177,$A268,Games!$G$4:$G$1177,$C268,Games!$J$4:$J$1177,"L")+COUNTIFS(Games!$A$4:$A$1177,$A268,Games!$L$4:$L$1177,$C268,Games!$O$4:$O$1177,"L")</x:f>
        <x:v>1</x:v>
      </x:c>
      <x:c r="G268" t="n">
        <x:f>COUNTIFS(Games!$A$4:$A$1177,$A268,Games!$G$4:$G$1177,$C268,Games!$J$4:$J$1177,"T")+COUNTIFS(Games!$A$4:$A$1177,$A268,Games!$L$4:$L$1177,$C268,Games!$O$4:$O$1177,"T")</x:f>
        <x:v>0</x:v>
      </x:c>
      <x:c r="H268" t="n">
        <x:f>SUMIFS(Games!$H$4:$H$1177,Games!$A$4:$A$1177,$A268,Games!$D$4:$D$1177,"post",Games!$G$4:$G$1177,$C268)+SUMIFS(Games!$M$4:$M$1177,Games!$A$4:$A$1177,$A268,Games!$D$4:$D$1177,"post",Games!$L$4:$L$1177,$C268)</x:f>
        <x:v>40</x:v>
      </x:c>
      <x:c r="I268" t="n">
        <x:f>SUMIFS(Games!$M$4:$M$1177,Games!$A$4:$A$1177,$A268,Games!$D$4:$D$1177,"post",Games!$G$4:$G$1177,$C268)+SUMIFS(Games!$H$4:$H$1177,Games!$A$4:$A$1177,$A268,Games!$D$4:$D$1177,"post",Games!$L$4:$L$1177,$C268)</x:f>
        <x:v>30</x:v>
      </x:c>
      <x:c r="J268" t="str">
        <x:f>E268&amp;"-"&amp;F268&amp;IF(G268&gt;0,"-"&amp;G268,"")</x:f>
        <x:v>1-1</x:v>
      </x:c>
      <x:c r="K268" t="n">
        <x:f>COUNTIFS(Games!$A$4:$A$1177,$A268,Games!$D$4:$D$1177,"post",Games!$G$4:$G$1177,$C268,Games!$T$4:$T$1177,"&lt;&gt;")+COUNTIFS(Games!$A$4:$A$1177,$A268,Games!$D$4:$D$1177,"post",Games!$L$4:$L$1177,$C268,Games!$T$4:$T$1177,"&lt;&gt;")</x:f>
        <x:v>0</x:v>
      </x:c>
      <x:c r="L268" s="80" t="n">
        <x:f>IF(D268=0,0,K268/D268)</x:f>
        <x:v>0</x:v>
      </x:c>
      <x:c r="M268" t="str">
        <x:f>IF(AND(D268&gt;=2,K268&gt;=2,L268&gt;=75%),"YES","NO")</x:f>
        <x:v>NO</x:v>
      </x:c>
    </x:row>
    <x:row r="269">
      <x:c r="A269" t="str">
        <x:v>NFL</x:v>
      </x:c>
      <x:c r="B269" t="str">
        <x:v>Philadelphia Eagles</x:v>
      </x:c>
      <x:c r="C269" t="str">
        <x:v>PHI</x:v>
      </x:c>
      <x:c r="D269" t="n">
        <x:f>COUNTIFS(Games!$A$4:$A$1177,$A269,Games!$D$4:$D$1177,"post",Games!$G$4:$G$1177,$C269)+COUNTIFS(Games!$A$4:$A$1177,$A269,Games!$D$4:$D$1177,"post",Games!$L$4:$L$1177,$C269)</x:f>
        <x:v>2</x:v>
      </x:c>
      <x:c r="E269" t="n">
        <x:f>COUNTIFS(Games!$A$4:$A$1177,$A269,Games!$G$4:$G$1177,$C269,Games!$J$4:$J$1177,"W")+COUNTIFS(Games!$A$4:$A$1177,$A269,Games!$L$4:$L$1177,$C269,Games!$O$4:$O$1177,"W")</x:f>
        <x:v>2</x:v>
      </x:c>
      <x:c r="F269" t="n">
        <x:f>COUNTIFS(Games!$A$4:$A$1177,$A269,Games!$G$4:$G$1177,$C269,Games!$J$4:$J$1177,"L")+COUNTIFS(Games!$A$4:$A$1177,$A269,Games!$L$4:$L$1177,$C269,Games!$O$4:$O$1177,"L")</x:f>
        <x:v>0</x:v>
      </x:c>
      <x:c r="G269" t="n">
        <x:f>COUNTIFS(Games!$A$4:$A$1177,$A269,Games!$G$4:$G$1177,$C269,Games!$J$4:$J$1177,"T")+COUNTIFS(Games!$A$4:$A$1177,$A269,Games!$L$4:$L$1177,$C269,Games!$O$4:$O$1177,"T")</x:f>
        <x:v>0</x:v>
      </x:c>
      <x:c r="H269" t="n">
        <x:f>SUMIFS(Games!$H$4:$H$1177,Games!$A$4:$A$1177,$A269,Games!$D$4:$D$1177,"post",Games!$G$4:$G$1177,$C269)+SUMIFS(Games!$M$4:$M$1177,Games!$A$4:$A$1177,$A269,Games!$D$4:$D$1177,"post",Games!$L$4:$L$1177,$C269)</x:f>
        <x:v>48</x:v>
      </x:c>
      <x:c r="I269" t="n">
        <x:f>SUMIFS(Games!$M$4:$M$1177,Games!$A$4:$A$1177,$A269,Games!$D$4:$D$1177,"post",Games!$G$4:$G$1177,$C269)+SUMIFS(Games!$H$4:$H$1177,Games!$A$4:$A$1177,$A269,Games!$D$4:$D$1177,"post",Games!$L$4:$L$1177,$C269)</x:f>
        <x:v>42</x:v>
      </x:c>
      <x:c r="J269" t="str">
        <x:f>E269&amp;"-"&amp;F269&amp;IF(G269&gt;0,"-"&amp;G269,"")</x:f>
        <x:v>2-0</x:v>
      </x:c>
      <x:c r="K269" t="n">
        <x:f>COUNTIFS(Games!$A$4:$A$1177,$A269,Games!$D$4:$D$1177,"post",Games!$G$4:$G$1177,$C269,Games!$T$4:$T$1177,"&lt;&gt;")+COUNTIFS(Games!$A$4:$A$1177,$A269,Games!$D$4:$D$1177,"post",Games!$L$4:$L$1177,$C269,Games!$T$4:$T$1177,"&lt;&gt;")</x:f>
        <x:v>0</x:v>
      </x:c>
      <x:c r="L269" s="80" t="n">
        <x:f>IF(D269=0,0,K269/D269)</x:f>
        <x:v>0</x:v>
      </x:c>
      <x:c r="M269" t="str">
        <x:f>IF(AND(D269&gt;=2,K269&gt;=2,L269&gt;=75%),"YES","NO")</x:f>
        <x:v>NO</x:v>
      </x:c>
    </x:row>
    <x:row r="270">
      <x:c r="A270" t="str">
        <x:v>NFL</x:v>
      </x:c>
      <x:c r="B270" t="str">
        <x:v>Pittsburgh Steelers</x:v>
      </x:c>
      <x:c r="C270" t="str">
        <x:v>PIT</x:v>
      </x:c>
      <x:c r="D270" t="n">
        <x:f>COUNTIFS(Games!$A$4:$A$1177,$A270,Games!$D$4:$D$1177,"post",Games!$G$4:$G$1177,$C270)+COUNTIFS(Games!$A$4:$A$1177,$A270,Games!$D$4:$D$1177,"post",Games!$L$4:$L$1177,$C270)</x:f>
        <x:v>2</x:v>
      </x:c>
      <x:c r="E270" t="n">
        <x:f>COUNTIFS(Games!$A$4:$A$1177,$A270,Games!$G$4:$G$1177,$C270,Games!$J$4:$J$1177,"W")+COUNTIFS(Games!$A$4:$A$1177,$A270,Games!$L$4:$L$1177,$C270,Games!$O$4:$O$1177,"W")</x:f>
        <x:v>1</x:v>
      </x:c>
      <x:c r="F270" t="n">
        <x:f>COUNTIFS(Games!$A$4:$A$1177,$A270,Games!$G$4:$G$1177,$C270,Games!$J$4:$J$1177,"L")+COUNTIFS(Games!$A$4:$A$1177,$A270,Games!$L$4:$L$1177,$C270,Games!$O$4:$O$1177,"L")</x:f>
        <x:v>1</x:v>
      </x:c>
      <x:c r="G270" t="n">
        <x:f>COUNTIFS(Games!$A$4:$A$1177,$A270,Games!$G$4:$G$1177,$C270,Games!$J$4:$J$1177,"T")+COUNTIFS(Games!$A$4:$A$1177,$A270,Games!$L$4:$L$1177,$C270,Games!$O$4:$O$1177,"T")</x:f>
        <x:v>0</x:v>
      </x:c>
      <x:c r="H270" t="n">
        <x:f>SUMIFS(Games!$H$4:$H$1177,Games!$A$4:$A$1177,$A270,Games!$D$4:$D$1177,"post",Games!$G$4:$G$1177,$C270)+SUMIFS(Games!$M$4:$M$1177,Games!$A$4:$A$1177,$A270,Games!$D$4:$D$1177,"post",Games!$L$4:$L$1177,$C270)</x:f>
        <x:v>23</x:v>
      </x:c>
      <x:c r="I270" t="n">
        <x:f>SUMIFS(Games!$M$4:$M$1177,Games!$A$4:$A$1177,$A270,Games!$D$4:$D$1177,"post",Games!$G$4:$G$1177,$C270)+SUMIFS(Games!$H$4:$H$1177,Games!$A$4:$A$1177,$A270,Games!$D$4:$D$1177,"post",Games!$L$4:$L$1177,$C270)</x:f>
        <x:v>33</x:v>
      </x:c>
      <x:c r="J270" t="str">
        <x:f>E270&amp;"-"&amp;F270&amp;IF(G270&gt;0,"-"&amp;G270,"")</x:f>
        <x:v>1-1</x:v>
      </x:c>
      <x:c r="K270" t="n">
        <x:f>COUNTIFS(Games!$A$4:$A$1177,$A270,Games!$D$4:$D$1177,"post",Games!$G$4:$G$1177,$C270,Games!$T$4:$T$1177,"&lt;&gt;")+COUNTIFS(Games!$A$4:$A$1177,$A270,Games!$D$4:$D$1177,"post",Games!$L$4:$L$1177,$C270,Games!$T$4:$T$1177,"&lt;&gt;")</x:f>
        <x:v>0</x:v>
      </x:c>
      <x:c r="L270" s="80" t="n">
        <x:f>IF(D270=0,0,K270/D270)</x:f>
        <x:v>0</x:v>
      </x:c>
      <x:c r="M270" t="str">
        <x:f>IF(AND(D270&gt;=2,K270&gt;=2,L270&gt;=75%),"YES","NO")</x:f>
        <x:v>NO</x:v>
      </x:c>
    </x:row>
    <x:row r="271">
      <x:c r="A271" t="str">
        <x:v>NFL</x:v>
      </x:c>
      <x:c r="B271" t="str">
        <x:v>San Francisco 49ers</x:v>
      </x:c>
      <x:c r="C271" t="str">
        <x:v>SF</x:v>
      </x:c>
      <x:c r="D271" t="n">
        <x:f>COUNTIFS(Games!$A$4:$A$1177,$A271,Games!$D$4:$D$1177,"post",Games!$G$4:$G$1177,$C271)+COUNTIFS(Games!$A$4:$A$1177,$A271,Games!$D$4:$D$1177,"post",Games!$L$4:$L$1177,$C271)</x:f>
        <x:v>2</x:v>
      </x:c>
      <x:c r="E271" t="n">
        <x:f>COUNTIFS(Games!$A$4:$A$1177,$A271,Games!$G$4:$G$1177,$C271,Games!$J$4:$J$1177,"W")+COUNTIFS(Games!$A$4:$A$1177,$A271,Games!$L$4:$L$1177,$C271,Games!$O$4:$O$1177,"W")</x:f>
        <x:v>2</x:v>
      </x:c>
      <x:c r="F271" t="n">
        <x:f>COUNTIFS(Games!$A$4:$A$1177,$A271,Games!$G$4:$G$1177,$C271,Games!$J$4:$J$1177,"L")+COUNTIFS(Games!$A$4:$A$1177,$A271,Games!$L$4:$L$1177,$C271,Games!$O$4:$O$1177,"L")</x:f>
        <x:v>0</x:v>
      </x:c>
      <x:c r="G271" t="n">
        <x:f>COUNTIFS(Games!$A$4:$A$1177,$A271,Games!$G$4:$G$1177,$C271,Games!$J$4:$J$1177,"T")+COUNTIFS(Games!$A$4:$A$1177,$A271,Games!$L$4:$L$1177,$C271,Games!$O$4:$O$1177,"T")</x:f>
        <x:v>0</x:v>
      </x:c>
      <x:c r="H271" t="n">
        <x:f>SUMIFS(Games!$H$4:$H$1177,Games!$A$4:$A$1177,$A271,Games!$D$4:$D$1177,"post",Games!$G$4:$G$1177,$C271)+SUMIFS(Games!$M$4:$M$1177,Games!$A$4:$A$1177,$A271,Games!$D$4:$D$1177,"post",Games!$L$4:$L$1177,$C271)</x:f>
        <x:v>62</x:v>
      </x:c>
      <x:c r="I271" t="n">
        <x:f>SUMIFS(Games!$M$4:$M$1177,Games!$A$4:$A$1177,$A271,Games!$D$4:$D$1177,"post",Games!$G$4:$G$1177,$C271)+SUMIFS(Games!$H$4:$H$1177,Games!$A$4:$A$1177,$A271,Games!$D$4:$D$1177,"post",Games!$L$4:$L$1177,$C271)</x:f>
        <x:v>20</x:v>
      </x:c>
      <x:c r="J271" t="str">
        <x:f>E271&amp;"-"&amp;F271&amp;IF(G271&gt;0,"-"&amp;G271,"")</x:f>
        <x:v>2-0</x:v>
      </x:c>
      <x:c r="K271" t="n">
        <x:f>COUNTIFS(Games!$A$4:$A$1177,$A271,Games!$D$4:$D$1177,"post",Games!$G$4:$G$1177,$C271,Games!$T$4:$T$1177,"&lt;&gt;")+COUNTIFS(Games!$A$4:$A$1177,$A271,Games!$D$4:$D$1177,"post",Games!$L$4:$L$1177,$C271,Games!$T$4:$T$1177,"&lt;&gt;")</x:f>
        <x:v>0</x:v>
      </x:c>
      <x:c r="L271" s="80" t="n">
        <x:f>IF(D271=0,0,K271/D271)</x:f>
        <x:v>0</x:v>
      </x:c>
      <x:c r="M271" t="str">
        <x:f>IF(AND(D271&gt;=2,K271&gt;=2,L271&gt;=75%),"YES","NO")</x:f>
        <x:v>NO</x:v>
      </x:c>
    </x:row>
    <x:row r="272">
      <x:c r="A272" t="str">
        <x:v>NFL</x:v>
      </x:c>
      <x:c r="B272" t="str">
        <x:v>Seattle Seahawks</x:v>
      </x:c>
      <x:c r="C272" t="str">
        <x:v>SEA</x:v>
      </x:c>
      <x:c r="D272" t="n">
        <x:f>COUNTIFS(Games!$A$4:$A$1177,$A272,Games!$D$4:$D$1177,"post",Games!$G$4:$G$1177,$C272)+COUNTIFS(Games!$A$4:$A$1177,$A272,Games!$D$4:$D$1177,"post",Games!$L$4:$L$1177,$C272)</x:f>
        <x:v>2</x:v>
      </x:c>
      <x:c r="E272" t="n">
        <x:f>COUNTIFS(Games!$A$4:$A$1177,$A272,Games!$G$4:$G$1177,$C272,Games!$J$4:$J$1177,"W")+COUNTIFS(Games!$A$4:$A$1177,$A272,Games!$L$4:$L$1177,$C272,Games!$O$4:$O$1177,"W")</x:f>
        <x:v>2</x:v>
      </x:c>
      <x:c r="F272" t="n">
        <x:f>COUNTIFS(Games!$A$4:$A$1177,$A272,Games!$G$4:$G$1177,$C272,Games!$J$4:$J$1177,"L")+COUNTIFS(Games!$A$4:$A$1177,$A272,Games!$L$4:$L$1177,$C272,Games!$O$4:$O$1177,"L")</x:f>
        <x:v>0</x:v>
      </x:c>
      <x:c r="G272" t="n">
        <x:f>COUNTIFS(Games!$A$4:$A$1177,$A272,Games!$G$4:$G$1177,$C272,Games!$J$4:$J$1177,"T")+COUNTIFS(Games!$A$4:$A$1177,$A272,Games!$L$4:$L$1177,$C272,Games!$O$4:$O$1177,"T")</x:f>
        <x:v>0</x:v>
      </x:c>
      <x:c r="H272" t="n">
        <x:f>SUMIFS(Games!$H$4:$H$1177,Games!$A$4:$A$1177,$A272,Games!$D$4:$D$1177,"post",Games!$G$4:$G$1177,$C272)+SUMIFS(Games!$M$4:$M$1177,Games!$A$4:$A$1177,$A272,Games!$D$4:$D$1177,"post",Games!$L$4:$L$1177,$C272)</x:f>
        <x:v>44</x:v>
      </x:c>
      <x:c r="I272" t="n">
        <x:f>SUMIFS(Games!$M$4:$M$1177,Games!$A$4:$A$1177,$A272,Games!$D$4:$D$1177,"post",Games!$G$4:$G$1177,$C272)+SUMIFS(Games!$H$4:$H$1177,Games!$A$4:$A$1177,$A272,Games!$D$4:$D$1177,"post",Games!$L$4:$L$1177,$C272)</x:f>
        <x:v>17</x:v>
      </x:c>
      <x:c r="J272" t="str">
        <x:f>E272&amp;"-"&amp;F272&amp;IF(G272&gt;0,"-"&amp;G272,"")</x:f>
        <x:v>2-0</x:v>
      </x:c>
      <x:c r="K272" t="n">
        <x:f>COUNTIFS(Games!$A$4:$A$1177,$A272,Games!$D$4:$D$1177,"post",Games!$G$4:$G$1177,$C272,Games!$T$4:$T$1177,"&lt;&gt;")+COUNTIFS(Games!$A$4:$A$1177,$A272,Games!$D$4:$D$1177,"post",Games!$L$4:$L$1177,$C272,Games!$T$4:$T$1177,"&lt;&gt;")</x:f>
        <x:v>0</x:v>
      </x:c>
      <x:c r="L272" s="80" t="n">
        <x:f>IF(D272=0,0,K272/D272)</x:f>
        <x:v>0</x:v>
      </x:c>
      <x:c r="M272" t="str">
        <x:f>IF(AND(D272&gt;=2,K272&gt;=2,L272&gt;=75%),"YES","NO")</x:f>
        <x:v>NO</x:v>
      </x:c>
    </x:row>
    <x:row r="273">
      <x:c r="A273" t="str">
        <x:v>NFL</x:v>
      </x:c>
      <x:c r="B273" t="str">
        <x:v>Tampa Bay Buccaneers</x:v>
      </x:c>
      <x:c r="C273" t="str">
        <x:v>TB</x:v>
      </x:c>
      <x:c r="D273" t="n">
        <x:f>COUNTIFS(Games!$A$4:$A$1177,$A273,Games!$D$4:$D$1177,"post",Games!$G$4:$G$1177,$C273)+COUNTIFS(Games!$A$4:$A$1177,$A273,Games!$D$4:$D$1177,"post",Games!$L$4:$L$1177,$C273)</x:f>
        <x:v>2</x:v>
      </x:c>
      <x:c r="E273" t="n">
        <x:f>COUNTIFS(Games!$A$4:$A$1177,$A273,Games!$G$4:$G$1177,$C273,Games!$J$4:$J$1177,"W")+COUNTIFS(Games!$A$4:$A$1177,$A273,Games!$L$4:$L$1177,$C273,Games!$O$4:$O$1177,"W")</x:f>
        <x:v>0</x:v>
      </x:c>
      <x:c r="F273" t="n">
        <x:f>COUNTIFS(Games!$A$4:$A$1177,$A273,Games!$G$4:$G$1177,$C273,Games!$J$4:$J$1177,"L")+COUNTIFS(Games!$A$4:$A$1177,$A273,Games!$L$4:$L$1177,$C273,Games!$O$4:$O$1177,"L")</x:f>
        <x:v>2</x:v>
      </x:c>
      <x:c r="G273" t="n">
        <x:f>COUNTIFS(Games!$A$4:$A$1177,$A273,Games!$G$4:$G$1177,$C273,Games!$J$4:$J$1177,"T")+COUNTIFS(Games!$A$4:$A$1177,$A273,Games!$L$4:$L$1177,$C273,Games!$O$4:$O$1177,"T")</x:f>
        <x:v>0</x:v>
      </x:c>
      <x:c r="H273" t="n">
        <x:f>SUMIFS(Games!$H$4:$H$1177,Games!$A$4:$A$1177,$A273,Games!$D$4:$D$1177,"post",Games!$G$4:$G$1177,$C273)+SUMIFS(Games!$M$4:$M$1177,Games!$A$4:$A$1177,$A273,Games!$D$4:$D$1177,"post",Games!$L$4:$L$1177,$C273)</x:f>
        <x:v>46</x:v>
      </x:c>
      <x:c r="I273" t="n">
        <x:f>SUMIFS(Games!$M$4:$M$1177,Games!$A$4:$A$1177,$A273,Games!$D$4:$D$1177,"post",Games!$G$4:$G$1177,$C273)+SUMIFS(Games!$H$4:$H$1177,Games!$A$4:$A$1177,$A273,Games!$D$4:$D$1177,"post",Games!$L$4:$L$1177,$C273)</x:f>
        <x:v>56</x:v>
      </x:c>
      <x:c r="J273" t="str">
        <x:f>E273&amp;"-"&amp;F273&amp;IF(G273&gt;0,"-"&amp;G273,"")</x:f>
        <x:v>0-2</x:v>
      </x:c>
      <x:c r="K273" t="n">
        <x:f>COUNTIFS(Games!$A$4:$A$1177,$A273,Games!$D$4:$D$1177,"post",Games!$G$4:$G$1177,$C273,Games!$T$4:$T$1177,"&lt;&gt;")+COUNTIFS(Games!$A$4:$A$1177,$A273,Games!$D$4:$D$1177,"post",Games!$L$4:$L$1177,$C273,Games!$T$4:$T$1177,"&lt;&gt;")</x:f>
        <x:v>0</x:v>
      </x:c>
      <x:c r="L273" s="80" t="n">
        <x:f>IF(D273=0,0,K273/D273)</x:f>
        <x:v>0</x:v>
      </x:c>
      <x:c r="M273" t="str">
        <x:f>IF(AND(D273&gt;=2,K273&gt;=2,L273&gt;=75%),"YES","NO")</x:f>
        <x:v>NO</x:v>
      </x:c>
    </x:row>
    <x:row r="274">
      <x:c r="A274" t="str">
        <x:v>NFL</x:v>
      </x:c>
      <x:c r="B274" t="str">
        <x:v>Tennessee Titans</x:v>
      </x:c>
      <x:c r="C274" t="str">
        <x:v>TEN</x:v>
      </x:c>
      <x:c r="D274" t="n">
        <x:f>COUNTIFS(Games!$A$4:$A$1177,$A274,Games!$D$4:$D$1177,"post",Games!$G$4:$G$1177,$C274)+COUNTIFS(Games!$A$4:$A$1177,$A274,Games!$D$4:$D$1177,"post",Games!$L$4:$L$1177,$C274)</x:f>
        <x:v>2</x:v>
      </x:c>
      <x:c r="E274" t="n">
        <x:f>COUNTIFS(Games!$A$4:$A$1177,$A274,Games!$G$4:$G$1177,$C274,Games!$J$4:$J$1177,"W")+COUNTIFS(Games!$A$4:$A$1177,$A274,Games!$L$4:$L$1177,$C274,Games!$O$4:$O$1177,"W")</x:f>
        <x:v>0</x:v>
      </x:c>
      <x:c r="F274" t="n">
        <x:f>COUNTIFS(Games!$A$4:$A$1177,$A274,Games!$G$4:$G$1177,$C274,Games!$J$4:$J$1177,"L")+COUNTIFS(Games!$A$4:$A$1177,$A274,Games!$L$4:$L$1177,$C274,Games!$O$4:$O$1177,"L")</x:f>
        <x:v>2</x:v>
      </x:c>
      <x:c r="G274" t="n">
        <x:f>COUNTIFS(Games!$A$4:$A$1177,$A274,Games!$G$4:$G$1177,$C274,Games!$J$4:$J$1177,"T")+COUNTIFS(Games!$A$4:$A$1177,$A274,Games!$L$4:$L$1177,$C274,Games!$O$4:$O$1177,"T")</x:f>
        <x:v>0</x:v>
      </x:c>
      <x:c r="H274" t="n">
        <x:f>SUMIFS(Games!$H$4:$H$1177,Games!$A$4:$A$1177,$A274,Games!$D$4:$D$1177,"post",Games!$G$4:$G$1177,$C274)+SUMIFS(Games!$M$4:$M$1177,Games!$A$4:$A$1177,$A274,Games!$D$4:$D$1177,"post",Games!$L$4:$L$1177,$C274)</x:f>
        <x:v>30</x:v>
      </x:c>
      <x:c r="I274" t="n">
        <x:f>SUMIFS(Games!$M$4:$M$1177,Games!$A$4:$A$1177,$A274,Games!$D$4:$D$1177,"post",Games!$G$4:$G$1177,$C274)+SUMIFS(Games!$H$4:$H$1177,Games!$A$4:$A$1177,$A274,Games!$D$4:$D$1177,"post",Games!$L$4:$L$1177,$C274)</x:f>
        <x:v>47</x:v>
      </x:c>
      <x:c r="J274" t="str">
        <x:f>E274&amp;"-"&amp;F274&amp;IF(G274&gt;0,"-"&amp;G274,"")</x:f>
        <x:v>0-2</x:v>
      </x:c>
      <x:c r="K274" t="n">
        <x:f>COUNTIFS(Games!$A$4:$A$1177,$A274,Games!$D$4:$D$1177,"post",Games!$G$4:$G$1177,$C274,Games!$T$4:$T$1177,"&lt;&gt;")+COUNTIFS(Games!$A$4:$A$1177,$A274,Games!$D$4:$D$1177,"post",Games!$L$4:$L$1177,$C274,Games!$T$4:$T$1177,"&lt;&gt;")</x:f>
        <x:v>0</x:v>
      </x:c>
      <x:c r="L274" s="80" t="n">
        <x:f>IF(D274=0,0,K274/D274)</x:f>
        <x:v>0</x:v>
      </x:c>
      <x:c r="M274" t="str">
        <x:f>IF(AND(D274&gt;=2,K274&gt;=2,L274&gt;=75%),"YES","NO")</x:f>
        <x:v>NO</x:v>
      </x:c>
    </x:row>
    <x:row r="275">
      <x:c r="A275" t="str">
        <x:v>NFL</x:v>
      </x:c>
      <x:c r="B275" t="str">
        <x:v>Washington Commanders</x:v>
      </x:c>
      <x:c r="C275" t="str">
        <x:v>WSH</x:v>
      </x:c>
      <x:c r="D275" t="n">
        <x:f>COUNTIFS(Games!$A$4:$A$1177,$A275,Games!$D$4:$D$1177,"post",Games!$G$4:$G$1177,$C275)+COUNTIFS(Games!$A$4:$A$1177,$A275,Games!$D$4:$D$1177,"post",Games!$L$4:$L$1177,$C275)</x:f>
        <x:v>2</x:v>
      </x:c>
      <x:c r="E275" t="n">
        <x:f>COUNTIFS(Games!$A$4:$A$1177,$A275,Games!$G$4:$G$1177,$C275,Games!$J$4:$J$1177,"W")+COUNTIFS(Games!$A$4:$A$1177,$A275,Games!$L$4:$L$1177,$C275,Games!$O$4:$O$1177,"W")</x:f>
        <x:v>0</x:v>
      </x:c>
      <x:c r="F275" t="n">
        <x:f>COUNTIFS(Games!$A$4:$A$1177,$A275,Games!$G$4:$G$1177,$C275,Games!$J$4:$J$1177,"L")+COUNTIFS(Games!$A$4:$A$1177,$A275,Games!$L$4:$L$1177,$C275,Games!$O$4:$O$1177,"L")</x:f>
        <x:v>2</x:v>
      </x:c>
      <x:c r="G275" t="n">
        <x:f>COUNTIFS(Games!$A$4:$A$1177,$A275,Games!$G$4:$G$1177,$C275,Games!$J$4:$J$1177,"T")+COUNTIFS(Games!$A$4:$A$1177,$A275,Games!$L$4:$L$1177,$C275,Games!$O$4:$O$1177,"T")</x:f>
        <x:v>0</x:v>
      </x:c>
      <x:c r="H275" t="n">
        <x:f>SUMIFS(Games!$H$4:$H$1177,Games!$A$4:$A$1177,$A275,Games!$D$4:$D$1177,"post",Games!$G$4:$G$1177,$C275)+SUMIFS(Games!$M$4:$M$1177,Games!$A$4:$A$1177,$A275,Games!$D$4:$D$1177,"post",Games!$L$4:$L$1177,$C275)</x:f>
        <x:v>42</x:v>
      </x:c>
      <x:c r="I275" t="n">
        <x:f>SUMIFS(Games!$M$4:$M$1177,Games!$A$4:$A$1177,$A275,Games!$D$4:$D$1177,"post",Games!$G$4:$G$1177,$C275)+SUMIFS(Games!$H$4:$H$1177,Games!$A$4:$A$1177,$A275,Games!$D$4:$D$1177,"post",Games!$L$4:$L$1177,$C275)</x:f>
        <x:v>61</x:v>
      </x:c>
      <x:c r="J275" t="str">
        <x:f>E275&amp;"-"&amp;F275&amp;IF(G275&gt;0,"-"&amp;G275,"")</x:f>
        <x:v>0-2</x:v>
      </x:c>
      <x:c r="K275" t="n">
        <x:f>COUNTIFS(Games!$A$4:$A$1177,$A275,Games!$D$4:$D$1177,"post",Games!$G$4:$G$1177,$C275,Games!$T$4:$T$1177,"&lt;&gt;")+COUNTIFS(Games!$A$4:$A$1177,$A275,Games!$D$4:$D$1177,"post",Games!$L$4:$L$1177,$C275,Games!$T$4:$T$1177,"&lt;&gt;")</x:f>
        <x:v>0</x:v>
      </x:c>
      <x:c r="L275" s="80" t="n">
        <x:f>IF(D275=0,0,K275/D275)</x:f>
        <x:v>0</x:v>
      </x:c>
      <x:c r="M275" t="str">
        <x:f>IF(AND(D275&gt;=2,K275&gt;=2,L275&gt;=75%),"YES","NO")</x:f>
        <x:v>NO</x:v>
      </x:c>
    </x:row>
  </x:sheetData>
  <x:mergeCells>
    <x:mergeCell ref="A1:M1"/>
    <x:mergeCell ref="A2:M2"/>
  </x:mergeCells>
  <x:conditionalFormatting sqref="L4:L275">
    <x:cfRule type="cellIs" dxfId="0" priority="1" operator="lessThan">
      <x:formula>0.75</x:formula>
    </x:cfRule>
    <x:cfRule type="cellIs" dxfId="1" priority="2" operator="greaterThanOrEqual">
      <x:formula>0.75</x:formula>
    </x:cfRule>
  </x:conditionalFormatting>
  <x:conditionalFormatting sqref="M4:M275">
    <x:cfRule type="containsText" dxfId="2" priority="3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befc3e02dcab47cb"/>
  </x:tableParts>
</x:worksheet>
</file>

<file path=xl/worksheets/sheet4.xml><?xml version="1.0" encoding="utf-8"?>
<x:worksheet xmlns:x="http://schemas.openxmlformats.org/spreadsheetml/2006/main">
  <x:sheetPr>
    <x:tabColor rgb="FF8B5CF6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90" hidden="0" customWidth="1"/>
  </x:cols>
  <x:sheetData>
    <x:row r="1" ht="34" customHeight="1">
      <x:c r="A1" s="3" t="str">
        <x:v>READ ME · SOURCES AND RULES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This workbook is designed to make every record claim auditable and every market-data limitation visible.</x:v>
      </x:c>
      <x:c r="B2" s="7"/>
      <x:c r="C2" s="7"/>
      <x:c r="D2" s="7"/>
      <x:c r="E2" s="7"/>
      <x:c r="F2" s="7"/>
      <x:c r="G2" s="7"/>
      <x:c r="H2" s="7"/>
    </x:row>
    <x:row r="4">
      <x:c r="A4" s="44" t="str">
        <x:v>Field</x:v>
      </x:c>
      <x:c r="B4" s="44" t="str">
        <x:v>Definition</x:v>
      </x:c>
    </x:row>
    <x:row r="5" ht="38" customHeight="1">
      <x:c r="A5" s="81" t="str">
        <x:v>Scores / records</x:v>
      </x:c>
      <x:c r="B5" s="85" t="str">
        <x:v>All completed regular-season games returned by ESPN’s week-by-week NFL and FBS scoreboards.</x:v>
      </x:c>
    </x:row>
    <x:row r="6" ht="38" customHeight="1">
      <x:c r="A6" s="81" t="str">
        <x:v>ESPN Record</x:v>
      </x:c>
      <x:c r="B6" s="85" t="str">
        <x:v>Calculated from the completed scores in this workbook; not copied from a partial weekly view.</x:v>
      </x:c>
    </x:row>
    <x:row r="7" ht="38" customHeight="1">
      <x:c r="A7" s="81" t="str">
        <x:v>Market line</x:v>
      </x:c>
      <x:c r="B7" s="85" t="str">
        <x:v>Included only when ESPN supplied a spread/total in the scoreboard payload at snapshot time.</x:v>
      </x:c>
    </x:row>
    <x:row r="8" ht="38" customHeight="1">
      <x:c r="A8" s="81" t="str">
        <x:v>ATS trend eligible</x:v>
      </x:c>
      <x:c r="B8" s="85" t="str">
        <x:v>YES only when a team has at least two completed games, at least two verified lines, and lines for at least 75% of completed games.</x:v>
      </x:c>
    </x:row>
    <x:row r="9" ht="38" customHeight="1">
      <x:c r="A9" s="81" t="str">
        <x:v>App behavior</x:v>
      </x:c>
      <x:c r="B9" s="85" t="str">
        <x:v>Incomplete ATS or totals history is disclosed and excluded from trend scoring. The score model and complete game record remain usable.</x:v>
      </x:c>
    </x:row>
    <x:row r="10" ht="38" customHeight="1">
      <x:c r="A10" s="81" t="str">
        <x:v>Refresh</x:v>
      </x:c>
      <x:c r="B10" s="85" t="str">
        <x:v>Run npm run refresh:football -- 2026, then rebuild this workbook from the refreshed JSON/CSV snapshot.</x:v>
      </x:c>
    </x:row>
    <x:row r="11" ht="38" customHeight="1">
      <x:c r="A11" s="81" t="str">
        <x:v>Primary source</x:v>
      </x:c>
      <x:c r="B11" s="85" t="str">
        <x:v>ESPN NFL and College Football scoreboards; each game row includes its ESPN game URL.</x:v>
      </x:c>
    </x:row>
  </x:sheetData>
  <x:mergeCells>
    <x:mergeCell ref="A1:H1"/>
    <x:mergeCell ref="A2:H2"/>
  </x:mergeCells>
  <x:pageMargins left="0.7" right="0.7" top="0.75" bottom="0.75" header="0.3" footer="0.3"/>
</x:worksheet>
</file>